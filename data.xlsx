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onedevelopmentuae.sharepoint.com/sites/StrategyAnalytics/Shared Documents/03 Users/Norton/"/>
    </mc:Choice>
  </mc:AlternateContent>
  <xr:revisionPtr revIDLastSave="314" documentId="13_ncr:1_{A34007EC-B464-429B-A41A-3388CCFAC476}" xr6:coauthVersionLast="47" xr6:coauthVersionMax="47" xr10:uidLastSave="{C867B002-78CB-4C3D-9EED-7411BBACD12C}"/>
  <bookViews>
    <workbookView xWindow="-120" yWindow="-120" windowWidth="29040" windowHeight="15720" xr2:uid="{CA9229F7-C805-43B7-9E99-AD5BEE88CCE6}"/>
  </bookViews>
  <sheets>
    <sheet name="Rejected Bookings" sheetId="1" r:id="rId1"/>
    <sheet name="Summary" sheetId="2" r:id="rId2"/>
  </sheets>
  <externalReferences>
    <externalReference r:id="rId3"/>
  </externalReferences>
  <definedNames>
    <definedName name="_xlnm._FilterDatabase" localSheetId="0" hidden="1">'Rejected Bookings'!$B$1:$AF$140</definedName>
  </definedNames>
  <calcPr calcId="191029"/>
  <pivotCaches>
    <pivotCache cacheId="2" r:id="rId4"/>
    <pivotCache cacheId="3"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1" l="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R2" i="1"/>
  <c r="R4" i="1"/>
  <c r="D3" i="1"/>
  <c r="D2" i="1"/>
  <c r="F3" i="1"/>
  <c r="G3" i="1"/>
  <c r="H3" i="1"/>
  <c r="I3" i="1"/>
  <c r="J3" i="1"/>
  <c r="K3" i="1"/>
  <c r="L3" i="1"/>
  <c r="M3" i="1"/>
  <c r="N3" i="1"/>
  <c r="O3" i="1"/>
  <c r="P3" i="1"/>
  <c r="Q3" i="1"/>
  <c r="R3" i="1"/>
  <c r="S3" i="1"/>
  <c r="T3" i="1"/>
  <c r="U3" i="1"/>
  <c r="V3" i="1"/>
  <c r="W3" i="1"/>
  <c r="X3" i="1"/>
  <c r="F4" i="1"/>
  <c r="G4" i="1"/>
  <c r="H4" i="1"/>
  <c r="I4" i="1"/>
  <c r="J4" i="1"/>
  <c r="K4" i="1"/>
  <c r="L4" i="1"/>
  <c r="M4" i="1"/>
  <c r="N4" i="1"/>
  <c r="O4" i="1"/>
  <c r="P4" i="1"/>
  <c r="Q4" i="1"/>
  <c r="S4" i="1"/>
  <c r="T4" i="1"/>
  <c r="U4" i="1"/>
  <c r="V4" i="1"/>
  <c r="W4" i="1"/>
  <c r="X4" i="1"/>
  <c r="F5" i="1"/>
  <c r="G5" i="1"/>
  <c r="H5" i="1"/>
  <c r="I5" i="1"/>
  <c r="J5" i="1"/>
  <c r="K5" i="1"/>
  <c r="L5" i="1"/>
  <c r="M5" i="1"/>
  <c r="N5" i="1"/>
  <c r="O5" i="1"/>
  <c r="P5" i="1"/>
  <c r="Q5" i="1"/>
  <c r="R5" i="1"/>
  <c r="S5" i="1"/>
  <c r="T5" i="1"/>
  <c r="U5" i="1"/>
  <c r="V5" i="1"/>
  <c r="W5" i="1"/>
  <c r="X5" i="1"/>
  <c r="F6" i="1"/>
  <c r="G6" i="1"/>
  <c r="H6" i="1"/>
  <c r="I6" i="1"/>
  <c r="J6" i="1"/>
  <c r="K6" i="1"/>
  <c r="L6" i="1"/>
  <c r="M6" i="1"/>
  <c r="N6" i="1"/>
  <c r="O6" i="1"/>
  <c r="P6" i="1"/>
  <c r="Q6" i="1"/>
  <c r="R6" i="1"/>
  <c r="S6" i="1"/>
  <c r="T6" i="1"/>
  <c r="U6" i="1"/>
  <c r="V6" i="1"/>
  <c r="W6" i="1"/>
  <c r="X6" i="1"/>
  <c r="X2" i="1"/>
  <c r="W2" i="1"/>
  <c r="V2" i="1"/>
  <c r="U2" i="1"/>
  <c r="T2" i="1"/>
  <c r="S2" i="1"/>
  <c r="Q2" i="1"/>
  <c r="P2" i="1"/>
  <c r="O2" i="1"/>
  <c r="M2" i="1"/>
  <c r="L2" i="1"/>
  <c r="K2" i="1"/>
  <c r="J2" i="1"/>
  <c r="I2" i="1"/>
  <c r="H2" i="1"/>
  <c r="G2" i="1"/>
  <c r="N2" i="1"/>
  <c r="F2"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Norton Araujo</author>
  </authors>
  <commentList>
    <comment ref="E38" authorId="0" shapeId="0" xr:uid="{BAD13297-5164-4147-A067-6E59E9389FDE}">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 xml:space="preserve">Jaber </t>
        </r>
        <r>
          <rPr>
            <sz val="9"/>
            <color indexed="81"/>
            <rFont val="Tahoma"/>
            <family val="2"/>
          </rPr>
          <t>to</t>
        </r>
        <r>
          <rPr>
            <b/>
            <sz val="9"/>
            <color indexed="81"/>
            <rFont val="Tahoma"/>
            <family val="2"/>
          </rPr>
          <t xml:space="preserve"> Osha</t>
        </r>
      </text>
    </comment>
    <comment ref="E45" authorId="0" shapeId="0" xr:uid="{BF295B1C-57D0-4714-8BB7-58CC6089BE36}">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Jaber</t>
        </r>
        <r>
          <rPr>
            <sz val="9"/>
            <color indexed="81"/>
            <rFont val="Tahoma"/>
            <family val="2"/>
          </rPr>
          <t xml:space="preserve"> to </t>
        </r>
        <r>
          <rPr>
            <b/>
            <sz val="9"/>
            <color indexed="81"/>
            <rFont val="Tahoma"/>
            <family val="2"/>
          </rPr>
          <t>Saleha</t>
        </r>
      </text>
    </comment>
    <comment ref="L109" authorId="0" shapeId="0" xr:uid="{CEAC76D9-E1D6-4931-B201-4F70146218BE}">
      <text>
        <r>
          <rPr>
            <b/>
            <sz val="10"/>
            <color indexed="81"/>
            <rFont val="Segoe UI"/>
            <family val="2"/>
          </rPr>
          <t>Norton Araujo:</t>
        </r>
        <r>
          <rPr>
            <sz val="10"/>
            <color indexed="81"/>
            <rFont val="Segoe UI"/>
            <family val="2"/>
          </rPr>
          <t xml:space="preserve">
Payment &amp; Refund Requested on the same day</t>
        </r>
      </text>
    </comment>
    <comment ref="Z109" authorId="0" shapeId="0" xr:uid="{7A0B684C-0C79-4C6B-9B08-3D38D5C68DDC}">
      <text>
        <r>
          <rPr>
            <b/>
            <sz val="10"/>
            <color indexed="81"/>
            <rFont val="Segoe UI"/>
            <family val="2"/>
          </rPr>
          <t>Norton Araujo:</t>
        </r>
        <r>
          <rPr>
            <sz val="10"/>
            <color indexed="81"/>
            <rFont val="Segoe UI"/>
            <family val="2"/>
          </rPr>
          <t xml:space="preserve">
Customer paid 6,900 USD Cash</t>
        </r>
      </text>
    </comment>
    <comment ref="Z111" authorId="0" shapeId="0" xr:uid="{6A9731FF-E2D7-4397-8F7A-ABCD1178B5EB}">
      <text>
        <r>
          <rPr>
            <b/>
            <sz val="10"/>
            <color indexed="81"/>
            <rFont val="Segoe UI"/>
            <family val="2"/>
          </rPr>
          <t>Norton Araujo:</t>
        </r>
        <r>
          <rPr>
            <sz val="10"/>
            <color indexed="81"/>
            <rFont val="Segoe UI"/>
            <family val="2"/>
          </rPr>
          <t xml:space="preserve">
DLD &amp; Admin Fees Paid</t>
        </r>
      </text>
    </comment>
    <comment ref="Z114" authorId="0" shapeId="0" xr:uid="{DBD01224-A737-424E-8BF5-B98D8D1D8929}">
      <text>
        <r>
          <rPr>
            <b/>
            <sz val="10"/>
            <color indexed="81"/>
            <rFont val="Segoe UI"/>
            <family val="2"/>
          </rPr>
          <t xml:space="preserve">Norton Araujo:
</t>
        </r>
        <r>
          <rPr>
            <sz val="10"/>
            <color indexed="81"/>
            <rFont val="Segoe UI"/>
            <family val="2"/>
          </rPr>
          <t>No Receipt issued on the system</t>
        </r>
      </text>
    </comment>
    <comment ref="Z119" authorId="0" shapeId="0" xr:uid="{4690DA4B-1D0A-43E6-BB46-5D412F5FA15D}">
      <text>
        <r>
          <rPr>
            <b/>
            <sz val="10"/>
            <color indexed="81"/>
            <rFont val="Segoe UI"/>
            <family val="2"/>
          </rPr>
          <t xml:space="preserve">Norton Araujo:
</t>
        </r>
        <r>
          <rPr>
            <b/>
            <sz val="10"/>
            <color indexed="81"/>
            <rFont val="Segoe UI"/>
            <family val="2"/>
          </rPr>
          <t>Payment-6820</t>
        </r>
        <r>
          <rPr>
            <sz val="10"/>
            <color indexed="81"/>
            <rFont val="Segoe UI"/>
            <family val="2"/>
          </rPr>
          <t xml:space="preserve">
</t>
        </r>
        <r>
          <rPr>
            <b/>
            <sz val="10"/>
            <color indexed="81"/>
            <rFont val="Segoe UI"/>
            <family val="2"/>
          </rPr>
          <t>Receipt-2128</t>
        </r>
        <r>
          <rPr>
            <sz val="10"/>
            <color indexed="81"/>
            <rFont val="Segoe UI"/>
            <family val="2"/>
          </rPr>
          <t xml:space="preserve"> -   AED 40,000
</t>
        </r>
        <r>
          <rPr>
            <b/>
            <sz val="10"/>
            <color indexed="81"/>
            <rFont val="Segoe UI"/>
            <family val="2"/>
          </rPr>
          <t xml:space="preserve">Receipt-3383 -   </t>
        </r>
        <r>
          <rPr>
            <sz val="10"/>
            <color indexed="81"/>
            <rFont val="Segoe UI"/>
            <family val="2"/>
          </rPr>
          <t xml:space="preserve">AED 20,000
</t>
        </r>
        <r>
          <rPr>
            <b/>
            <sz val="10"/>
            <color indexed="81"/>
            <rFont val="Segoe UI"/>
            <family val="2"/>
          </rPr>
          <t>Payment-6726</t>
        </r>
        <r>
          <rPr>
            <sz val="10"/>
            <color indexed="81"/>
            <rFont val="Segoe UI"/>
            <family val="2"/>
          </rPr>
          <t xml:space="preserve">
</t>
        </r>
        <r>
          <rPr>
            <b/>
            <sz val="10"/>
            <color indexed="81"/>
            <rFont val="Segoe UI"/>
            <family val="2"/>
          </rPr>
          <t>Receipt-2106</t>
        </r>
        <r>
          <rPr>
            <sz val="10"/>
            <color indexed="81"/>
            <rFont val="Segoe UI"/>
            <family val="2"/>
          </rPr>
          <t xml:space="preserve"> -  AED 40,000 - Rejected by Finance
</t>
        </r>
        <r>
          <rPr>
            <b/>
            <sz val="10"/>
            <color indexed="81"/>
            <rFont val="Segoe UI"/>
            <family val="2"/>
          </rPr>
          <t>Receipt-4435</t>
        </r>
        <r>
          <rPr>
            <sz val="10"/>
            <color indexed="81"/>
            <rFont val="Segoe UI"/>
            <family val="2"/>
          </rPr>
          <t xml:space="preserve"> -  AED 40,000</t>
        </r>
      </text>
    </comment>
    <comment ref="Z121" authorId="0" shapeId="0" xr:uid="{C9021F8C-3263-47F7-B1C6-644F0AD37663}">
      <text>
        <r>
          <rPr>
            <b/>
            <sz val="10"/>
            <color indexed="81"/>
            <rFont val="Segoe UI"/>
            <family val="2"/>
          </rPr>
          <t>Norton Araujo:</t>
        </r>
        <r>
          <rPr>
            <sz val="10"/>
            <color indexed="81"/>
            <rFont val="Segoe UI"/>
            <family val="2"/>
          </rPr>
          <t xml:space="preserve">
No Trace of payment on the system</t>
        </r>
      </text>
    </comment>
    <comment ref="AC121" authorId="0" shapeId="0" xr:uid="{CC0CFE43-970D-466D-877A-C4ACC9576F65}">
      <text>
        <r>
          <rPr>
            <b/>
            <sz val="10"/>
            <color indexed="81"/>
            <rFont val="Segoe UI"/>
            <family val="2"/>
          </rPr>
          <t>Norton Araujo:</t>
        </r>
        <r>
          <rPr>
            <sz val="10"/>
            <color indexed="81"/>
            <rFont val="Segoe UI"/>
            <family val="2"/>
          </rPr>
          <t xml:space="preserve">
Please recheck as </t>
        </r>
        <r>
          <rPr>
            <b/>
            <sz val="10"/>
            <color indexed="81"/>
            <rFont val="Segoe UI"/>
            <family val="2"/>
          </rPr>
          <t>Booking-978</t>
        </r>
        <r>
          <rPr>
            <sz val="10"/>
            <color indexed="81"/>
            <rFont val="Segoe UI"/>
            <family val="2"/>
          </rPr>
          <t xml:space="preserve"> is for a different customer. 
</t>
        </r>
        <r>
          <rPr>
            <b/>
            <sz val="10"/>
            <color indexed="81"/>
            <rFont val="Segoe UI"/>
            <family val="2"/>
          </rPr>
          <t>Booking-975</t>
        </r>
        <r>
          <rPr>
            <sz val="10"/>
            <color indexed="81"/>
            <rFont val="Segoe UI"/>
            <family val="2"/>
          </rPr>
          <t xml:space="preserve"> (Unit B3112)  is under the same customer name </t>
        </r>
      </text>
    </comment>
    <comment ref="Z123" authorId="0" shapeId="0" xr:uid="{9818531E-B06D-43C9-BF53-0E7F9E5E0ACF}">
      <text>
        <r>
          <rPr>
            <b/>
            <sz val="10"/>
            <color indexed="81"/>
            <rFont val="Segoe UI"/>
            <family val="2"/>
          </rPr>
          <t>Norton Araujo:</t>
        </r>
        <r>
          <rPr>
            <sz val="10"/>
            <color indexed="81"/>
            <rFont val="Segoe UI"/>
            <family val="2"/>
          </rPr>
          <t xml:space="preserve">
</t>
        </r>
        <r>
          <rPr>
            <b/>
            <sz val="10"/>
            <color indexed="81"/>
            <rFont val="Segoe UI"/>
            <family val="2"/>
          </rPr>
          <t>Payment-10801</t>
        </r>
        <r>
          <rPr>
            <sz val="10"/>
            <color indexed="81"/>
            <rFont val="Segoe UI"/>
            <family val="2"/>
          </rPr>
          <t xml:space="preserve">
Receipt-5445 - AED 50,000</t>
        </r>
      </text>
    </comment>
    <comment ref="Z126" authorId="0" shapeId="0" xr:uid="{76B061DD-0637-4EE9-8BF2-4F7670D3101D}">
      <text>
        <r>
          <rPr>
            <b/>
            <sz val="10"/>
            <color indexed="81"/>
            <rFont val="Segoe UI"/>
            <family val="2"/>
          </rPr>
          <t xml:space="preserve">Norton Araujo:
Payment-10571
</t>
        </r>
        <r>
          <rPr>
            <sz val="10"/>
            <color indexed="81"/>
            <rFont val="Segoe UI"/>
            <family val="2"/>
          </rPr>
          <t>Receipt-5654 - AED 25,000</t>
        </r>
      </text>
    </comment>
    <comment ref="Z127" authorId="0" shapeId="0" xr:uid="{32948677-72E6-44C0-8CEA-0583EBB76AAE}">
      <text>
        <r>
          <rPr>
            <b/>
            <sz val="10"/>
            <color indexed="81"/>
            <rFont val="Segoe UI"/>
            <family val="2"/>
          </rPr>
          <t>Norton Araujo:
Below payments rejected by Finance</t>
        </r>
        <r>
          <rPr>
            <sz val="10"/>
            <color indexed="81"/>
            <rFont val="Segoe UI"/>
            <family val="2"/>
          </rPr>
          <t xml:space="preserve">
</t>
        </r>
        <r>
          <rPr>
            <b/>
            <sz val="10"/>
            <color indexed="81"/>
            <rFont val="Segoe UI"/>
            <family val="2"/>
          </rPr>
          <t>Payment-10379</t>
        </r>
        <r>
          <rPr>
            <sz val="10"/>
            <color indexed="81"/>
            <rFont val="Segoe UI"/>
            <family val="2"/>
          </rPr>
          <t xml:space="preserve"> - Down Payment
Receipt-4912 - AED 5,000</t>
        </r>
      </text>
    </comment>
    <comment ref="L128" authorId="0" shapeId="0" xr:uid="{30CC6A88-2F09-4C87-A26D-AAC0B2A7CD0C}">
      <text>
        <r>
          <rPr>
            <b/>
            <sz val="10"/>
            <color indexed="81"/>
            <rFont val="Segoe UI"/>
            <family val="2"/>
          </rPr>
          <t>Norton Araujo:</t>
        </r>
        <r>
          <rPr>
            <sz val="10"/>
            <color indexed="81"/>
            <rFont val="Segoe UI"/>
            <family val="2"/>
          </rPr>
          <t xml:space="preserve">
Refer to Sticky notes</t>
        </r>
      </text>
    </comment>
    <comment ref="Z128" authorId="0" shapeId="0" xr:uid="{008BB6C6-9876-47F4-AF0A-44CA4CDDA051}">
      <text>
        <r>
          <rPr>
            <b/>
            <sz val="10"/>
            <color indexed="81"/>
            <rFont val="Segoe UI"/>
            <family val="2"/>
          </rPr>
          <t>Norton Araujo:</t>
        </r>
        <r>
          <rPr>
            <sz val="10"/>
            <color indexed="81"/>
            <rFont val="Segoe UI"/>
            <family val="2"/>
          </rPr>
          <t xml:space="preserve">
</t>
        </r>
        <r>
          <rPr>
            <b/>
            <sz val="10"/>
            <color indexed="81"/>
            <rFont val="Segoe UI"/>
            <family val="2"/>
          </rPr>
          <t xml:space="preserve">Below payments rejected by Finance
</t>
        </r>
        <r>
          <rPr>
            <sz val="10"/>
            <color indexed="81"/>
            <rFont val="Segoe UI"/>
            <family val="2"/>
          </rPr>
          <t xml:space="preserve">
</t>
        </r>
        <r>
          <rPr>
            <b/>
            <sz val="10"/>
            <color indexed="81"/>
            <rFont val="Segoe UI"/>
            <family val="2"/>
          </rPr>
          <t>Payment-7822</t>
        </r>
        <r>
          <rPr>
            <sz val="10"/>
            <color indexed="81"/>
            <rFont val="Segoe UI"/>
            <family val="2"/>
          </rPr>
          <t xml:space="preserve"> - DLD
Receipt-5485 - AED 17,400
Receipt-4644 - AED 11,000
</t>
        </r>
        <r>
          <rPr>
            <b/>
            <sz val="10"/>
            <color indexed="81"/>
            <rFont val="Segoe UI"/>
            <family val="2"/>
          </rPr>
          <t xml:space="preserve">
Payment-7823 </t>
        </r>
        <r>
          <rPr>
            <sz val="10"/>
            <color indexed="81"/>
            <rFont val="Segoe UI"/>
            <family val="2"/>
          </rPr>
          <t xml:space="preserve">- Down payment
Receipt-2331 - AED 15,000
Receipt-3188 - AED 10,000
Receipt-4257 - AED 10,000
Receipt-4397 - AED 50,000
Receipt-4398 - AED 15,000
Receipt-4403 - AED 15,000
Receipt-4513 - AED 27,000
</t>
        </r>
        <r>
          <rPr>
            <b/>
            <sz val="10"/>
            <color indexed="81"/>
            <rFont val="Segoe UI"/>
            <family val="2"/>
          </rPr>
          <t>Payment-7824</t>
        </r>
        <r>
          <rPr>
            <sz val="10"/>
            <color indexed="81"/>
            <rFont val="Segoe UI"/>
            <family val="2"/>
          </rPr>
          <t xml:space="preserve"> - Admin
Receipt-5486 - AED 3,675
</t>
        </r>
        <r>
          <rPr>
            <b/>
            <sz val="10"/>
            <color indexed="81"/>
            <rFont val="Segoe UI"/>
            <family val="2"/>
          </rPr>
          <t>Payment-7825</t>
        </r>
        <r>
          <rPr>
            <sz val="10"/>
            <color indexed="81"/>
            <rFont val="Segoe UI"/>
            <family val="2"/>
          </rPr>
          <t xml:space="preserve"> - 1st Installment
Receipt-5487 - AED 8,925</t>
        </r>
      </text>
    </comment>
    <comment ref="Z129" authorId="0" shapeId="0" xr:uid="{6EA35775-71CF-4094-A236-799251D80795}">
      <text>
        <r>
          <rPr>
            <b/>
            <sz val="10"/>
            <color indexed="81"/>
            <rFont val="Segoe UI"/>
            <family val="2"/>
          </rPr>
          <t xml:space="preserve">Norton Araujo:
Below payments rejected by Finance
Payment-9375 - </t>
        </r>
        <r>
          <rPr>
            <sz val="10"/>
            <color indexed="81"/>
            <rFont val="Segoe UI"/>
            <family val="2"/>
          </rPr>
          <t>Down Payment
Receipt-4478 - AED 100,000</t>
        </r>
      </text>
    </comment>
    <comment ref="AB129" authorId="0" shapeId="0" xr:uid="{1C7720D4-4E76-4928-A4BB-07889A7B0982}">
      <text>
        <r>
          <rPr>
            <b/>
            <sz val="10"/>
            <color indexed="81"/>
            <rFont val="Segoe UI"/>
            <family val="2"/>
          </rPr>
          <t>Norton Araujo:</t>
        </r>
        <r>
          <rPr>
            <sz val="10"/>
            <color indexed="81"/>
            <rFont val="Segoe UI"/>
            <family val="2"/>
          </rPr>
          <t xml:space="preserve">
Note against receipt "</t>
        </r>
        <r>
          <rPr>
            <b/>
            <sz val="10"/>
            <color indexed="81"/>
            <rFont val="Segoe UI"/>
            <family val="2"/>
          </rPr>
          <t>Receipt-4478</t>
        </r>
        <r>
          <rPr>
            <sz val="10"/>
            <color indexed="81"/>
            <rFont val="Segoe UI"/>
            <family val="2"/>
          </rPr>
          <t>" - Rejected with No Refund as per CCO.</t>
        </r>
      </text>
    </comment>
    <comment ref="Z130" authorId="0" shapeId="0" xr:uid="{B862F1D2-5599-4BC3-84E8-866642A0ACF0}">
      <text>
        <r>
          <rPr>
            <b/>
            <sz val="10"/>
            <color indexed="81"/>
            <rFont val="Segoe UI"/>
            <family val="2"/>
          </rPr>
          <t>Norton Araujo:</t>
        </r>
        <r>
          <rPr>
            <sz val="10"/>
            <color indexed="81"/>
            <rFont val="Segoe UI"/>
            <family val="2"/>
          </rPr>
          <t xml:space="preserve">
No trace of payment on the system</t>
        </r>
      </text>
    </comment>
  </commentList>
</comments>
</file>

<file path=xl/sharedStrings.xml><?xml version="1.0" encoding="utf-8"?>
<sst xmlns="http://schemas.openxmlformats.org/spreadsheetml/2006/main" count="2866" uniqueCount="977">
  <si>
    <t>Date Submitted</t>
  </si>
  <si>
    <t>Booking Name</t>
  </si>
  <si>
    <t>Status</t>
  </si>
  <si>
    <t>Booking Date</t>
  </si>
  <si>
    <t>Aging</t>
  </si>
  <si>
    <t>Project Name</t>
  </si>
  <si>
    <t>Building</t>
  </si>
  <si>
    <t>Bedrooms</t>
  </si>
  <si>
    <t>Unit No.</t>
  </si>
  <si>
    <t>Inventory Unit Status</t>
  </si>
  <si>
    <t>Booking Status</t>
  </si>
  <si>
    <t>Customer Name</t>
  </si>
  <si>
    <t>Nationality</t>
  </si>
  <si>
    <t>Discount Amount</t>
  </si>
  <si>
    <t>Final Sale Value After Discount</t>
  </si>
  <si>
    <t>Inv Final Sale Value</t>
  </si>
  <si>
    <t>Sales</t>
  </si>
  <si>
    <t>Agency Name</t>
  </si>
  <si>
    <t>Booking ID</t>
  </si>
  <si>
    <t>Oracle Id</t>
  </si>
  <si>
    <t>Customer Paid</t>
  </si>
  <si>
    <t>%</t>
  </si>
  <si>
    <t>Refund</t>
  </si>
  <si>
    <t>Reason</t>
  </si>
  <si>
    <t>Booking-844</t>
  </si>
  <si>
    <t>No Payment</t>
  </si>
  <si>
    <t>N/A</t>
  </si>
  <si>
    <t>Booking-806</t>
  </si>
  <si>
    <t>Customer requested to cancel and purchase only 1 unit (Laguna-B205 - Booking-800)</t>
  </si>
  <si>
    <t>Booking-804</t>
  </si>
  <si>
    <t>Booking-795</t>
  </si>
  <si>
    <t>No</t>
  </si>
  <si>
    <t>Customer requested to cancel</t>
  </si>
  <si>
    <t>Booking-786</t>
  </si>
  <si>
    <t>Request received from Sales Director</t>
  </si>
  <si>
    <t>Booking-735</t>
  </si>
  <si>
    <t>Booking-734</t>
  </si>
  <si>
    <t>Yes</t>
  </si>
  <si>
    <t>Booking-722</t>
  </si>
  <si>
    <t>Request received from Sales Director as customer requested to cancel</t>
  </si>
  <si>
    <t>Booking-541</t>
  </si>
  <si>
    <t>Request received from Hussien</t>
  </si>
  <si>
    <t>Booking-208</t>
  </si>
  <si>
    <t>Customer requested to cancel. Paid amount for A4001 has been transferred to B3001</t>
  </si>
  <si>
    <t xml:space="preserve">Customer requested to cancel as he has declined the offer. VP Sales advised to cancel and release back to inventory as per attached email. </t>
  </si>
  <si>
    <t>Booking-865</t>
  </si>
  <si>
    <t>Cancellation request received from VP of Sales. Request to cancel the booking and to block the unit against another Sales Manager.</t>
  </si>
  <si>
    <t>Booking-726</t>
  </si>
  <si>
    <t>Booking-587</t>
  </si>
  <si>
    <t>Booking-836</t>
  </si>
  <si>
    <t>Customer requested to cancel the booking and refund the paid amount</t>
  </si>
  <si>
    <t>Supporting | Related Email</t>
  </si>
  <si>
    <t>Booking-853</t>
  </si>
  <si>
    <t>Booking-874</t>
  </si>
  <si>
    <t>Request recevied from Sales Team for Cancellation and Reallocation</t>
  </si>
  <si>
    <t>Booking-964</t>
  </si>
  <si>
    <t>As per the system, customer requested to cancel</t>
  </si>
  <si>
    <t>Request received from Sales Team for Cancellation
Customer has shared email with CRM manager stating to cancel the booking citing Financial Concerns</t>
  </si>
  <si>
    <t>Booking-968</t>
  </si>
  <si>
    <t>Customer requested to Cancel as mentioned by Sales Manager. Request to reallocate paid funds to different unit - B2612 (Booking-978)</t>
  </si>
  <si>
    <t>Booking-972</t>
  </si>
  <si>
    <t>Unit was initially booked with Joint Owner. Customer requested to cancel in order to book under single owner for Golden Visa Process. Funds to be reallocated to single owner Dr. Ajoy</t>
  </si>
  <si>
    <t>Booking-505</t>
  </si>
  <si>
    <t>Booking-882</t>
  </si>
  <si>
    <t>Unit Swapped with B817 as approved by Management</t>
  </si>
  <si>
    <t>Booking-879</t>
  </si>
  <si>
    <t>Spot Cash</t>
  </si>
  <si>
    <t>Booking-884</t>
  </si>
  <si>
    <t>Booking-935</t>
  </si>
  <si>
    <t>Booking-971</t>
  </si>
  <si>
    <t>Request received from Sales Manager | Sales Director to cancel the booking as customer booked another unit on the same day (Booking- 973 - B3012)</t>
  </si>
  <si>
    <t>As per the system, cancellation reason 
'Management Cancelation Request'</t>
  </si>
  <si>
    <t>Booking-657</t>
  </si>
  <si>
    <t>Booking-711</t>
  </si>
  <si>
    <t>Booking-783</t>
  </si>
  <si>
    <t>Booking-982</t>
  </si>
  <si>
    <t>Booking-916</t>
  </si>
  <si>
    <t>Booking-957</t>
  </si>
  <si>
    <t>Booking-683</t>
  </si>
  <si>
    <t>Amal El Gendy</t>
  </si>
  <si>
    <t>Booking-851</t>
  </si>
  <si>
    <t>Booking-700</t>
  </si>
  <si>
    <t>Booking-701</t>
  </si>
  <si>
    <t>Discount Percentage</t>
  </si>
  <si>
    <t>Booking-980</t>
  </si>
  <si>
    <t>Customer requested cancel as he is unable to make further payments and has requested for refund</t>
  </si>
  <si>
    <t>Summary</t>
  </si>
  <si>
    <t>Customer requested for Change of Ownership</t>
  </si>
  <si>
    <t>Unit Swap - Approved by Management</t>
  </si>
  <si>
    <t>Unit swap - Approved by Management</t>
  </si>
  <si>
    <t>Additional Remarks</t>
  </si>
  <si>
    <t>Booking-956</t>
  </si>
  <si>
    <t>Rejected</t>
  </si>
  <si>
    <t>Cancelled due to Non Payment</t>
  </si>
  <si>
    <t>Cancellation raised by Sales Director</t>
  </si>
  <si>
    <t>From Hawbir Hassan to Riad El Kaddouri</t>
  </si>
  <si>
    <t>Cancellation Request raised by Collections Team</t>
  </si>
  <si>
    <t>Customer is unable to continue with the Purchase</t>
  </si>
  <si>
    <t>From Hawbir Hassan to Rojbin Saeed</t>
  </si>
  <si>
    <t>Swapped from B3103 to B3012</t>
  </si>
  <si>
    <t>From Onur Tukel to Burhan Tukel</t>
  </si>
  <si>
    <t>Mohammed El Shimmy - Part of the Bulk Deal</t>
  </si>
  <si>
    <t>Swapped from B917 to B817</t>
  </si>
  <si>
    <t>From Joint Ownership to Single Ownership</t>
  </si>
  <si>
    <t>Paid Amount allocated to unit B2612</t>
  </si>
  <si>
    <t>Swapped from 403 to 420 (Upgrade)</t>
  </si>
  <si>
    <t>Swapped from A322 to A2514</t>
  </si>
  <si>
    <t>From Omar Rezgani to Hossam ibraheem</t>
  </si>
  <si>
    <t>From GUSTAV SJUNNESSON to Mohammed Adam Metto</t>
  </si>
  <si>
    <t>Cancellation Request raised by VP-Sales</t>
  </si>
  <si>
    <t>Customer only wants to proceed with unit B205 only</t>
  </si>
  <si>
    <t>Swapped from A4001 to B3001</t>
  </si>
  <si>
    <t>Customer is unable to continue with the Purchase - No Refund</t>
  </si>
  <si>
    <t>Customer is unable to continue with the Purchase - Refund Request Approved</t>
  </si>
  <si>
    <t>Customer is unable to continue with the Purchase - Refund Requested</t>
  </si>
  <si>
    <t>Grand Total</t>
  </si>
  <si>
    <t>Count</t>
  </si>
  <si>
    <t>Cancellation Requests Received</t>
  </si>
  <si>
    <t>Cancellation Summary</t>
  </si>
  <si>
    <t>Booking-1050</t>
  </si>
  <si>
    <t>Booking-1040</t>
  </si>
  <si>
    <t>Booking-1030</t>
  </si>
  <si>
    <t>Booking-1022</t>
  </si>
  <si>
    <t>Booking-1021</t>
  </si>
  <si>
    <t>Booking-1017</t>
  </si>
  <si>
    <t>Booking-1016</t>
  </si>
  <si>
    <t>Booking-1015</t>
  </si>
  <si>
    <t>Booking-1002</t>
  </si>
  <si>
    <t>Booking-1001</t>
  </si>
  <si>
    <t>Booking-966</t>
  </si>
  <si>
    <t>Duplicate Booking for unit B1205. (Unit was sold to another customer - Booking-509) Unit status was manually updated to Blocked creating the error.
Unit B2005 booked under Booking-1052</t>
  </si>
  <si>
    <t>Cancelled due to Duplicate Booking</t>
  </si>
  <si>
    <t>Duplicate Booking</t>
  </si>
  <si>
    <t>Customer requested to cancel as it is out of his budget</t>
  </si>
  <si>
    <t>Cancellation raised by Sales Manager as no payment was received and the unit was booked under the Brokers Name</t>
  </si>
  <si>
    <t>Unit Swapped with A2101 as approved by Management</t>
  </si>
  <si>
    <t>Unit Swapped with A2001 as approved by Management</t>
  </si>
  <si>
    <t>Swapped from A4005 to A2101</t>
  </si>
  <si>
    <t>Swapped from A4105 to A2001</t>
  </si>
  <si>
    <t>Cancellation Request raised by Sales Operations Team</t>
  </si>
  <si>
    <t>Booking was created under wrong Customer Name</t>
  </si>
  <si>
    <t>Incorrect Customer Details entered while Booking</t>
  </si>
  <si>
    <t>Booking-774</t>
  </si>
  <si>
    <t>Booking-945</t>
  </si>
  <si>
    <t>Booking-944</t>
  </si>
  <si>
    <t>From Katharina Junimann Appelhans to Helena Erbis</t>
  </si>
  <si>
    <t>Cancelled by Sales Operations as Wrong Payment Plan was selected</t>
  </si>
  <si>
    <t>Cancelled by Sales Operations as Wrong Payment Plan was selected. Cancelled by IT without any Cancellation Approval Flow. Booking-947 created.</t>
  </si>
  <si>
    <r>
      <t>Unit was to be booked under "</t>
    </r>
    <r>
      <rPr>
        <b/>
        <sz val="10"/>
        <color theme="1"/>
        <rFont val="Segoe UI"/>
        <family val="2"/>
      </rPr>
      <t>Dilier Sanchez Mora</t>
    </r>
    <r>
      <rPr>
        <sz val="10"/>
        <color theme="1"/>
        <rFont val="Segoe UI"/>
        <family val="2"/>
      </rPr>
      <t xml:space="preserve">" </t>
    </r>
  </si>
  <si>
    <t>Booking-986</t>
  </si>
  <si>
    <t>Booking-989</t>
  </si>
  <si>
    <t>Booking-1019</t>
  </si>
  <si>
    <t xml:space="preserve">Unit was to be booked under "Dilier Sanchez Mora" </t>
  </si>
  <si>
    <t>Booking-1023</t>
  </si>
  <si>
    <t>Booking-776</t>
  </si>
  <si>
    <t>Booking-1084</t>
  </si>
  <si>
    <t>Customer requested to Swap to unit B914. Unit Swapp Approved by Management</t>
  </si>
  <si>
    <t>Swapped from A1812 to B914</t>
  </si>
  <si>
    <t>October</t>
  </si>
  <si>
    <t>September</t>
  </si>
  <si>
    <t>August</t>
  </si>
  <si>
    <t>July</t>
  </si>
  <si>
    <t>Booking-1078</t>
  </si>
  <si>
    <t>Swapped from B1311 to B1513</t>
  </si>
  <si>
    <t>Customer requested to Swap to unit B1513. Unit Swapp Approved by Management</t>
  </si>
  <si>
    <t>November</t>
  </si>
  <si>
    <t>Booking-1028</t>
  </si>
  <si>
    <t>Customer requested to cancel Booking and for the paid amount to be refunded.
Refund approved by Management</t>
  </si>
  <si>
    <t>Booking-1112</t>
  </si>
  <si>
    <t>Unit Swapped with B1312 as approved by Management</t>
  </si>
  <si>
    <t>Swapped from B1912 to B1312</t>
  </si>
  <si>
    <t>Booking-1108</t>
  </si>
  <si>
    <t>Novemeber</t>
  </si>
  <si>
    <t>Booking-1129</t>
  </si>
  <si>
    <t>Booking-1147</t>
  </si>
  <si>
    <t>Cancelled as unit is not part of promotional offer list</t>
  </si>
  <si>
    <t>Unit Not Part of Promotional List</t>
  </si>
  <si>
    <t>Cancelled as unit is not part of promotional offer list - Refund Approved by Management</t>
  </si>
  <si>
    <t>Unit Not Part of Promotional List - Refund Approved by Management</t>
  </si>
  <si>
    <t>Refund approved by Management</t>
  </si>
  <si>
    <t>Booking was created under wrong unit A1619 during Booking process</t>
  </si>
  <si>
    <t>Booking-1133</t>
  </si>
  <si>
    <t>Booking-1110</t>
  </si>
  <si>
    <t>Booking-1114</t>
  </si>
  <si>
    <t>Booking-1025</t>
  </si>
  <si>
    <t>Cancellation raised by Sales Director and approved by CCO</t>
  </si>
  <si>
    <t>Booking-1174</t>
  </si>
  <si>
    <t>Booking-1173</t>
  </si>
  <si>
    <t>Booking-1127</t>
  </si>
  <si>
    <t>Booking-1166</t>
  </si>
  <si>
    <t>Booking-1167</t>
  </si>
  <si>
    <t>Cancelled due to Repricing</t>
  </si>
  <si>
    <t xml:space="preserve">Increase in Price requested by Hussien </t>
  </si>
  <si>
    <t>Cancelled due to Repricing (Increase In Price)</t>
  </si>
  <si>
    <t>Customer purchased 2 units and will now proceed with only Unit B1010. No Refund</t>
  </si>
  <si>
    <t>Swapped from DO 516 to DO 409</t>
  </si>
  <si>
    <t>Unit Swapped with DO 409 as approved by Management</t>
  </si>
  <si>
    <t>Unit Swapped with B518</t>
  </si>
  <si>
    <t>Swapped from A2108 to B518</t>
  </si>
  <si>
    <t>Booking-970</t>
  </si>
  <si>
    <t>Booking-988</t>
  </si>
  <si>
    <t>Booking-1000</t>
  </si>
  <si>
    <t>Booking-594</t>
  </si>
  <si>
    <t>Booking-1044</t>
  </si>
  <si>
    <t>Booking-1020</t>
  </si>
  <si>
    <t>Booking-987</t>
  </si>
  <si>
    <t>Booking-1010</t>
  </si>
  <si>
    <t>Booking-1014</t>
  </si>
  <si>
    <t>Booking-1153</t>
  </si>
  <si>
    <t>Not Available on Finance Tracker</t>
  </si>
  <si>
    <t>Booking-1212</t>
  </si>
  <si>
    <t>Booking-1165</t>
  </si>
  <si>
    <t>Booking-443</t>
  </si>
  <si>
    <t>From Nageswara Rao to Srinivasa Ganta</t>
  </si>
  <si>
    <t>Booking-973</t>
  </si>
  <si>
    <t>Booking-1011</t>
  </si>
  <si>
    <t>Booking-1181</t>
  </si>
  <si>
    <t>Booking-1192</t>
  </si>
  <si>
    <t>Booking-1171</t>
  </si>
  <si>
    <t>Booking-1180</t>
  </si>
  <si>
    <t>Cancellation requested by Egypt Sales Operations Team</t>
  </si>
  <si>
    <t>Cancellation Request raised by Egypt Sales Operations Team</t>
  </si>
  <si>
    <t>Month</t>
  </si>
  <si>
    <t>December</t>
  </si>
  <si>
    <t>Booking-949</t>
  </si>
  <si>
    <t>Booking-1162</t>
  </si>
  <si>
    <t>Booking-1100</t>
  </si>
  <si>
    <t>Booking-1101</t>
  </si>
  <si>
    <t>Customer requested to cancel Booking and for the paid amount to be refunded.
Refund not approved by Management</t>
  </si>
  <si>
    <t>Booking-1224</t>
  </si>
  <si>
    <t>January</t>
  </si>
  <si>
    <t>Booking-951</t>
  </si>
  <si>
    <t>Booking-950</t>
  </si>
  <si>
    <t>Booking-948</t>
  </si>
  <si>
    <t>Booking-1029</t>
  </si>
  <si>
    <t>Booking-1054</t>
  </si>
  <si>
    <t>Booking-864</t>
  </si>
  <si>
    <t>Booking-1231</t>
  </si>
  <si>
    <t>Booking-1226</t>
  </si>
  <si>
    <t>Booking-1111</t>
  </si>
  <si>
    <t>Booking-1085</t>
  </si>
  <si>
    <t>Cancellation Request raised by Sales Operations Team - No Refund</t>
  </si>
  <si>
    <t>NA</t>
  </si>
  <si>
    <t>Customer requested to cancel Booking. Refund not approved by Management</t>
  </si>
  <si>
    <t>Cancellation requested by Hussien</t>
  </si>
  <si>
    <t>Booking-1345</t>
  </si>
  <si>
    <t>Cancelled due to Price Revision</t>
  </si>
  <si>
    <t>Booking-800</t>
  </si>
  <si>
    <t>Booking-1446</t>
  </si>
  <si>
    <t>Unit Swapped with A604 as approved by Management</t>
  </si>
  <si>
    <t>Swapped from B205 to A604</t>
  </si>
  <si>
    <t>Booking-1406</t>
  </si>
  <si>
    <t xml:space="preserve">Booking was created under wrong unit </t>
  </si>
  <si>
    <t>Booking created on unit OR-1403 instead of OR-1402</t>
  </si>
  <si>
    <t>Booking-1451</t>
  </si>
  <si>
    <t>Booking-1443</t>
  </si>
  <si>
    <t>Booking-1392</t>
  </si>
  <si>
    <t>Booking-1252</t>
  </si>
  <si>
    <t>Booking-1253</t>
  </si>
  <si>
    <t>Booking-1254</t>
  </si>
  <si>
    <t>Draft</t>
  </si>
  <si>
    <t>Booking-1423</t>
  </si>
  <si>
    <t>Booking-1434</t>
  </si>
  <si>
    <t>Booking-1462</t>
  </si>
  <si>
    <t>Booking-1420</t>
  </si>
  <si>
    <t>Booking-1330</t>
  </si>
  <si>
    <t>Unit Swapped with OR-707 as approved by Management</t>
  </si>
  <si>
    <t>Swapped from OR-2106 to OR-707</t>
  </si>
  <si>
    <t>Booking-1424</t>
  </si>
  <si>
    <t>Booking-1394</t>
  </si>
  <si>
    <t>Booking-1461</t>
  </si>
  <si>
    <t>Booking-1250</t>
  </si>
  <si>
    <t>Rejected Date</t>
  </si>
  <si>
    <t>Booking-1425</t>
  </si>
  <si>
    <t>Booking-1477</t>
  </si>
  <si>
    <t>Booking-1340</t>
  </si>
  <si>
    <t>Error In Cancellation</t>
  </si>
  <si>
    <t>Unit has been rebooked as SD confirmed payment was cleared</t>
  </si>
  <si>
    <t>Booking-1489</t>
  </si>
  <si>
    <t>Booking-1491</t>
  </si>
  <si>
    <t>Booking-1428</t>
  </si>
  <si>
    <t>Booking-1480</t>
  </si>
  <si>
    <t>Customer initially requested to swap and then changed his mind</t>
  </si>
  <si>
    <t>Unit Swapped with OR-1407 as approved by Management</t>
  </si>
  <si>
    <t>Swapped from B512 to OR-1407</t>
  </si>
  <si>
    <t>Booking-1437</t>
  </si>
  <si>
    <t>Booking-1474</t>
  </si>
  <si>
    <t>Customer requested to cancel Booking</t>
  </si>
  <si>
    <t>Error In Booking</t>
  </si>
  <si>
    <t>Error in Booking</t>
  </si>
  <si>
    <t>Error in Booking - Wrong Customer Selected</t>
  </si>
  <si>
    <t>Booking-1502</t>
  </si>
  <si>
    <t>Booking-1474 - Booking Rejection Request</t>
  </si>
  <si>
    <t>Booking-208 - Booking Rejection Request</t>
  </si>
  <si>
    <t>Booking-541 - Booking Rejection Request</t>
  </si>
  <si>
    <t>Booking-722 - Booking Rejection Request</t>
  </si>
  <si>
    <t>Booking-734 - Booking Rejection Request</t>
  </si>
  <si>
    <t>Booking-735 - Booking Rejection Request</t>
  </si>
  <si>
    <t>Booking-786 - Booking Rejection Request</t>
  </si>
  <si>
    <t>Booking-795 - Booking Rejection Request</t>
  </si>
  <si>
    <t>Booking-804 - Booking Rejection Request</t>
  </si>
  <si>
    <t>Booking-806 - Booking Rejection Request</t>
  </si>
  <si>
    <t>Booking-844 - Booking Rejection Request</t>
  </si>
  <si>
    <t>Booking-865 - Booking Rejection Request</t>
  </si>
  <si>
    <t>Booking-726 - Booking Rejection Request</t>
  </si>
  <si>
    <t>Booking-587 - Booking Rejection Request</t>
  </si>
  <si>
    <t>Booking-836 - Booking Rejections Request</t>
  </si>
  <si>
    <t>Booking-853 - Booking Rejection Request</t>
  </si>
  <si>
    <t>Booking-874 - Booking Rejection Request</t>
  </si>
  <si>
    <t>Booking-968 - Booking Rejection Request</t>
  </si>
  <si>
    <t>Booking-972 - Booking Rejection Request</t>
  </si>
  <si>
    <t>Booking-505 - Booking Rejection Request</t>
  </si>
  <si>
    <t>Booking-882 - Booking Rejection Request</t>
  </si>
  <si>
    <t>Booking-879 - Booking Rejection Request</t>
  </si>
  <si>
    <t>Booking-935 - Booking Rejection Request</t>
  </si>
  <si>
    <t>Booking-971 - Booking Rejection Request</t>
  </si>
  <si>
    <t>Booking-657 - Booking Rejection Request</t>
  </si>
  <si>
    <t>Booking-711 - Booking Rejection Request</t>
  </si>
  <si>
    <t>Booking-783 - Booking Rejection Request</t>
  </si>
  <si>
    <t>Booking-774 - Booking Rejection Request</t>
  </si>
  <si>
    <t>Booking-982 - Booking Rejection Request</t>
  </si>
  <si>
    <t>Booking-916 - Booking Rejection Request</t>
  </si>
  <si>
    <t>Booking-957 - Booking Rejection Request</t>
  </si>
  <si>
    <t>Booking-683 - Booking Rejection Request</t>
  </si>
  <si>
    <t>Booking-851 - Booking Rejection Request</t>
  </si>
  <si>
    <t>Booking-700 - Booking Rejection Request</t>
  </si>
  <si>
    <t>Booking-701 - Booking Rejection Request</t>
  </si>
  <si>
    <t>Booking-980 - Booking Rejection Request</t>
  </si>
  <si>
    <t>Booking-956 - Booking Rejection Request</t>
  </si>
  <si>
    <t>Booking-1030 - Booking Rejection Request</t>
  </si>
  <si>
    <t>Booking-1491 - Booking Rejection Request</t>
  </si>
  <si>
    <t>Booking-1437 - Booking Rejection Request</t>
  </si>
  <si>
    <t>Booking-1480 - Booking Rejection Request</t>
  </si>
  <si>
    <t>Booking-1428 - Booking Rejection Request</t>
  </si>
  <si>
    <t>Booking-1489 - Booking Rejection Request</t>
  </si>
  <si>
    <t>Booking-1340 - Booking Rejection Request</t>
  </si>
  <si>
    <t>Booking-1477 - Booking Rejection Request</t>
  </si>
  <si>
    <t>Booking-1425 - Booking Rejection Request</t>
  </si>
  <si>
    <t>Booking-1250 - Booking Rejection Request</t>
  </si>
  <si>
    <t>Booking-1461 - Booking Rejection Request</t>
  </si>
  <si>
    <t>Booking-1394 - Booking Rejection Request</t>
  </si>
  <si>
    <t>Booking-1424 - Booking Rejection Request</t>
  </si>
  <si>
    <t>Booking-1420 - Booking Rejection Request</t>
  </si>
  <si>
    <t>Booking-1462 - Booking Rejection Request</t>
  </si>
  <si>
    <t>Booking-1330 - Booking Rejection Request</t>
  </si>
  <si>
    <t>Booking-1423 - Booking Rejection Request</t>
  </si>
  <si>
    <t>Booking-1434 - Booking Rejection Request</t>
  </si>
  <si>
    <t>Booking-1254 - Booking Rejection Request</t>
  </si>
  <si>
    <t>Booking-1253 - Booking Rejection Request</t>
  </si>
  <si>
    <t>Booking-1252 - Booking Rejection Request</t>
  </si>
  <si>
    <t>Booking-1443 - Booking Rejection Request</t>
  </si>
  <si>
    <t>Booking-1392 - Booking Rejection Request</t>
  </si>
  <si>
    <t>Booking-1451- Booking Rejection Request</t>
  </si>
  <si>
    <t>Booking-1406 - Booking Rejection Request</t>
  </si>
  <si>
    <t>Booking-1446 - Booking Rejection Request</t>
  </si>
  <si>
    <t>Booking-800 - Booking Rejection Request</t>
  </si>
  <si>
    <t>Booking-1345 - Booking Rejection Request</t>
  </si>
  <si>
    <t>Booking-1085 - Booking Rejection Request</t>
  </si>
  <si>
    <t>Booking-1111 - Booking Rejection Request</t>
  </si>
  <si>
    <t>Booking-1226 - Booking Rejection Request</t>
  </si>
  <si>
    <t>Booking-951 - Booking Rejection Request</t>
  </si>
  <si>
    <t>Booking-1224 - Booking Rejection Request</t>
  </si>
  <si>
    <t>Booking-1101 - Booking Rejection Request</t>
  </si>
  <si>
    <t>Booking-1231 - Booking Rejection Request</t>
  </si>
  <si>
    <t>Booking-864 - Booking Rejection Request</t>
  </si>
  <si>
    <t>Booking-1054 - Booking Rejection Request</t>
  </si>
  <si>
    <t>Booking-1029 - Booking Rejection Request</t>
  </si>
  <si>
    <t>Booking-948 - Booking Rejection Request</t>
  </si>
  <si>
    <t>Booking-950 - Booking Rejection Request</t>
  </si>
  <si>
    <t>Booking-1100 - Booking Rejection Request</t>
  </si>
  <si>
    <t>Booking-1162 - Booking Rejection Request</t>
  </si>
  <si>
    <t>Booking-1171 - Booking Rejection Request</t>
  </si>
  <si>
    <t>Booking-1180 - Booking Rejection Request</t>
  </si>
  <si>
    <t>Booking-1192 - Booking Rejection Request</t>
  </si>
  <si>
    <t>Booking-1181 - Booking Rejection Request</t>
  </si>
  <si>
    <t>Booking-973 - Booking Rejection Request</t>
  </si>
  <si>
    <t>Booking-1001 - Booking Rejection Request</t>
  </si>
  <si>
    <t>Booking-1002 - Booking Rejection Request</t>
  </si>
  <si>
    <t>Booking-1021 - Booking Rejection Request</t>
  </si>
  <si>
    <t>Booking-1022 - Booking Rejection Request</t>
  </si>
  <si>
    <t>Booking-1040 - Booking Rejection Request</t>
  </si>
  <si>
    <t>Booking-1050 - Booking Rejection Request</t>
  </si>
  <si>
    <t>Booking-1015 - Booking Rejection Request</t>
  </si>
  <si>
    <t>Booking-1016 - Booking Rejection Request</t>
  </si>
  <si>
    <t>Booking-1017 - Booking Rejection Request</t>
  </si>
  <si>
    <t>Booking-966 - Booking Rejection Request</t>
  </si>
  <si>
    <t>Booking-986 - Booking Rejection Request</t>
  </si>
  <si>
    <t>Booking-989 - Booking Rejection Request</t>
  </si>
  <si>
    <t>Booking-1019 - Booking Rejection Request</t>
  </si>
  <si>
    <t>Booking-1023 - Booking Rejection Request</t>
  </si>
  <si>
    <t>Booking-776 - Booking Rejection Request</t>
  </si>
  <si>
    <t>Booking-1084 - Booking Rejection Request</t>
  </si>
  <si>
    <t>Booking-1078 - Booking Rejection Request</t>
  </si>
  <si>
    <t>Booking-1108 - Booking Rejection Request</t>
  </si>
  <si>
    <t>Booking-1028 - Booking Rejection Request</t>
  </si>
  <si>
    <t>Booking-1112 - Booking Rejection Request</t>
  </si>
  <si>
    <t>Booking-1147 - Booking Rejection Request</t>
  </si>
  <si>
    <t>Booking-1129 - Booking Rejection Request</t>
  </si>
  <si>
    <t>Booking-1133 - Booking Rejection Request</t>
  </si>
  <si>
    <t>Booking-1110 - Booking Rejection Request</t>
  </si>
  <si>
    <t>Booking-1114 - Booking Rejection Request</t>
  </si>
  <si>
    <t>Booking-1025 - Booking Rejection Request</t>
  </si>
  <si>
    <t>Booking-1167 - Booking Rejection Request</t>
  </si>
  <si>
    <t>Booking-1173 - Booking Rejection Request</t>
  </si>
  <si>
    <t>Booking-1174 - Booking Rejection Request</t>
  </si>
  <si>
    <t>Booking-1127 - Booking Rejection Request</t>
  </si>
  <si>
    <t>Booking-1166 - Booking Rejection Request</t>
  </si>
  <si>
    <t>Booking-970 - Booking Rejection Request</t>
  </si>
  <si>
    <t>Booking-988 - Booking Rejection Request</t>
  </si>
  <si>
    <t>Booking-1000 - Booking Rejection Request</t>
  </si>
  <si>
    <t>Booking-594 - Booking Rejection Request</t>
  </si>
  <si>
    <t>Booking-1044 - Booking Rejection Request</t>
  </si>
  <si>
    <t>Booking-1020 - Booking Rejection Request</t>
  </si>
  <si>
    <t>Booking-987 - Booking Rejection Request</t>
  </si>
  <si>
    <t>Booking-1010 - Booking Rejection Request</t>
  </si>
  <si>
    <t>Booking-1014 - Booking Rejection Request</t>
  </si>
  <si>
    <t>Booking-1153 - Booking Rejection Request</t>
  </si>
  <si>
    <t>Booking-443 - Booking Rejection Request</t>
  </si>
  <si>
    <t>Booking-1212 - Booking Rejection Request</t>
  </si>
  <si>
    <t>Booking-1165 - Booking Rejection Request</t>
  </si>
  <si>
    <t>Booking-949 - Booking Rejection Request</t>
  </si>
  <si>
    <t>Booking-1011 - Booking Rejection Request</t>
  </si>
  <si>
    <t>No Email</t>
  </si>
  <si>
    <t>One Residence</t>
  </si>
  <si>
    <t>Tower 1</t>
  </si>
  <si>
    <t>2 BR</t>
  </si>
  <si>
    <t>Booked</t>
  </si>
  <si>
    <t>China</t>
  </si>
  <si>
    <t>Tanveer Ansari</t>
  </si>
  <si>
    <t>-</t>
  </si>
  <si>
    <t>OR-407</t>
  </si>
  <si>
    <t>Available</t>
  </si>
  <si>
    <t>Wang GuiLian</t>
  </si>
  <si>
    <t>Yang XI</t>
  </si>
  <si>
    <t>WEALTH KEY REAL ESTATE L.L.C</t>
  </si>
  <si>
    <t>a03NM00000Tz8ej</t>
  </si>
  <si>
    <t>OR-1404</t>
  </si>
  <si>
    <t>Vrushali Subhash Desai Subhash Atmaram Desai</t>
  </si>
  <si>
    <t>India</t>
  </si>
  <si>
    <t>Amr Abdelghafar</t>
  </si>
  <si>
    <t>PARKER PREMIER REAL  ESTATE L.L.C.</t>
  </si>
  <si>
    <t>a03NM00000T48MW</t>
  </si>
  <si>
    <t>Laguna Residence</t>
  </si>
  <si>
    <t>Tower B</t>
  </si>
  <si>
    <t>Studio</t>
  </si>
  <si>
    <t>B512</t>
  </si>
  <si>
    <t>Blocked</t>
  </si>
  <si>
    <t>Elsheikh Mohammed Ahmed Wageealla</t>
  </si>
  <si>
    <t>Sudan</t>
  </si>
  <si>
    <t>Feraz Mohamed</t>
  </si>
  <si>
    <t>Metropolitan Capital Real Estate - Sole proprietorship LLC</t>
  </si>
  <si>
    <t>a03NM00000U532a</t>
  </si>
  <si>
    <t>OR-1606</t>
  </si>
  <si>
    <t>Guy Ghosn</t>
  </si>
  <si>
    <t>Lebanon</t>
  </si>
  <si>
    <t>Hossam Mostafa</t>
  </si>
  <si>
    <t>TOP OF THE TOP PROPERTIES  LLC - SPC</t>
  </si>
  <si>
    <t>a03NM00000Sp3v3</t>
  </si>
  <si>
    <t>OR-2507</t>
  </si>
  <si>
    <t>JOEBEN TAI</t>
  </si>
  <si>
    <t>Philippines</t>
  </si>
  <si>
    <t>NOVA VISION REAL ESTATE L.L.C</t>
  </si>
  <si>
    <t>a03NM00000UELMh</t>
  </si>
  <si>
    <t>OR-1301</t>
  </si>
  <si>
    <t>AHMED GAMAL AHMED SAYED ABDELHADY</t>
  </si>
  <si>
    <t>Egypt</t>
  </si>
  <si>
    <t>KINGS EDITION REAL ESTATE L.L.C</t>
  </si>
  <si>
    <t>a03NM00000UDg9u</t>
  </si>
  <si>
    <t>1 BR</t>
  </si>
  <si>
    <t>OR-603</t>
  </si>
  <si>
    <t>Carlos Augusto Castro</t>
  </si>
  <si>
    <t>United Arab Emirates</t>
  </si>
  <si>
    <t>Keana Nagtalon</t>
  </si>
  <si>
    <t>Property Shop Investment LLC</t>
  </si>
  <si>
    <t>a03NM00000SfMyv</t>
  </si>
  <si>
    <t>OR-808</t>
  </si>
  <si>
    <t>REDA AYOUBI</t>
  </si>
  <si>
    <t>United States of America</t>
  </si>
  <si>
    <t>P S I ASSETS REAL ESTATES L.L.C.</t>
  </si>
  <si>
    <t>a03NM00000U0VNa</t>
  </si>
  <si>
    <t>OR-1205</t>
  </si>
  <si>
    <t>George michael Baida</t>
  </si>
  <si>
    <t>LEGACY LIVING REAL ESTATE - L.L.C - S.P.C</t>
  </si>
  <si>
    <t>a03NM00000Soffx</t>
  </si>
  <si>
    <t>Do Dubai Island</t>
  </si>
  <si>
    <t>1 Bedroom</t>
  </si>
  <si>
    <t>106</t>
  </si>
  <si>
    <t>Albert Nesterov</t>
  </si>
  <si>
    <t>Russia</t>
  </si>
  <si>
    <t>Vladyslav Parkhomchuk</t>
  </si>
  <si>
    <t>Rich Property Real Estate Brokerages LLC</t>
  </si>
  <si>
    <t>a03NM00000PGtRx</t>
  </si>
  <si>
    <t>FAHD AYOUBI</t>
  </si>
  <si>
    <t>a03NM00000Tn6ef</t>
  </si>
  <si>
    <t>OR-809</t>
  </si>
  <si>
    <t>a03NM00000Snp7v</t>
  </si>
  <si>
    <t>OR-610</t>
  </si>
  <si>
    <t>Mohammad Kerdi</t>
  </si>
  <si>
    <t>a03NM00000SpEbx</t>
  </si>
  <si>
    <t>OR-1309</t>
  </si>
  <si>
    <t>NANIK RAM PARMANAND</t>
  </si>
  <si>
    <t>Pakistan</t>
  </si>
  <si>
    <t>a03NM00000SoqTB</t>
  </si>
  <si>
    <t>OR-2404</t>
  </si>
  <si>
    <t>Bader saeed Mohammedd Salem Allamki</t>
  </si>
  <si>
    <t>Jamil Ibrahim</t>
  </si>
  <si>
    <t>CAPITAL AVENUE REAL ESTATE SOLE PROPRIETORSHIP L.L.C.</t>
  </si>
  <si>
    <t>a03NM00000TnDt3</t>
  </si>
  <si>
    <t>OR-2106</t>
  </si>
  <si>
    <t>Khaja Huzoor Ahamed khan Hussain khan Ahamed Khan</t>
  </si>
  <si>
    <t>Mohamed Safraji</t>
  </si>
  <si>
    <t>a03NM00000Sdqy3</t>
  </si>
  <si>
    <t>3 BR</t>
  </si>
  <si>
    <t>OR-2602</t>
  </si>
  <si>
    <t>MOHAMMED ABBAS HUSSAIN Al Obaidi</t>
  </si>
  <si>
    <t>Iraq</t>
  </si>
  <si>
    <t>Royal Lounge Properties L.L.C.</t>
  </si>
  <si>
    <t>a03NM00000SooOA</t>
  </si>
  <si>
    <t>OR-803</t>
  </si>
  <si>
    <t>SARA МОНАМЕD DIB</t>
  </si>
  <si>
    <t>Syria</t>
  </si>
  <si>
    <t/>
  </si>
  <si>
    <t>a03NM00000T3Aju</t>
  </si>
  <si>
    <t>508</t>
  </si>
  <si>
    <t>Cemal Atilla Birmis</t>
  </si>
  <si>
    <t>Turkey</t>
  </si>
  <si>
    <t>Midia Sedighi</t>
  </si>
  <si>
    <t>PRIME RICHMOND PROPERTIES L.L.C</t>
  </si>
  <si>
    <t>a03NM00000PHQvn</t>
  </si>
  <si>
    <t>409</t>
  </si>
  <si>
    <t>a03NM00000PHOxF</t>
  </si>
  <si>
    <t>204</t>
  </si>
  <si>
    <t>a03NM00000PHY8X</t>
  </si>
  <si>
    <t>OR-402</t>
  </si>
  <si>
    <t>Dana Imad Aldin Al Afiouni</t>
  </si>
  <si>
    <t>Real Urban Modern International Real Estate L. L. C -S. P.C</t>
  </si>
  <si>
    <t>a03NM00000TALnK</t>
  </si>
  <si>
    <t>a03NM00000SoeoZ</t>
  </si>
  <si>
    <t>OR-2506</t>
  </si>
  <si>
    <t>Amiran Kavkasidze</t>
  </si>
  <si>
    <t>Switzerland</t>
  </si>
  <si>
    <t>Claire Moussa</t>
  </si>
  <si>
    <t>IOKA International Real Estate LLC</t>
  </si>
  <si>
    <t>a03NM00000TN2AV</t>
  </si>
  <si>
    <t>OR-1403</t>
  </si>
  <si>
    <t>Anton Mikhailov</t>
  </si>
  <si>
    <t>a03NM00000Son8f</t>
  </si>
  <si>
    <t>OR-1503</t>
  </si>
  <si>
    <t>Mayank Chadha</t>
  </si>
  <si>
    <t>EAST WEST HOMES PROPERTIES - L.L.C - S.P.C</t>
  </si>
  <si>
    <t>a03NM00000TBPLr</t>
  </si>
  <si>
    <t>B205</t>
  </si>
  <si>
    <t>Mohanad Adel Abdo Saif</t>
  </si>
  <si>
    <t>Yemen</t>
  </si>
  <si>
    <t>Ramy Abdelsalam</t>
  </si>
  <si>
    <t>STARS AND SANDS PROPERTIES L.L.C</t>
  </si>
  <si>
    <t>a03J6000009mhWb</t>
  </si>
  <si>
    <t>OR-810</t>
  </si>
  <si>
    <t>Andrea Nannini</t>
  </si>
  <si>
    <t>Italy</t>
  </si>
  <si>
    <t>Hussam Haitham Alrez</t>
  </si>
  <si>
    <t>NARA REAL ESTATE SOLE PROPRIETORSHIP  L.L.C</t>
  </si>
  <si>
    <t>a03NM00000Sf0vZ</t>
  </si>
  <si>
    <t>B914</t>
  </si>
  <si>
    <t>Syeda Sadiya</t>
  </si>
  <si>
    <t>Aqsa Bhatti</t>
  </si>
  <si>
    <t>MUHAMMAD SAEEDI REAL ESTATE MANAGEMENT SUPERVISION SERVICES L.L.C</t>
  </si>
  <si>
    <t>a03J600000FmHk1</t>
  </si>
  <si>
    <t>B814</t>
  </si>
  <si>
    <t>Harutyun Melikyan</t>
  </si>
  <si>
    <t>Armenia</t>
  </si>
  <si>
    <t>Zarina Avdalian</t>
  </si>
  <si>
    <t>ALBINA MKRTCHYAN REAL ESTATE</t>
  </si>
  <si>
    <t>a03J600000Fmas0</t>
  </si>
  <si>
    <t>2 Bedroom</t>
  </si>
  <si>
    <t>B2101</t>
  </si>
  <si>
    <t>Garry Anthony Mebane</t>
  </si>
  <si>
    <t>Jude Kwakye</t>
  </si>
  <si>
    <t>ANCHORMAN REAL ESTATE L.L.C</t>
  </si>
  <si>
    <t>a03NM00000NvuTI</t>
  </si>
  <si>
    <t>Tower A</t>
  </si>
  <si>
    <t>A3113</t>
  </si>
  <si>
    <t>Osha Ali Salmeen Ali Almazrouei</t>
  </si>
  <si>
    <t>Mohamed El Shimy</t>
  </si>
  <si>
    <t>Eleva Properties LLC</t>
  </si>
  <si>
    <t>a03J600000BrdNw</t>
  </si>
  <si>
    <t>206</t>
  </si>
  <si>
    <t>Jens Michael Engelhardt</t>
  </si>
  <si>
    <t>Metropolitan Premium Properties</t>
  </si>
  <si>
    <t>a03NM00000Nuh6f</t>
  </si>
  <si>
    <t>B1513</t>
  </si>
  <si>
    <t>Poorva Avinash Rupawate</t>
  </si>
  <si>
    <t>BANKE INTERNATIONAL PROPERTIES L.L.C</t>
  </si>
  <si>
    <t>a03J600000FmRI5</t>
  </si>
  <si>
    <t>A1917</t>
  </si>
  <si>
    <t>Vijay Kumar Bhatia</t>
  </si>
  <si>
    <t>Sumeet Mehta</t>
  </si>
  <si>
    <t>a03NM00000OQ12h</t>
  </si>
  <si>
    <t>A1622</t>
  </si>
  <si>
    <t>Magdi H F Al Hassi</t>
  </si>
  <si>
    <t>Libya</t>
  </si>
  <si>
    <t>F B B REAL ESTATE BROKERAGE LLC.</t>
  </si>
  <si>
    <t>a03J6000009oRWK</t>
  </si>
  <si>
    <t>B2303</t>
  </si>
  <si>
    <t>Michael Talarico</t>
  </si>
  <si>
    <t>Australia</t>
  </si>
  <si>
    <t>Fadwa Belkaid</t>
  </si>
  <si>
    <t>SEVEN CENTURY REAL ESTATE BROKERS L.L.C</t>
  </si>
  <si>
    <t>a03J600000BuBcq</t>
  </si>
  <si>
    <t>B3303</t>
  </si>
  <si>
    <t>Blake Taylor Talarico</t>
  </si>
  <si>
    <t>a03J600000BtrEr</t>
  </si>
  <si>
    <t>A2913</t>
  </si>
  <si>
    <t>Saleha Mubarak Murshed Ali Almarar</t>
  </si>
  <si>
    <t>a03J600000BrdNX</t>
  </si>
  <si>
    <t>A3013</t>
  </si>
  <si>
    <t>Jaber Ali Salmeen Ali Almazrouei</t>
  </si>
  <si>
    <t>a03J600000BrdNr</t>
  </si>
  <si>
    <t>A1611</t>
  </si>
  <si>
    <t>SPA Executed</t>
  </si>
  <si>
    <t>Su Mon Phyo</t>
  </si>
  <si>
    <t>Myanmar (formerly Burma)</t>
  </si>
  <si>
    <t>TRILUXE LIVING PROPERTIES LLC</t>
  </si>
  <si>
    <t>a03J600000FmRFL</t>
  </si>
  <si>
    <t>B1807</t>
  </si>
  <si>
    <t>Riad El Kaddouri</t>
  </si>
  <si>
    <t>Netherlands</t>
  </si>
  <si>
    <t>Joudy Shaker</t>
  </si>
  <si>
    <t>GLOBEX REAL ESTATE L L C</t>
  </si>
  <si>
    <t>a03NM00000MY1oE</t>
  </si>
  <si>
    <t>Do New Cairo</t>
  </si>
  <si>
    <t>Hotel Apartments</t>
  </si>
  <si>
    <t>DNC-HA-207</t>
  </si>
  <si>
    <t>Ahmed Mohamed said zakria</t>
  </si>
  <si>
    <t>Omar Magdy</t>
  </si>
  <si>
    <t>a03NM00000Moq0S</t>
  </si>
  <si>
    <t>Offices</t>
  </si>
  <si>
    <t>DNC-O3-111</t>
  </si>
  <si>
    <t>Ali ali nasr nouh</t>
  </si>
  <si>
    <t>Rowan Abbady</t>
  </si>
  <si>
    <t>a03NM00000Mpzj9</t>
  </si>
  <si>
    <t>DNC-HA-219</t>
  </si>
  <si>
    <t>Tawfik Salah Eldin Ahmed Diab</t>
  </si>
  <si>
    <t>Hana Soliman</t>
  </si>
  <si>
    <t>a03NM00000Mqxc2</t>
  </si>
  <si>
    <t>DNC-HA-420</t>
  </si>
  <si>
    <t>a03NM00000MpXlJ</t>
  </si>
  <si>
    <t>B3012</t>
  </si>
  <si>
    <t>Mohammed Fardin Khan</t>
  </si>
  <si>
    <t>Sevenx Properties LLC</t>
  </si>
  <si>
    <t>a03J600000Bs7e5</t>
  </si>
  <si>
    <t>A2305</t>
  </si>
  <si>
    <t>Amr Mahdy Sallam Mahmoud</t>
  </si>
  <si>
    <t>Feriel Dridi</t>
  </si>
  <si>
    <t>a03J600000BtKzJ</t>
  </si>
  <si>
    <t>A2713</t>
  </si>
  <si>
    <t>Meera Ali Salmeen Ali Almazrouei</t>
  </si>
  <si>
    <t>a03J600000BrdNh</t>
  </si>
  <si>
    <t>609</t>
  </si>
  <si>
    <t>Samir Bahida</t>
  </si>
  <si>
    <t>Morocco</t>
  </si>
  <si>
    <t>Rihab Zayani</t>
  </si>
  <si>
    <t>Marrfa Discovery Real Estate L.L.C</t>
  </si>
  <si>
    <t>a03NM00000Mjg07</t>
  </si>
  <si>
    <t>Ali Lafhel</t>
  </si>
  <si>
    <t>a03NM00000N5lih</t>
  </si>
  <si>
    <t>A1914</t>
  </si>
  <si>
    <t>Nageswara Rao Gupta Manepalli</t>
  </si>
  <si>
    <t>Khamid Marzaganov</t>
  </si>
  <si>
    <t>CHALET INTERNATIONAL REAL ESTATE L.L.C</t>
  </si>
  <si>
    <t>a03J60000060Aow</t>
  </si>
  <si>
    <t>19102</t>
  </si>
  <si>
    <t>404</t>
  </si>
  <si>
    <t>Lady Johanna Morales Torres</t>
  </si>
  <si>
    <t>Colombia</t>
  </si>
  <si>
    <t>Alona Lurdes</t>
  </si>
  <si>
    <t>PROVIDENT REAL ESTATE BROKER L.L.C</t>
  </si>
  <si>
    <t>a03NM00000MRfSF</t>
  </si>
  <si>
    <t>A4205</t>
  </si>
  <si>
    <t>Amer Darweesh Ali Almoseimi</t>
  </si>
  <si>
    <t>Jordan</t>
  </si>
  <si>
    <t>a03J600000BtSUB</t>
  </si>
  <si>
    <t>A1014</t>
  </si>
  <si>
    <t>Ayesha Ibrahim Obaid Ismail Alhamsha</t>
  </si>
  <si>
    <t>a03J600000BtKfI</t>
  </si>
  <si>
    <t>B2812</t>
  </si>
  <si>
    <t>Michael Adom Adomako</t>
  </si>
  <si>
    <t>Ghana</t>
  </si>
  <si>
    <t>PREMIA LIVINGS REAL ESTATE L.L.C</t>
  </si>
  <si>
    <t>a03J600000BsZtT</t>
  </si>
  <si>
    <t>A2807</t>
  </si>
  <si>
    <t>Chapol Molla Ali Ahamed Molla</t>
  </si>
  <si>
    <t>Bangladesh</t>
  </si>
  <si>
    <t>a03J600000BteaL</t>
  </si>
  <si>
    <t>B1219</t>
  </si>
  <si>
    <t>Ansam Adnan Sadiq</t>
  </si>
  <si>
    <t>a03J600000BtyRL</t>
  </si>
  <si>
    <t>B402</t>
  </si>
  <si>
    <t>Madyan Maher Jameel Rishan</t>
  </si>
  <si>
    <t>NESTSEEKERS REAL ESTATE L.L.C</t>
  </si>
  <si>
    <t>a03J60000081ULp</t>
  </si>
  <si>
    <t>A2014</t>
  </si>
  <si>
    <t>Zainab Mohammed Saif Obaid</t>
  </si>
  <si>
    <t>a03J600000Bswpp</t>
  </si>
  <si>
    <t>A2712</t>
  </si>
  <si>
    <t>a03J600000BsZxQ</t>
  </si>
  <si>
    <t>A1716</t>
  </si>
  <si>
    <t>Farah Ahmad Saeed Khalifa Almarri</t>
  </si>
  <si>
    <t>a03J600000Bs5Df</t>
  </si>
  <si>
    <t>516</t>
  </si>
  <si>
    <t>a03NM00000MjL2C</t>
  </si>
  <si>
    <t>B614</t>
  </si>
  <si>
    <t>Argishti Darbinyan</t>
  </si>
  <si>
    <t>a03J600000FmbmR</t>
  </si>
  <si>
    <t>DNC-HA-401</t>
  </si>
  <si>
    <t>hossam saeed abdel fattah</t>
  </si>
  <si>
    <t>Ahmed Arafat</t>
  </si>
  <si>
    <t>a03NM00000MpNh3</t>
  </si>
  <si>
    <t>DNC-O3-312</t>
  </si>
  <si>
    <t>a03NM00000MpL49</t>
  </si>
  <si>
    <t>A2108</t>
  </si>
  <si>
    <t>Mohamed Abdelhakim Elsayed Mahmoud Amer</t>
  </si>
  <si>
    <t>Osama Elsharkasy</t>
  </si>
  <si>
    <t>a03NM00000Mk4gg</t>
  </si>
  <si>
    <t>110</t>
  </si>
  <si>
    <t>Ekaterina Shipova</t>
  </si>
  <si>
    <t>Gulnoz Khodjayeva</t>
  </si>
  <si>
    <t>Home Liga Real Estate</t>
  </si>
  <si>
    <t>a03J600000Bth7k</t>
  </si>
  <si>
    <t>B714</t>
  </si>
  <si>
    <t>Albina Mkrtchyan</t>
  </si>
  <si>
    <t>a03J600000FmbGz</t>
  </si>
  <si>
    <t>B911</t>
  </si>
  <si>
    <t>Gor Keshishoghlyan</t>
  </si>
  <si>
    <t>a03J600000Fmam0</t>
  </si>
  <si>
    <t>B412</t>
  </si>
  <si>
    <t>Omar Mohamed Mohamed  Ibrahim</t>
  </si>
  <si>
    <t>Shady Amin</t>
  </si>
  <si>
    <t>a03J600000Fmbe8</t>
  </si>
  <si>
    <t>A1619</t>
  </si>
  <si>
    <t>Roman Alexandrovich Grichanchenko</t>
  </si>
  <si>
    <t>Ahmed Eissa</t>
  </si>
  <si>
    <t>FIDU PROPERTY REAL ESTATE BROKERAGE</t>
  </si>
  <si>
    <t>a03J600000Fmbp1</t>
  </si>
  <si>
    <t>B1312</t>
  </si>
  <si>
    <t>Hagop Karapetjan</t>
  </si>
  <si>
    <t>EMIRALD REAL ESTATE</t>
  </si>
  <si>
    <t>a03NM00000M57D1</t>
  </si>
  <si>
    <t>B1912</t>
  </si>
  <si>
    <t>a03J600000FmbAw</t>
  </si>
  <si>
    <t>A418</t>
  </si>
  <si>
    <t>Yara Mohammad Alloush</t>
  </si>
  <si>
    <t>Yara Haddad</t>
  </si>
  <si>
    <t>a03J600000Btkky</t>
  </si>
  <si>
    <t>B2714</t>
  </si>
  <si>
    <t>a03J600000FmaPA</t>
  </si>
  <si>
    <t>B1311</t>
  </si>
  <si>
    <t>a03J600000Fm7go</t>
  </si>
  <si>
    <t>A1812</t>
  </si>
  <si>
    <t>a03J600000FmEA4</t>
  </si>
  <si>
    <t>B403</t>
  </si>
  <si>
    <t>Yousef Saeed Hamad Dalwan Alketbi</t>
  </si>
  <si>
    <t>a03J6000009lyri</t>
  </si>
  <si>
    <t>B1208</t>
  </si>
  <si>
    <t>Aashish Bindra</t>
  </si>
  <si>
    <t>a03J600000Bth5b</t>
  </si>
  <si>
    <t>B2503</t>
  </si>
  <si>
    <t>Achal Gupta</t>
  </si>
  <si>
    <t>a03J600000Btbev</t>
  </si>
  <si>
    <t>3 Bedroom</t>
  </si>
  <si>
    <t>A107</t>
  </si>
  <si>
    <t>Afrah Mohi Eldin Bilal Ali</t>
  </si>
  <si>
    <t>a03J600000BsaJy</t>
  </si>
  <si>
    <t>A2122</t>
  </si>
  <si>
    <t>Sharbel Chehade</t>
  </si>
  <si>
    <t>SYKON PROPERTIES L.L.C</t>
  </si>
  <si>
    <t>a03J600000BsZmC</t>
  </si>
  <si>
    <t>A801</t>
  </si>
  <si>
    <t>Joseph Mallekkattu</t>
  </si>
  <si>
    <t>Yasmin Bahader</t>
  </si>
  <si>
    <t>Poseidon Real Estate LLC</t>
  </si>
  <si>
    <t>a03J600000Bs0mh</t>
  </si>
  <si>
    <t>A2618</t>
  </si>
  <si>
    <t>Chidinma Joyce Odiaka</t>
  </si>
  <si>
    <t>Nigeria</t>
  </si>
  <si>
    <t>Hocem Amouri</t>
  </si>
  <si>
    <t>SKYRAN REAL ESTATE L.L.C</t>
  </si>
  <si>
    <t>a03J600000BtW0H</t>
  </si>
  <si>
    <t>A2718</t>
  </si>
  <si>
    <t>Abubakar Salihu Sadiq</t>
  </si>
  <si>
    <t>a03J600000BtSoj</t>
  </si>
  <si>
    <t>A3118</t>
  </si>
  <si>
    <t>Angela Luyanda Portia Gqirana</t>
  </si>
  <si>
    <t>South Africa</t>
  </si>
  <si>
    <t>Nihal Mohamed</t>
  </si>
  <si>
    <t>a03J600000BtSnl</t>
  </si>
  <si>
    <t>B1205</t>
  </si>
  <si>
    <t>Haaris Aslam Selia</t>
  </si>
  <si>
    <t>R E M REAL ESTATE BROKER OWNED BY MUNA SAYED SAEED ALHASHEMI</t>
  </si>
  <si>
    <t>a03J600000Bu1f5</t>
  </si>
  <si>
    <t>B1103</t>
  </si>
  <si>
    <t>Basel Amin Yahia</t>
  </si>
  <si>
    <t>Fadi Ismander</t>
  </si>
  <si>
    <t>RISE PROPERTIES L.L.C</t>
  </si>
  <si>
    <t>a03J600000Bty49</t>
  </si>
  <si>
    <t>316</t>
  </si>
  <si>
    <t>Soufian Chamlal</t>
  </si>
  <si>
    <t>a03J600000BtgwE</t>
  </si>
  <si>
    <t>A2107</t>
  </si>
  <si>
    <t>a03J600000Btgwh</t>
  </si>
  <si>
    <t>A4005</t>
  </si>
  <si>
    <t>Ibrahim Caner Ozger</t>
  </si>
  <si>
    <t>Mariam Shakuhi</t>
  </si>
  <si>
    <t>a03J600000Bsxl8</t>
  </si>
  <si>
    <t>A4105</t>
  </si>
  <si>
    <t>Muhammed Devvud</t>
  </si>
  <si>
    <t>a03J600000Bsxkr</t>
  </si>
  <si>
    <t>B2402</t>
  </si>
  <si>
    <t>Rami Kamaleldin Elnour Fadul</t>
  </si>
  <si>
    <t>a03J600000Btrkg</t>
  </si>
  <si>
    <t>Stanislav Krulic</t>
  </si>
  <si>
    <t>Croatia</t>
  </si>
  <si>
    <t>Zeynep Mustekin</t>
  </si>
  <si>
    <t>CAMELIA REAL ESTATE</t>
  </si>
  <si>
    <t>a03J600000Brhg4</t>
  </si>
  <si>
    <t>A2112</t>
  </si>
  <si>
    <t>Shiv Gupta</t>
  </si>
  <si>
    <t>SOVEEREIGN ASSETS REAL ESTATE L.L.C</t>
  </si>
  <si>
    <t>a03J600000BsM90</t>
  </si>
  <si>
    <t>B2006</t>
  </si>
  <si>
    <t>Hawbir Hassan</t>
  </si>
  <si>
    <t>a03J6000009l02q</t>
  </si>
  <si>
    <t>B1906</t>
  </si>
  <si>
    <t>a03J6000009l01j</t>
  </si>
  <si>
    <t>A419</t>
  </si>
  <si>
    <t>Kerstin Schimkus</t>
  </si>
  <si>
    <t>Germany</t>
  </si>
  <si>
    <t>FNM PROPERTIES LLC</t>
  </si>
  <si>
    <t>a03J6000009o5SN</t>
  </si>
  <si>
    <t>B1306</t>
  </si>
  <si>
    <t>Hamad Bader Ahmed Ali Alyafei</t>
  </si>
  <si>
    <t>Unique Properties L.L.C</t>
  </si>
  <si>
    <t>a03J6000009kab1</t>
  </si>
  <si>
    <t>112</t>
  </si>
  <si>
    <t>Murat Gumusluol</t>
  </si>
  <si>
    <t>HAKI MULTIMODAL LOJISTIK HIZMETLERI ANONIM SIRKETI</t>
  </si>
  <si>
    <t>a03J600000Brj9X</t>
  </si>
  <si>
    <t>318</t>
  </si>
  <si>
    <t>Denisa Freundova</t>
  </si>
  <si>
    <t>Slovakia</t>
  </si>
  <si>
    <t>MOVE HOMES REAL ESTATE BROKERS L.L.C</t>
  </si>
  <si>
    <t>a03J600000Br87K</t>
  </si>
  <si>
    <t>Hayder Abbas Ahmed Al Iessa</t>
  </si>
  <si>
    <t>a03J600000BsMq5</t>
  </si>
  <si>
    <t>B405</t>
  </si>
  <si>
    <t>Katharina Junimann Appelhans</t>
  </si>
  <si>
    <t>a03J6000009lyYB</t>
  </si>
  <si>
    <t>A2115</t>
  </si>
  <si>
    <t>ANJA SPRINZ</t>
  </si>
  <si>
    <t>a03J6000009mBJ1</t>
  </si>
  <si>
    <t>B323</t>
  </si>
  <si>
    <t>Sivakeerthi Kumarathas</t>
  </si>
  <si>
    <t>United Kingdom</t>
  </si>
  <si>
    <t>a03J6000009lRBS</t>
  </si>
  <si>
    <t>A1311</t>
  </si>
  <si>
    <t>Aiham Addi</t>
  </si>
  <si>
    <t>a03J60000082sgj</t>
  </si>
  <si>
    <t>B3103</t>
  </si>
  <si>
    <t>a03J600000Bs5Zm</t>
  </si>
  <si>
    <t>107</t>
  </si>
  <si>
    <t>Onur Tukel</t>
  </si>
  <si>
    <t>Canada</t>
  </si>
  <si>
    <t>Parcel Real Estates L.L.C</t>
  </si>
  <si>
    <t>a03J600000BrKLL</t>
  </si>
  <si>
    <t>B308</t>
  </si>
  <si>
    <t>Touria Agallouch</t>
  </si>
  <si>
    <t>a03J600000BqiQg</t>
  </si>
  <si>
    <t>A106</t>
  </si>
  <si>
    <t>Daniel Phinn</t>
  </si>
  <si>
    <t>Paul Anthony Smith</t>
  </si>
  <si>
    <t>a03J600000Bqgbk</t>
  </si>
  <si>
    <t>B917</t>
  </si>
  <si>
    <t>Abdelkarim Ghaizi</t>
  </si>
  <si>
    <t>Tunisia</t>
  </si>
  <si>
    <t>a03J600000BqiQI</t>
  </si>
  <si>
    <t>A103</t>
  </si>
  <si>
    <t>Moinuddin Mansuri</t>
  </si>
  <si>
    <t>a03J6000007zo3p</t>
  </si>
  <si>
    <t>21502</t>
  </si>
  <si>
    <t>A1801</t>
  </si>
  <si>
    <t>RANGE INTERNATIONAL PROPERTY INVESTMENT ONE PERSON COMPANY L.L.C</t>
  </si>
  <si>
    <t>a03J600000Bs7ad</t>
  </si>
  <si>
    <t>A3103</t>
  </si>
  <si>
    <t>Vishal Sardana</t>
  </si>
  <si>
    <t>Blaze Realty L.L.C</t>
  </si>
  <si>
    <t>a03J600000Bs37n</t>
  </si>
  <si>
    <t>403</t>
  </si>
  <si>
    <t>Sriram Rajagopalan Rajagopalan</t>
  </si>
  <si>
    <t>Gwt real estate agent</t>
  </si>
  <si>
    <t>a03J600000BrxUQ</t>
  </si>
  <si>
    <t>211</t>
  </si>
  <si>
    <t>reem a lkhalaf</t>
  </si>
  <si>
    <t>Nehad Abdelmeguid</t>
  </si>
  <si>
    <t>AHYAN REAL ESTATE BROKER</t>
  </si>
  <si>
    <t>a03J6000009ogJ6</t>
  </si>
  <si>
    <t>A322</t>
  </si>
  <si>
    <t>Batuhan Nuri Melek</t>
  </si>
  <si>
    <t>a03J600000BrZYd</t>
  </si>
  <si>
    <t>A2514</t>
  </si>
  <si>
    <t>Shon Philip Koshy</t>
  </si>
  <si>
    <t>a03J600000BrYy2</t>
  </si>
  <si>
    <t>a03J6000009oMOO</t>
  </si>
  <si>
    <t>Omar Rezgani</t>
  </si>
  <si>
    <t>a03J6000009nfhe</t>
  </si>
  <si>
    <t>B1720</t>
  </si>
  <si>
    <t>GUSTAV SJUNNESSON</t>
  </si>
  <si>
    <t>Sweden</t>
  </si>
  <si>
    <t>Karen Altabaa</t>
  </si>
  <si>
    <t>S B H PROPERTIES FZE</t>
  </si>
  <si>
    <t>a03J60000081BOq</t>
  </si>
  <si>
    <t>26802</t>
  </si>
  <si>
    <t>601</t>
  </si>
  <si>
    <t>UNDINE ELISABETH GELPKE</t>
  </si>
  <si>
    <t>P E R A REAL ESTATE L.L.C</t>
  </si>
  <si>
    <t>a03J6000009lYbm</t>
  </si>
  <si>
    <t>314</t>
  </si>
  <si>
    <t>Daniel Koluman</t>
  </si>
  <si>
    <t>GUROVA REAL ESTATE LLC</t>
  </si>
  <si>
    <t>a03J6000009oU6U</t>
  </si>
  <si>
    <t>A417</t>
  </si>
  <si>
    <t>Ephraim Pelino Cosinero</t>
  </si>
  <si>
    <t>a03J6000009no2b</t>
  </si>
  <si>
    <t>a03J6000009mxJ1</t>
  </si>
  <si>
    <t>216</t>
  </si>
  <si>
    <t>a03J6000009mxIc</t>
  </si>
  <si>
    <t>A2110</t>
  </si>
  <si>
    <t>Aziz Ghassan Saba</t>
  </si>
  <si>
    <t>a03J6000009mayR</t>
  </si>
  <si>
    <t>618</t>
  </si>
  <si>
    <t>GIORGIO SAIU</t>
  </si>
  <si>
    <t>Aarniko Consulting/Mr. FELICE LAFORZA</t>
  </si>
  <si>
    <t>a03J6000009mQVN</t>
  </si>
  <si>
    <t>509</t>
  </si>
  <si>
    <t>Ramazan ozturk</t>
  </si>
  <si>
    <t>Seven Luxury Real Estate L.L.C</t>
  </si>
  <si>
    <t>a03J6000009la3Y</t>
  </si>
  <si>
    <t>612</t>
  </si>
  <si>
    <t>Ahmed Bharkhat Roheb</t>
  </si>
  <si>
    <t>GOLD MILE PROPERTIES</t>
  </si>
  <si>
    <t>a03J6000009la30</t>
  </si>
  <si>
    <t>502</t>
  </si>
  <si>
    <t>MAXIMILIAN WINZLMEIER</t>
  </si>
  <si>
    <t>H&amp;S REAL ESTATE LLC</t>
  </si>
  <si>
    <t>a03J6000009lWlJ</t>
  </si>
  <si>
    <t>A918</t>
  </si>
  <si>
    <t>Hayah Mohammed Abdulla Mohamed Alnuaimi</t>
  </si>
  <si>
    <t>a03J60000080F5C</t>
  </si>
  <si>
    <t>23702</t>
  </si>
  <si>
    <t>A4001</t>
  </si>
  <si>
    <t>Alem Mengstu Meles</t>
  </si>
  <si>
    <t>Ethiopia</t>
  </si>
  <si>
    <t>a03J6000003iewX</t>
  </si>
  <si>
    <t>14633</t>
  </si>
  <si>
    <t>Booking-1445</t>
  </si>
  <si>
    <t>Booking-1352</t>
  </si>
  <si>
    <t>Booking-1467</t>
  </si>
  <si>
    <t>Customer requested to cancel Booking.</t>
  </si>
  <si>
    <t>Booking-1255</t>
  </si>
  <si>
    <t xml:space="preserve">Customer requested to Change Ownership </t>
  </si>
  <si>
    <t>Customer requested to Change Ownership from</t>
  </si>
  <si>
    <t>Customer requested to Change Ownership</t>
  </si>
  <si>
    <t>From Saleh Naji Ali Gamil to JABAL ALSAHRA TRANSPORT PASSENGERS BY BUS - L.L.C - S.P.C</t>
  </si>
  <si>
    <t>Booking-1352 - Booking Rejection Request</t>
  </si>
  <si>
    <t>Booking-1255 - Booking Rejection Request</t>
  </si>
  <si>
    <t>Booking-1502 - Booking Rejection Request</t>
  </si>
  <si>
    <t>Booking-1445 - Booking Rejection Request</t>
  </si>
  <si>
    <t>Booking-1467 - Booking Rejection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</si>
</sst>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AED&quot;#,##0.00;[Red]\-&quot;AED&quot;#,##0.00"/>
    <numFmt numFmtId="164" formatCode="0.0%"/>
    <numFmt numFmtId="165" formatCode="[$AED]\ #,##0.00;[Red]\-[$AED]\ #,##0.00"/>
  </numFmts>
  <fonts count="73" x14ac:knownFonts="1">
    <font>
      <sz val="11"/>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b/>
      <sz val="10"/>
      <color theme="0"/>
      <name val="Segoe UI"/>
      <family val="2"/>
    </font>
    <font>
      <sz val="11"/>
      <color theme="1"/>
      <name val="Segoe UI"/>
      <family val="2"/>
    </font>
    <font>
      <b/>
      <sz val="10"/>
      <name val="Segoe UI"/>
      <family val="2"/>
    </font>
    <font>
      <u/>
      <sz val="11"/>
      <color theme="10"/>
      <name val="Segoe UI"/>
      <family val="2"/>
    </font>
    <font>
      <sz val="10"/>
      <color rgb="FFFF0000"/>
      <name val="Segoe UI"/>
      <family val="2"/>
    </font>
    <font>
      <sz val="10"/>
      <name val="Segoe UI"/>
      <family val="2"/>
    </font>
    <font>
      <b/>
      <sz val="10"/>
      <color indexed="81"/>
      <name val="Segoe UI"/>
      <family val="2"/>
    </font>
    <font>
      <sz val="10"/>
      <color indexed="81"/>
      <name val="Segoe UI"/>
      <family val="2"/>
    </font>
    <font>
      <sz val="8"/>
      <name val="Segoe UI"/>
      <family val="2"/>
    </font>
    <font>
      <b/>
      <sz val="11"/>
      <color theme="1"/>
      <name val="Segoe UI"/>
      <family val="2"/>
    </font>
    <font>
      <sz val="11"/>
      <color theme="0"/>
      <name val="Segoe UI"/>
      <family val="2"/>
    </font>
    <font>
      <b/>
      <sz val="10"/>
      <color theme="1"/>
      <name val="Segoe UI"/>
      <family val="2"/>
    </font>
    <font>
      <sz val="11"/>
      <color rgb="FFFF0000"/>
      <name val="Segoe UI"/>
      <family val="2"/>
    </font>
    <font>
      <b/>
      <sz val="11"/>
      <color theme="0"/>
      <name val="Segoe UI"/>
      <family val="2"/>
    </font>
    <font>
      <sz val="9"/>
      <color indexed="81"/>
      <name val="Tahoma"/>
      <family val="2"/>
    </font>
    <font>
      <b/>
      <sz val="9"/>
      <color indexed="81"/>
      <name val="Tahoma"/>
      <family val="2"/>
    </font>
  </fonts>
  <fills count="6">
    <fill>
      <patternFill patternType="none"/>
    </fill>
    <fill>
      <patternFill patternType="gray125"/>
    </fill>
    <fill>
      <patternFill patternType="solid">
        <fgColor theme="5" tint="0.79998168889431442"/>
        <bgColor indexed="64"/>
      </patternFill>
    </fill>
    <fill>
      <patternFill patternType="solid">
        <fgColor theme="4" tint="-0.249977111117893"/>
        <bgColor indexed="64"/>
      </patternFill>
    </fill>
    <fill>
      <patternFill patternType="solid">
        <fgColor theme="4"/>
        <bgColor indexed="64"/>
      </patternFill>
    </fill>
    <fill>
      <patternFill patternType="solid">
        <fgColor theme="2"/>
        <bgColor indexed="64"/>
      </patternFill>
    </fill>
  </fills>
  <borders count="3">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9" fontId="58" fillId="0" borderId="0" applyFont="0" applyFill="0" applyBorder="0" applyAlignment="0" applyProtection="0"/>
    <xf numFmtId="0" fontId="60" fillId="0" borderId="0" applyNumberFormat="0" applyFill="0" applyBorder="0" applyAlignment="0" applyProtection="0"/>
  </cellStyleXfs>
  <cellXfs count="114">
    <xf numFmtId="0" fontId="0" fillId="0" borderId="0" xfId="0"/>
    <xf numFmtId="0" fontId="0" fillId="0" borderId="0" xfId="0" applyAlignment="1">
      <alignment vertical="center"/>
    </xf>
    <xf numFmtId="14" fontId="56" fillId="0" borderId="1" xfId="0" applyNumberFormat="1" applyFont="1" applyBorder="1" applyAlignment="1">
      <alignment horizontal="center" vertical="center"/>
    </xf>
    <xf numFmtId="0" fontId="56" fillId="0" borderId="1" xfId="0" applyFont="1" applyBorder="1" applyAlignment="1">
      <alignment horizontal="center" vertical="center"/>
    </xf>
    <xf numFmtId="3" fontId="56" fillId="0" borderId="1" xfId="0" applyNumberFormat="1" applyFont="1" applyBorder="1" applyAlignment="1">
      <alignment horizontal="center" vertical="center"/>
    </xf>
    <xf numFmtId="8" fontId="62" fillId="0" borderId="1" xfId="0" applyNumberFormat="1" applyFont="1" applyBorder="1" applyAlignment="1">
      <alignment horizontal="center" vertical="center"/>
    </xf>
    <xf numFmtId="164" fontId="56" fillId="0" borderId="1" xfId="1" applyNumberFormat="1" applyFont="1" applyBorder="1" applyAlignment="1">
      <alignment horizontal="center" vertical="center"/>
    </xf>
    <xf numFmtId="0" fontId="55" fillId="0" borderId="1" xfId="0" applyFont="1" applyBorder="1" applyAlignment="1">
      <alignment horizontal="center" vertical="center"/>
    </xf>
    <xf numFmtId="0" fontId="55" fillId="0" borderId="1" xfId="0" applyFont="1" applyBorder="1" applyAlignment="1">
      <alignment horizontal="center" vertical="center" wrapText="1"/>
    </xf>
    <xf numFmtId="0" fontId="56" fillId="0" borderId="1" xfId="0" applyFont="1" applyBorder="1" applyAlignment="1">
      <alignment horizontal="center" vertical="center" wrapText="1"/>
    </xf>
    <xf numFmtId="10" fontId="56" fillId="0" borderId="1" xfId="1" applyNumberFormat="1"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4" fillId="0" borderId="1" xfId="0" applyFont="1" applyBorder="1" applyAlignment="1">
      <alignment horizontal="center" vertical="center"/>
    </xf>
    <xf numFmtId="0" fontId="60" fillId="0" borderId="1" xfId="2" applyBorder="1" applyAlignment="1">
      <alignment horizontal="center" vertical="center"/>
    </xf>
    <xf numFmtId="0" fontId="53" fillId="0" borderId="1" xfId="0" applyFont="1" applyBorder="1" applyAlignment="1">
      <alignment horizontal="center" vertical="center"/>
    </xf>
    <xf numFmtId="0" fontId="52" fillId="0" borderId="1" xfId="0" applyFont="1" applyBorder="1" applyAlignment="1">
      <alignment horizontal="center" vertical="center"/>
    </xf>
    <xf numFmtId="164" fontId="52" fillId="0" borderId="1" xfId="1" applyNumberFormat="1" applyFont="1" applyBorder="1" applyAlignment="1">
      <alignment horizontal="center" vertical="center"/>
    </xf>
    <xf numFmtId="0" fontId="51" fillId="0" borderId="1" xfId="0" applyFont="1" applyBorder="1" applyAlignment="1">
      <alignment horizontal="center" vertical="center"/>
    </xf>
    <xf numFmtId="164" fontId="51" fillId="0" borderId="1" xfId="1" applyNumberFormat="1" applyFont="1" applyBorder="1" applyAlignment="1">
      <alignment horizontal="center" vertical="center"/>
    </xf>
    <xf numFmtId="0" fontId="50" fillId="0" borderId="1" xfId="0" applyFont="1" applyBorder="1" applyAlignment="1">
      <alignment horizontal="center" vertical="center"/>
    </xf>
    <xf numFmtId="0" fontId="49" fillId="0" borderId="1" xfId="0" applyFont="1" applyBorder="1" applyAlignment="1">
      <alignment horizontal="center" vertical="center"/>
    </xf>
    <xf numFmtId="0" fontId="48" fillId="0" borderId="1" xfId="0" applyFont="1" applyBorder="1" applyAlignment="1">
      <alignment horizontal="center" vertical="center"/>
    </xf>
    <xf numFmtId="0" fontId="47" fillId="0" borderId="1" xfId="0" applyFont="1" applyBorder="1" applyAlignment="1">
      <alignment horizontal="center" vertical="center"/>
    </xf>
    <xf numFmtId="0" fontId="46" fillId="0" borderId="1" xfId="0" applyFont="1" applyBorder="1" applyAlignment="1">
      <alignment horizontal="center" vertical="center"/>
    </xf>
    <xf numFmtId="0" fontId="45" fillId="0" borderId="1" xfId="0" applyFont="1" applyBorder="1" applyAlignment="1">
      <alignment horizontal="center" vertical="center"/>
    </xf>
    <xf numFmtId="0" fontId="44" fillId="0" borderId="1" xfId="0" applyFont="1" applyBorder="1" applyAlignment="1">
      <alignment horizontal="center" vertical="center"/>
    </xf>
    <xf numFmtId="9" fontId="56" fillId="0" borderId="1" xfId="0" applyNumberFormat="1" applyFont="1" applyBorder="1" applyAlignment="1">
      <alignment horizontal="center" vertical="center"/>
    </xf>
    <xf numFmtId="0" fontId="43" fillId="0" borderId="1" xfId="0" applyFont="1" applyBorder="1" applyAlignment="1">
      <alignment horizontal="center" vertical="center"/>
    </xf>
    <xf numFmtId="0" fontId="42" fillId="0" borderId="1" xfId="0" applyFont="1" applyBorder="1" applyAlignment="1">
      <alignment horizontal="center" vertical="center"/>
    </xf>
    <xf numFmtId="0" fontId="41" fillId="0" borderId="1" xfId="0" applyFont="1" applyBorder="1" applyAlignment="1">
      <alignment horizontal="center" vertical="center"/>
    </xf>
    <xf numFmtId="0" fontId="67" fillId="4" borderId="2" xfId="0" applyFont="1" applyFill="1" applyBorder="1" applyAlignment="1">
      <alignment horizontal="center" vertical="center"/>
    </xf>
    <xf numFmtId="0" fontId="0" fillId="0" borderId="2" xfId="0" applyBorder="1" applyAlignment="1">
      <alignment horizontal="left" vertical="center"/>
    </xf>
    <xf numFmtId="0" fontId="0" fillId="0" borderId="2" xfId="0" applyBorder="1" applyAlignment="1">
      <alignment horizontal="center" vertical="center"/>
    </xf>
    <xf numFmtId="14" fontId="40" fillId="0" borderId="1" xfId="0" applyNumberFormat="1" applyFont="1" applyBorder="1" applyAlignment="1">
      <alignment horizontal="center" vertical="center"/>
    </xf>
    <xf numFmtId="0" fontId="40" fillId="0" borderId="1" xfId="0" applyFont="1" applyBorder="1" applyAlignment="1">
      <alignment horizontal="center" vertical="center"/>
    </xf>
    <xf numFmtId="14" fontId="39" fillId="0" borderId="1" xfId="0" applyNumberFormat="1" applyFont="1" applyBorder="1" applyAlignment="1">
      <alignment horizontal="center" vertical="center"/>
    </xf>
    <xf numFmtId="0" fontId="69" fillId="0" borderId="1" xfId="0" applyFont="1" applyBorder="1" applyAlignment="1">
      <alignment horizontal="center" vertical="center" wrapText="1"/>
    </xf>
    <xf numFmtId="0" fontId="38" fillId="0" borderId="1" xfId="0" applyFont="1" applyBorder="1" applyAlignment="1">
      <alignment horizontal="center" vertical="center"/>
    </xf>
    <xf numFmtId="14" fontId="37" fillId="0" borderId="1" xfId="0" applyNumberFormat="1" applyFont="1" applyBorder="1" applyAlignment="1">
      <alignment horizontal="center" vertical="center"/>
    </xf>
    <xf numFmtId="14" fontId="36" fillId="0" borderId="1" xfId="0" applyNumberFormat="1" applyFont="1" applyBorder="1" applyAlignment="1">
      <alignment horizontal="center" vertical="center"/>
    </xf>
    <xf numFmtId="0" fontId="36" fillId="0" borderId="1" xfId="0" applyFont="1" applyBorder="1" applyAlignment="1">
      <alignment horizontal="center" vertical="center"/>
    </xf>
    <xf numFmtId="0" fontId="70" fillId="4" borderId="2" xfId="0" applyFont="1" applyFill="1" applyBorder="1" applyAlignment="1">
      <alignment horizontal="center" vertical="center"/>
    </xf>
    <xf numFmtId="14" fontId="35" fillId="0" borderId="1" xfId="0" applyNumberFormat="1" applyFont="1" applyBorder="1" applyAlignment="1">
      <alignment horizontal="center" vertical="center"/>
    </xf>
    <xf numFmtId="0" fontId="35" fillId="0" borderId="1" xfId="0" applyFont="1" applyBorder="1" applyAlignment="1">
      <alignment horizontal="center" vertical="center"/>
    </xf>
    <xf numFmtId="14"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14" fontId="33" fillId="0" borderId="1" xfId="0" applyNumberFormat="1" applyFont="1" applyBorder="1" applyAlignment="1">
      <alignment horizontal="center" vertical="center"/>
    </xf>
    <xf numFmtId="0" fontId="33" fillId="0" borderId="1" xfId="0" applyFont="1" applyBorder="1" applyAlignment="1">
      <alignment horizontal="center" vertical="center"/>
    </xf>
    <xf numFmtId="14" fontId="32" fillId="0" borderId="1" xfId="0" applyNumberFormat="1" applyFont="1" applyBorder="1" applyAlignment="1">
      <alignment horizontal="center" vertical="center"/>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14" fontId="31"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1" fillId="0" borderId="1" xfId="0" applyFont="1" applyBorder="1" applyAlignment="1">
      <alignment horizontal="center" vertical="center" wrapText="1"/>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4" fontId="27" fillId="0" borderId="1" xfId="0" applyNumberFormat="1" applyFont="1" applyBorder="1" applyAlignment="1">
      <alignment horizontal="center" vertical="center"/>
    </xf>
    <xf numFmtId="0" fontId="26" fillId="0" borderId="1" xfId="0" applyFont="1" applyBorder="1" applyAlignment="1">
      <alignment horizontal="center" vertical="center"/>
    </xf>
    <xf numFmtId="14" fontId="25" fillId="0" borderId="1" xfId="0" applyNumberFormat="1" applyFont="1" applyBorder="1" applyAlignment="1">
      <alignment horizontal="center" vertical="center"/>
    </xf>
    <xf numFmtId="14" fontId="24" fillId="0" borderId="1" xfId="0" applyNumberFormat="1" applyFont="1" applyBorder="1" applyAlignment="1">
      <alignment horizontal="center" vertical="center"/>
    </xf>
    <xf numFmtId="0" fontId="24" fillId="0" borderId="1" xfId="0" applyFont="1" applyBorder="1" applyAlignment="1">
      <alignment horizontal="center" vertical="center"/>
    </xf>
    <xf numFmtId="14" fontId="23" fillId="0" borderId="1" xfId="0" applyNumberFormat="1" applyFont="1" applyBorder="1" applyAlignment="1">
      <alignment horizontal="center" vertical="center"/>
    </xf>
    <xf numFmtId="0" fontId="23" fillId="0" borderId="1" xfId="0" applyFont="1" applyBorder="1" applyAlignment="1">
      <alignment horizontal="center" vertical="center"/>
    </xf>
    <xf numFmtId="14" fontId="22" fillId="0" borderId="1" xfId="0" applyNumberFormat="1" applyFont="1" applyBorder="1" applyAlignment="1">
      <alignment horizontal="center" vertical="center"/>
    </xf>
    <xf numFmtId="0" fontId="22" fillId="0" borderId="1" xfId="0" applyFont="1" applyBorder="1" applyAlignment="1">
      <alignment horizontal="center" vertical="center"/>
    </xf>
    <xf numFmtId="3" fontId="22" fillId="0" borderId="1" xfId="0" applyNumberFormat="1" applyFont="1" applyBorder="1" applyAlignment="1">
      <alignment horizontal="center" vertical="center"/>
    </xf>
    <xf numFmtId="14" fontId="21" fillId="0" borderId="1" xfId="0" applyNumberFormat="1" applyFont="1" applyBorder="1" applyAlignment="1">
      <alignment horizontal="center" vertical="center"/>
    </xf>
    <xf numFmtId="14" fontId="20"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19" fillId="0" borderId="1" xfId="0" applyNumberFormat="1" applyFont="1" applyBorder="1" applyAlignment="1">
      <alignment horizontal="center" vertical="center"/>
    </xf>
    <xf numFmtId="0" fontId="19" fillId="0" borderId="1" xfId="0" applyFont="1" applyBorder="1" applyAlignment="1">
      <alignment horizontal="center" vertical="center"/>
    </xf>
    <xf numFmtId="14" fontId="18" fillId="0" borderId="1" xfId="0" applyNumberFormat="1" applyFont="1" applyBorder="1" applyAlignment="1">
      <alignment horizontal="center" vertical="center"/>
    </xf>
    <xf numFmtId="0" fontId="18" fillId="0" borderId="1" xfId="0" applyFont="1" applyBorder="1" applyAlignment="1">
      <alignment horizontal="center" vertical="center"/>
    </xf>
    <xf numFmtId="14"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horizontal="center" vertical="center"/>
    </xf>
    <xf numFmtId="14" fontId="15" fillId="0" borderId="1" xfId="0" applyNumberFormat="1" applyFont="1" applyBorder="1" applyAlignment="1">
      <alignment horizontal="center" vertical="center"/>
    </xf>
    <xf numFmtId="0" fontId="15" fillId="0" borderId="1" xfId="0" applyFont="1" applyBorder="1" applyAlignment="1">
      <alignment horizontal="center" vertical="center"/>
    </xf>
    <xf numFmtId="1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4" fontId="61" fillId="0" borderId="1" xfId="0" applyNumberFormat="1" applyFont="1" applyBorder="1" applyAlignment="1">
      <alignment horizontal="center"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4" fontId="12" fillId="0" borderId="1" xfId="0" applyNumberFormat="1" applyFont="1" applyBorder="1" applyAlignment="1">
      <alignment horizontal="center" vertical="center"/>
    </xf>
    <xf numFmtId="165" fontId="61" fillId="0" borderId="1" xfId="0" applyNumberFormat="1" applyFont="1" applyBorder="1" applyAlignment="1">
      <alignment horizontal="center" vertical="center"/>
    </xf>
    <xf numFmtId="14" fontId="11" fillId="0" borderId="1" xfId="0" applyNumberFormat="1" applyFont="1" applyBorder="1" applyAlignment="1">
      <alignment horizontal="center" vertical="center"/>
    </xf>
    <xf numFmtId="0" fontId="11" fillId="0" borderId="1" xfId="0" applyFont="1" applyBorder="1" applyAlignment="1">
      <alignment horizontal="center" vertical="center"/>
    </xf>
    <xf numFmtId="14" fontId="10" fillId="0" borderId="1" xfId="0" applyNumberFormat="1" applyFont="1" applyBorder="1" applyAlignment="1">
      <alignment horizontal="center" vertical="center"/>
    </xf>
    <xf numFmtId="1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4" fontId="8" fillId="0" borderId="1" xfId="0" applyNumberFormat="1" applyFont="1" applyBorder="1" applyAlignment="1">
      <alignment horizontal="center" vertical="center"/>
    </xf>
    <xf numFmtId="14" fontId="7" fillId="0" borderId="1" xfId="0" applyNumberFormat="1" applyFont="1" applyBorder="1" applyAlignment="1">
      <alignment horizontal="center" vertical="center"/>
    </xf>
    <xf numFmtId="14" fontId="6" fillId="0" borderId="1" xfId="0" applyNumberFormat="1" applyFont="1" applyBorder="1" applyAlignment="1">
      <alignment horizontal="center" vertical="center"/>
    </xf>
    <xf numFmtId="0" fontId="6" fillId="0" borderId="1" xfId="0" applyFont="1" applyBorder="1" applyAlignment="1">
      <alignment horizontal="center" vertical="center"/>
    </xf>
    <xf numFmtId="14" fontId="5" fillId="0" borderId="1" xfId="0" applyNumberFormat="1" applyFont="1" applyBorder="1" applyAlignment="1">
      <alignment horizontal="center" vertical="center"/>
    </xf>
    <xf numFmtId="0" fontId="4" fillId="0" borderId="1" xfId="0" applyFont="1" applyBorder="1" applyAlignment="1">
      <alignment horizontal="center" vertical="center"/>
    </xf>
    <xf numFmtId="0" fontId="59" fillId="2" borderId="1" xfId="0" applyFont="1" applyFill="1" applyBorder="1" applyAlignment="1">
      <alignment horizontal="center"/>
    </xf>
    <xf numFmtId="0" fontId="57" fillId="3" borderId="1" xfId="0" applyFont="1" applyFill="1" applyBorder="1" applyAlignment="1">
      <alignment horizontal="center"/>
    </xf>
    <xf numFmtId="0" fontId="16" fillId="0" borderId="1" xfId="0" applyFont="1" applyBorder="1" applyAlignment="1">
      <alignment horizontal="center" vertical="center" wrapText="1"/>
    </xf>
    <xf numFmtId="0" fontId="3" fillId="0" borderId="1" xfId="0" applyFont="1" applyBorder="1" applyAlignment="1">
      <alignment horizontal="center" vertical="center"/>
    </xf>
    <xf numFmtId="14" fontId="2" fillId="0" borderId="1" xfId="0" applyNumberFormat="1" applyFont="1" applyBorder="1" applyAlignment="1">
      <alignment horizontal="center" vertical="center"/>
    </xf>
    <xf numFmtId="0" fontId="60" fillId="0" borderId="1" xfId="2" applyBorder="1" applyAlignment="1">
      <alignment horizontal="center" vertical="center" wrapText="1"/>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56" fillId="0" borderId="1" xfId="0" applyFont="1" applyBorder="1" applyAlignment="1">
      <alignment horizontal="center" vertical="center" wrapText="1"/>
    </xf>
    <xf numFmtId="0" fontId="66" fillId="5" borderId="2" xfId="0" applyFont="1" applyFill="1" applyBorder="1" applyAlignment="1">
      <alignment horizontal="center" vertical="center"/>
    </xf>
    <xf numFmtId="14" fontId="1" fillId="0" borderId="1" xfId="0" applyNumberFormat="1" applyFont="1" applyBorder="1" applyAlignment="1">
      <alignment horizontal="center" vertical="center"/>
    </xf>
    <xf numFmtId="0" fontId="1" fillId="0" borderId="1" xfId="0" applyFont="1" applyBorder="1" applyAlignment="1">
      <alignment horizontal="center" vertical="center" wrapText="1"/>
    </xf>
  </cellXfs>
  <cellStyles count="3">
    <cellStyle name="Hyperlink" xfId="2" builtinId="8"/>
    <cellStyle name="Normal" xfId="0" builtinId="0"/>
    <cellStyle name="Percent" xfId="1" builtinId="5"/>
  </cellStyles>
  <dxfs count="1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font>
    </dxf>
    <dxf>
      <font>
        <b/>
      </font>
    </dxf>
    <dxf>
      <alignment horizont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horizontal="center"/>
    </dxf>
    <dxf>
      <font>
        <color theme="0"/>
      </font>
    </dxf>
    <dxf>
      <font>
        <color theme="0"/>
      </font>
    </dxf>
    <dxf>
      <fill>
        <patternFill>
          <bgColor theme="4"/>
        </patternFill>
      </fill>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sz val="10"/>
      </font>
    </dxf>
    <dxf>
      <font>
        <sz val="10"/>
      </font>
    </dxf>
    <dxf>
      <font>
        <sz val="10"/>
      </font>
    </dxf>
    <dxf>
      <font>
        <sz val="10"/>
      </font>
    </dxf>
    <dxf>
      <font>
        <sz val="10"/>
      </font>
    </dxf>
    <dxf>
      <font>
        <sz val="10"/>
      </font>
    </dxf>
    <dxf>
      <font>
        <sz val="10"/>
      </font>
    </dxf>
    <dxf>
      <font>
        <sz val="10"/>
      </font>
    </dxf>
    <dxf>
      <font>
        <sz val="10"/>
      </font>
    </dxf>
    <dxf>
      <border>
        <vertical style="thin">
          <color theme="0" tint="-0.34998626667073579"/>
        </vertical>
        <horizontal style="thin">
          <color theme="0" tint="-0.34998626667073579"/>
        </horizontal>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pivotCacheDefinition" Target="pivotCache/pivotCacheDefinition2.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30</xdr:col>
      <xdr:colOff>0</xdr:colOff>
      <xdr:row>104</xdr:row>
      <xdr:rowOff>448235</xdr:rowOff>
    </xdr:from>
    <xdr:ext cx="184731" cy="26456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44061529" y="66114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AE" sz="1100"/>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onedevelopmentuae-my.sharepoint.com/personal/n_araujo_oneuae_com/Documents/Desktop/Units%20and%20Bookings%20(Queried)%20-%20Nov.xlsx" TargetMode="External"/><Relationship Id="rId1" Type="http://schemas.openxmlformats.org/officeDocument/2006/relationships/externalLinkPath" Target="https://onedevelopmentuae-my.sharepoint.com/personal/n_araujo_oneuae_com/Documents/Desktop/Units%20and%20Bookings%20(Queried)%20-%20Nov.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al"/>
      <sheetName val="Sheet2"/>
      <sheetName val="Sheet1"/>
      <sheetName val="Pivot"/>
      <sheetName val="Unsold Repricing"/>
      <sheetName val="Pivot Updated"/>
      <sheetName val="Sheet3"/>
      <sheetName val="Sheet8"/>
      <sheetName val="Sheet4"/>
      <sheetName val="Units"/>
      <sheetName val="Sheet12"/>
      <sheetName val="DNC Units"/>
      <sheetName val="Sheet5"/>
      <sheetName val="DNC Office Repricing"/>
      <sheetName val="Deal (DNC)"/>
      <sheetName val="Bookings"/>
      <sheetName val="Sheet6"/>
      <sheetName val="Discount Sheet"/>
      <sheetName val="Approved Pri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217591" createdVersion="8" refreshedVersion="8" minRefreshableVersion="3" recordCount="135" xr:uid="{A539D058-3742-4718-8859-92A7FEE1AE90}">
  <cacheSource type="worksheet">
    <worksheetSource ref="C1:AF140" sheet="Rejected Bookings"/>
  </cacheSource>
  <cacheFields count="30">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ontainsBlank="1" count="6">
        <s v="Draft"/>
        <s v="Rejected"/>
        <m u="1"/>
        <s v="DP Paid" u="1"/>
        <s v="Waived off Approved" u="1"/>
        <e v="#N/A" u="1"/>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449076" createdVersion="8" refreshedVersion="8" minRefreshableVersion="3" recordCount="135" xr:uid="{049976F9-378D-4AF6-B98B-25897CD57792}">
  <cacheSource type="worksheet">
    <worksheetSource ref="B1:AF140" sheet="Rejected Bookings"/>
  </cacheSource>
  <cacheFields count="31">
    <cacheField name="Month" numFmtId="14">
      <sharedItems/>
    </cacheField>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ontainsBlank="1" count="51">
        <s v="Cancelled due to Price Revision"/>
        <s v="Customer is unable to continue with the Purchase"/>
        <s v="Error in Booking - Wrong Customer Selected"/>
        <s v="Swapped from B512 to OR-1407"/>
        <s v="Customer initially requested to swap and then changed his mind"/>
        <s v="Cancellation Request raised by Sales Operations Team"/>
        <s v="Swapped from OR-2106 to OR-707"/>
        <s v="Cancellation Request raised by Collections Team"/>
        <s v="Booking created on unit OR-1403 instead of OR-1402"/>
        <s v="Swapped from B205 to A604"/>
        <s v="Cancellation Request raised by Sales Operations Team - No Refund"/>
        <s v="Unit has been rebooked as SD confirmed payment was cleared"/>
        <s v="Customer is unable to continue with the Purchase - Refund Requested"/>
        <s v="Cancellation Request raised by Egypt Sales Operations Team"/>
        <s v="From Nageswara Rao to Srinivasa Ganta"/>
        <s v="Swapped from DO 516 to DO 409"/>
        <s v="Customer purchased 2 units and will now proceed with only Unit B1010. No Refund"/>
        <s v="Increase in Price requested by Hussien "/>
        <s v="Swapped from A2108 to B518"/>
        <s v="Amal El Gendy"/>
        <s v="Duplicate Booking"/>
        <s v="Refund approved by Management"/>
        <s v="Swapped from B1912 to B1312"/>
        <s v="Unit Not Part of Promotional List"/>
        <s v="Swapped from B1311 to B1513"/>
        <s v="Swapped from A1812 to B914"/>
        <s v="Swapped from A4005 to A2101"/>
        <s v="Swapped from A4105 to A2001"/>
        <s v="Unit was to be booked under &quot;Dilier Sanchez Mora&quot; "/>
        <s v="From Hawbir Hassan to Riad El Kaddouri"/>
        <s v="From Hawbir Hassan to Rojbin Saeed"/>
        <s v="From Katharina Junimann Appelhans to Helena Erbis"/>
        <s v="Swapped from B3103 to B3012"/>
        <s v="From Onur Tukel to Burhan Tukel"/>
        <s v="Mohammed El Shimmy - Part of the Bulk Deal"/>
        <s v="Swapped from B917 to B817"/>
        <s v="From Joint Ownership to Single Ownership"/>
        <s v="Paid Amount allocated to unit B2612"/>
        <s v="Swapped from 403 to 420 (Upgrade)"/>
        <s v="Cancelled by Sales Operations as Wrong Payment Plan was selected. Cancelled by IT without any Cancellation Approval Flow. Booking-947 created."/>
        <s v="Swapped from A322 to A2514"/>
        <s v="From Omar Rezgani to Hossam ibraheem"/>
        <s v="From GUSTAV SJUNNESSON to Mohammed Adam Metto"/>
        <s v="Customer is unable to continue with the Purchase - No Refund"/>
        <s v="Cancellation Request raised by VP-Sales"/>
        <s v="Customer only wants to proceed with unit B205 only"/>
        <s v="Customer is unable to continue with the Purchase - Refund Request Approved"/>
        <s v="Swapped from A4001 to B3001"/>
        <m u="1"/>
        <s v="Cancelled by Sales Operations as Wrong Payment Plan was selected" u="1"/>
        <s v="Test Booking Cancellation"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d v="2026-01-29T00:00:00"/>
    <d v="1899-12-30T00:00:00"/>
    <s v="Booking-1502"/>
    <s v="Draft"/>
    <d v="2026-01-28T00:00:00"/>
    <n v="1"/>
    <s v="One Residence"/>
    <s v="Tower 1"/>
    <s v="2 BR"/>
    <s v="OR-2407"/>
    <s v="Booked"/>
    <x v="0"/>
    <s v="JIANPING SU"/>
    <s v="China"/>
    <n v="0"/>
    <n v="0"/>
    <n v="2370111"/>
    <n v="2370111"/>
    <s v="Tanveer Ansari"/>
    <s v="Dingsen Properties LLC"/>
    <s v="a03NM00000Ul7rC"/>
    <s v="-"/>
    <m/>
    <s v="No Payment"/>
    <n v="0"/>
    <s v="N/A"/>
    <s v="Cancelled due to Repricing"/>
    <m/>
    <x v="0"/>
    <s v="Cancelled due to Price Revision"/>
  </r>
  <r>
    <d v="2026-01-28T00:00:00"/>
    <d v="2026-01-28T00:00:00"/>
    <s v="Booking-1474"/>
    <s v="Rejected"/>
    <d v="2026-01-21T00:00:00"/>
    <n v="8"/>
    <s v="One Residence"/>
    <s v="Tower 1"/>
    <s v="2 BR"/>
    <s v="OR-407"/>
    <s v="Available"/>
    <x v="1"/>
    <s v="Wang GuiLian"/>
    <s v="China"/>
    <n v="0"/>
    <n v="0"/>
    <n v="2404111"/>
    <n v="2404111"/>
    <s v="Yang XI"/>
    <s v="WEALTH KEY REAL ESTATE L.L.C"/>
    <s v="a03NM00000Tz8ej"/>
    <s v="-"/>
    <m/>
    <s v="No Payment"/>
    <n v="0"/>
    <s v="N/A"/>
    <s v="Customer requested to cancel Booking"/>
    <s v="Booking-1474 - Booking Rejection Request"/>
    <x v="1"/>
    <s v="Customer is unable to continue with the Purchase"/>
  </r>
  <r>
    <d v="2026-01-27T00:00:00"/>
    <d v="2026-01-28T00:00:00"/>
    <s v="Booking-1437"/>
    <s v="Rejected"/>
    <d v="2026-01-12T00:00:00"/>
    <n v="17"/>
    <s v="One Residence"/>
    <s v="Tower 1"/>
    <s v="2 BR"/>
    <s v="OR-1404"/>
    <s v="Booked"/>
    <x v="1"/>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s v="Error in Booking - Wrong Customer Selected"/>
  </r>
  <r>
    <d v="2026-01-27T00:00:00"/>
    <d v="2026-01-27T00:00:00"/>
    <s v="Booking-1480"/>
    <s v="Rejected"/>
    <d v="2026-01-22T00:00:00"/>
    <n v="7"/>
    <s v="Laguna Residence"/>
    <s v="Tower B"/>
    <s v="Studio"/>
    <s v="B512"/>
    <s v="Blocked"/>
    <x v="1"/>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s v="Swapped from B512 to OR-1407"/>
  </r>
  <r>
    <d v="2026-01-27T00:00:00"/>
    <d v="2026-01-27T00:00:00"/>
    <s v="Booking-1428"/>
    <s v="Rejected"/>
    <d v="2026-01-09T00:00:00"/>
    <n v="20"/>
    <s v="One Residence"/>
    <s v="Tower 1"/>
    <s v="2 BR"/>
    <s v="OR-1606"/>
    <s v="Booked"/>
    <x v="1"/>
    <s v="Guy Ghosn"/>
    <s v="Lebanon"/>
    <n v="0"/>
    <n v="0"/>
    <n v="2550000"/>
    <n v="2550000"/>
    <s v="Hossam Mostafa"/>
    <s v="TOP OF THE TOP PROPERTIES  LLC - SPC"/>
    <s v="a03NM00000Sp3v3"/>
    <s v="-"/>
    <m/>
    <s v="No Payment"/>
    <n v="0"/>
    <s v="N/A"/>
    <s v="Error In Booking"/>
    <s v="Booking-1428 - Booking Rejection Request"/>
    <x v="4"/>
    <s v="Customer initially requested to swap and then changed his mind"/>
  </r>
  <r>
    <d v="2026-01-26T00:00:00"/>
    <d v="2026-01-27T00:00:00"/>
    <s v="Booking-1491"/>
    <s v="Rejected"/>
    <d v="2026-01-23T00:00:00"/>
    <n v="6"/>
    <s v="One Residence"/>
    <s v="Tower 1"/>
    <s v="2 BR"/>
    <s v="OR-2507"/>
    <s v="Booked"/>
    <x v="1"/>
    <s v="JOEBEN TAI"/>
    <s v="Philippines"/>
    <n v="49422"/>
    <n v="1.960775756556252E-2"/>
    <n v="2471111"/>
    <n v="2520533"/>
    <s v="Tanveer Ansari"/>
    <s v="NOVA VISION REAL ESTATE L.L.C"/>
    <s v="a03NM00000UELMh"/>
    <s v="-"/>
    <m/>
    <s v="No Payment"/>
    <n v="0"/>
    <s v="N/A"/>
    <s v="Cancelled due to Repricing"/>
    <s v="Booking-1491 - Booking Rejection Request"/>
    <x v="0"/>
    <s v="Cancelled due to Price Revision"/>
  </r>
  <r>
    <d v="2026-01-26T00:00:00"/>
    <d v="2026-01-26T00:00:00"/>
    <s v="Booking-1489"/>
    <s v="Rejected"/>
    <d v="2026-01-23T00:00:00"/>
    <n v="6"/>
    <s v="One Residence"/>
    <s v="Tower 1"/>
    <s v="2 BR"/>
    <s v="OR-1301"/>
    <s v="Booked"/>
    <x v="1"/>
    <s v="AHMED GAMAL AHMED SAYED ABDELHADY"/>
    <s v="Egypt"/>
    <n v="54142"/>
    <n v="1.9607765025515589E-2"/>
    <n v="2707111"/>
    <n v="2761253"/>
    <s v="Feraz Mohamed"/>
    <s v="KINGS EDITION REAL ESTATE L.L.C"/>
    <s v="a03NM00000UDg9u"/>
    <s v="-"/>
    <m/>
    <s v="No Payment"/>
    <n v="0"/>
    <s v="N/A"/>
    <s v="Cancelled due to Repricing"/>
    <s v="Booking-1489 - Booking Rejection Request"/>
    <x v="0"/>
    <s v="Cancelled due to Price Revision"/>
  </r>
  <r>
    <d v="2026-01-22T00:00:00"/>
    <d v="2026-01-22T00:00:00"/>
    <s v="Booking-1340"/>
    <s v="Rejected"/>
    <d v="2026-01-07T00:00:00"/>
    <n v="22"/>
    <s v="One Residence"/>
    <s v="Tower 1"/>
    <s v="1 BR"/>
    <s v="OR-603"/>
    <s v="Booked"/>
    <x v="1"/>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s v="Customer is unable to continue with the Purchase"/>
  </r>
  <r>
    <d v="2026-01-22T00:00:00"/>
    <d v="2026-01-22T00:00:00"/>
    <s v="Booking-1477"/>
    <s v="Rejected"/>
    <d v="2026-01-21T00:00:00"/>
    <n v="8"/>
    <s v="One Residence"/>
    <s v="Tower 1"/>
    <s v="1 BR"/>
    <s v="OR-808"/>
    <s v="Booked"/>
    <x v="1"/>
    <s v="REDA AYOUBI"/>
    <s v="United States of America"/>
    <n v="-50000"/>
    <n v="-3.0674846625766871E-2"/>
    <n v="1680000"/>
    <n v="1630000"/>
    <s v="Amr Abdelghafar"/>
    <s v="P S I ASSETS REAL ESTATES L.L.C."/>
    <s v="a03NM00000U0VNa"/>
    <s v="-"/>
    <m/>
    <s v="No Payment"/>
    <n v="0"/>
    <s v="N/A"/>
    <s v="Cancelled due to Repricing"/>
    <s v="Booking-1477 - Booking Rejection Request"/>
    <x v="0"/>
    <s v="Cancelled due to Price Revision"/>
  </r>
  <r>
    <d v="2026-01-22T00:00:00"/>
    <d v="2026-01-22T00:00:00"/>
    <s v="Booking-1425"/>
    <s v="Rejected"/>
    <d v="2026-01-09T00:00:00"/>
    <n v="20"/>
    <s v="One Residence"/>
    <s v="Tower 1"/>
    <s v="2 BR"/>
    <s v="OR-1205"/>
    <s v="Booked"/>
    <x v="1"/>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s v="Cancelled due to Price Revision"/>
  </r>
  <r>
    <d v="2026-01-21T00:00:00"/>
    <d v="2026-01-21T00:00:00"/>
    <s v="Booking-1250"/>
    <s v="Rejected"/>
    <d v="2025-12-11T00:00:00"/>
    <n v="49"/>
    <s v="Do Dubai Island"/>
    <s v="Tower 1"/>
    <s v="1 Bedroom"/>
    <s v="106"/>
    <s v="Blocked"/>
    <x v="1"/>
    <s v="Albert Nesterov"/>
    <s v="Russia"/>
    <n v="0"/>
    <n v="0"/>
    <n v="2525000"/>
    <n v="2525000"/>
    <s v="Vladyslav Parkhomchuk"/>
    <s v="Rich Property Real Estate Brokerages LLC"/>
    <s v="a03NM00000PGtRx"/>
    <s v="-"/>
    <m/>
    <s v="No Payment"/>
    <n v="0"/>
    <s v="N/A"/>
    <s v="Cancelled due to Non Payment"/>
    <s v="Booking-1250 - Booking Rejection Request"/>
    <x v="5"/>
    <s v="Cancellation Request raised by Sales Operations Team"/>
  </r>
  <r>
    <d v="2026-01-21T00:00:00"/>
    <d v="2026-01-21T00:00:00"/>
    <s v="Booking-1461"/>
    <s v="Rejected"/>
    <d v="2026-01-19T00:00:00"/>
    <n v="10"/>
    <s v="One Residence"/>
    <s v="Tower 1"/>
    <s v="1 BR"/>
    <s v="OR-808"/>
    <s v="Booked"/>
    <x v="1"/>
    <s v="FAHD AYOUBI"/>
    <s v="United States of America"/>
    <n v="-50000"/>
    <n v="-3.0674846625766871E-2"/>
    <n v="1680000"/>
    <n v="1630000"/>
    <s v="Amr Abdelghafar"/>
    <s v="P S I ASSETS REAL ESTATES L.L.C."/>
    <s v="a03NM00000Tn6ef"/>
    <s v="-"/>
    <m/>
    <s v="No Payment"/>
    <n v="0"/>
    <s v="N/A"/>
    <s v="Cancelled due to Repricing"/>
    <s v="Booking-1461 - Booking Rejection Request"/>
    <x v="0"/>
    <s v="Cancelled due to Price Revision"/>
  </r>
  <r>
    <d v="2026-01-21T00:00:00"/>
    <d v="2026-01-21T00:00:00"/>
    <s v="Booking-1394"/>
    <s v="Rejected"/>
    <d v="2026-01-09T00:00:00"/>
    <n v="20"/>
    <s v="One Residence"/>
    <s v="Tower 1"/>
    <s v="1 BR"/>
    <s v="OR-809"/>
    <s v="Booked"/>
    <x v="1"/>
    <s v="REDA AYOUBI"/>
    <s v="United States of America"/>
    <n v="0"/>
    <n v="0"/>
    <n v="1670000"/>
    <n v="1670000"/>
    <s v="Amr Abdelghafar"/>
    <s v="P S I ASSETS REAL ESTATES L.L.C."/>
    <s v="a03NM00000Snp7v"/>
    <s v="-"/>
    <m/>
    <s v="No Payment"/>
    <n v="0"/>
    <s v="N/A"/>
    <s v="Cancelled due to Repricing"/>
    <s v="Booking-1394 - Booking Rejection Request"/>
    <x v="0"/>
    <s v="Cancelled due to Price Revision"/>
  </r>
  <r>
    <d v="2026-01-21T00:00:00"/>
    <d v="2026-01-21T00:00:00"/>
    <s v="Booking-1424"/>
    <s v="Rejected"/>
    <d v="2026-01-09T00:00:00"/>
    <n v="20"/>
    <s v="One Residence"/>
    <s v="Tower 1"/>
    <s v="1 BR"/>
    <s v="OR-610"/>
    <s v="Booked"/>
    <x v="1"/>
    <s v="Mohammad Kerdi"/>
    <s v="Lebanon"/>
    <n v="2000"/>
    <n v="1.25E-3"/>
    <n v="1598000"/>
    <n v="1600000"/>
    <s v="Hossam Mostafa"/>
    <s v="LEGACY LIVING REAL ESTATE - L.L.C - S.P.C"/>
    <s v="a03NM00000SpEbx"/>
    <s v="-"/>
    <m/>
    <s v="No Payment"/>
    <n v="0"/>
    <s v="N/A"/>
    <s v="Cancelled due to Repricing"/>
    <s v="Booking-1424 - Booking Rejection Request"/>
    <x v="0"/>
    <s v="Cancelled due to Price Revision"/>
  </r>
  <r>
    <d v="2026-01-21T00:00:00"/>
    <d v="2026-01-21T00:00:00"/>
    <s v="Booking-1420"/>
    <s v="Rejected"/>
    <d v="2026-01-09T00:00:00"/>
    <n v="20"/>
    <s v="One Residence"/>
    <s v="Tower 1"/>
    <s v="2 BR"/>
    <s v="OR-1309"/>
    <s v="Booked"/>
    <x v="1"/>
    <s v="NANIK RAM PARMANAND"/>
    <s v="Pakistan"/>
    <n v="100000"/>
    <n v="4.1841004184100417E-2"/>
    <n v="2290000"/>
    <n v="2390000"/>
    <s v="Amr Abdelghafar"/>
    <s v="P S I ASSETS REAL ESTATES L.L.C."/>
    <s v="a03NM00000SoqTB"/>
    <s v="-"/>
    <m/>
    <s v="No Payment"/>
    <n v="0"/>
    <s v="N/A"/>
    <s v="Cancelled due to Repricing"/>
    <s v="Booking-1420 - Booking Rejection Request"/>
    <x v="0"/>
    <s v="Cancelled due to Price Revision"/>
  </r>
  <r>
    <d v="2026-01-20T00:00:00"/>
    <d v="2026-01-20T00:00:00"/>
    <s v="Booking-1462"/>
    <s v="Rejected"/>
    <d v="2026-01-19T00:00:00"/>
    <n v="10"/>
    <s v="One Residence"/>
    <s v="Tower 1"/>
    <s v="2 BR"/>
    <s v="OR-2404"/>
    <s v="Booked"/>
    <x v="1"/>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s v="Cancelled due to Price Revision"/>
  </r>
  <r>
    <d v="2026-01-20T00:00:00"/>
    <d v="2026-01-21T00:00:00"/>
    <s v="Booking-1330"/>
    <s v="Rejected"/>
    <d v="2026-01-07T00:00:00"/>
    <n v="22"/>
    <s v="One Residence"/>
    <s v="Tower 1"/>
    <s v="2 BR"/>
    <s v="OR-2106"/>
    <s v="Blocked"/>
    <x v="1"/>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s v="Swapped from OR-2106 to OR-707"/>
  </r>
  <r>
    <d v="2026-01-19T00:00:00"/>
    <d v="2026-01-20T00:00:00"/>
    <s v="Booking-1423"/>
    <s v="Rejected"/>
    <d v="2026-01-09T00:00:00"/>
    <n v="20"/>
    <s v="One Residence"/>
    <s v="Tower 1"/>
    <s v="3 BR"/>
    <s v="OR-2602"/>
    <s v="Blocked"/>
    <x v="1"/>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s v="Customer is unable to continue with the Purchase"/>
  </r>
  <r>
    <d v="2026-01-19T00:00:00"/>
    <d v="2026-01-20T00:00:00"/>
    <s v="Booking-1434"/>
    <s v="Rejected"/>
    <d v="2026-01-12T00:00:00"/>
    <n v="17"/>
    <s v="One Residence"/>
    <s v="Tower 1"/>
    <s v="1 BR"/>
    <s v="OR-803"/>
    <s v="Booked"/>
    <x v="1"/>
    <s v="SARA МОНАМЕD DIB"/>
    <s v="Syria"/>
    <n v="194889"/>
    <n v="0.11149256292906179"/>
    <n v="1553111"/>
    <n v="1748000"/>
    <s v="Hossam Mostafa"/>
    <s v=""/>
    <s v="a03NM00000T3Aju"/>
    <s v="-"/>
    <m/>
    <s v="No Payment"/>
    <n v="0"/>
    <s v="N/A"/>
    <s v="Cancelled due to Repricing"/>
    <s v="Booking-1434 - Booking Rejection Request"/>
    <x v="0"/>
    <s v="Cancelled due to Price Revision"/>
  </r>
  <r>
    <d v="2026-01-19T00:00:00"/>
    <d v="2026-01-20T00:00:00"/>
    <s v="Booking-1254"/>
    <s v="Rejected"/>
    <d v="2025-12-11T00:00:00"/>
    <n v="49"/>
    <s v="Do Dubai Island"/>
    <s v="Tower 1"/>
    <s v="1 Bedroom"/>
    <s v="508"/>
    <s v="Blocked"/>
    <x v="1"/>
    <s v="Cemal Atilla Birmis"/>
    <s v="Turkey"/>
    <n v="68080"/>
    <n v="0.02"/>
    <n v="3335920"/>
    <n v="3404000"/>
    <s v="Midia Sedighi"/>
    <s v="PRIME RICHMOND PROPERTIES L.L.C"/>
    <s v="a03NM00000PHQvn"/>
    <s v="-"/>
    <m/>
    <n v="8000"/>
    <n v="2.398139044101777E-3"/>
    <s v="No"/>
    <s v="Cancelled due to Non Payment"/>
    <s v="Booking-1254 - Booking Rejection Request"/>
    <x v="5"/>
    <s v="Cancellation Request raised by Collections Team"/>
  </r>
  <r>
    <d v="2026-01-19T00:00:00"/>
    <d v="2026-01-20T00:00:00"/>
    <s v="Booking-1253"/>
    <s v="Rejected"/>
    <d v="2025-12-11T00:00:00"/>
    <n v="49"/>
    <s v="Do Dubai Island"/>
    <s v="Tower 1"/>
    <s v="1 Bedroom"/>
    <s v="409"/>
    <s v="Blocked"/>
    <x v="1"/>
    <s v="Cemal Atilla Birmis"/>
    <s v="Turkey"/>
    <n v="46580"/>
    <n v="0.02"/>
    <n v="2282420"/>
    <n v="2329000"/>
    <s v="Midia Sedighi"/>
    <s v="PRIME RICHMOND PROPERTIES L.L.C"/>
    <s v="a03NM00000PHOxF"/>
    <s v="-"/>
    <m/>
    <n v="8000"/>
    <n v="3.505051655698776E-3"/>
    <s v="No"/>
    <s v="Cancelled due to Non Payment"/>
    <s v="Booking-1253 - Booking Rejection Request"/>
    <x v="5"/>
    <s v="Cancellation Request raised by Collections Team"/>
  </r>
  <r>
    <d v="2026-01-19T00:00:00"/>
    <d v="2026-01-20T00:00:00"/>
    <s v="Booking-1252"/>
    <s v="Rejected"/>
    <d v="2025-12-11T00:00:00"/>
    <n v="49"/>
    <s v="Do Dubai Island"/>
    <s v="Tower 1"/>
    <s v="1 Bedroom"/>
    <s v="204"/>
    <s v="Blocked"/>
    <x v="1"/>
    <s v="Cemal Atilla Birmis"/>
    <s v="Turkey"/>
    <n v="52620"/>
    <n v="0.02"/>
    <n v="2578380"/>
    <n v="2631000"/>
    <s v="Midia Sedighi"/>
    <s v="PRIME RICHMOND PROPERTIES L.L.C"/>
    <s v="a03NM00000PHY8X"/>
    <s v="-"/>
    <m/>
    <n v="8000"/>
    <n v="3.1027234154779358E-3"/>
    <s v="No"/>
    <s v="Cancelled due to Non Payment"/>
    <s v="Booking-1252 - Booking Rejection Request"/>
    <x v="5"/>
    <s v="Cancellation Request raised by Collections Team"/>
  </r>
  <r>
    <d v="2026-01-19T00:00:00"/>
    <d v="2026-01-19T00:00:00"/>
    <s v="Booking-1443"/>
    <s v="Rejected"/>
    <d v="2026-01-13T00:00:00"/>
    <n v="16"/>
    <s v="One Residence"/>
    <s v="Tower 1"/>
    <s v="1 BR"/>
    <s v="OR-402"/>
    <s v="Booked"/>
    <x v="1"/>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s v="Cancelled due to Price Revision"/>
  </r>
  <r>
    <d v="2026-01-17T00:00:00"/>
    <d v="2026-01-19T00:00:00"/>
    <s v="Booking-1392"/>
    <s v="Rejected"/>
    <d v="2026-01-09T00:00:00"/>
    <n v="20"/>
    <s v="One Residence"/>
    <s v="Tower 1"/>
    <s v="1 BR"/>
    <s v="OR-808"/>
    <s v="Booked"/>
    <x v="1"/>
    <s v="FAHD AYOUBI"/>
    <s v="United States of America"/>
    <n v="0"/>
    <n v="0"/>
    <n v="1630000"/>
    <n v="1630000"/>
    <s v="Amr Abdelghafar"/>
    <s v="P S I ASSETS REAL ESTATES L.L.C."/>
    <s v="a03NM00000SoeoZ"/>
    <s v="-"/>
    <m/>
    <s v="No Payment"/>
    <n v="0"/>
    <s v="N/A"/>
    <s v="Cancelled due to Repricing"/>
    <s v="Booking-1392 - Booking Rejection Request"/>
    <x v="0"/>
    <s v="Cancelled due to Price Revision"/>
  </r>
  <r>
    <d v="2026-01-15T00:00:00"/>
    <d v="2026-01-15T00:00:00"/>
    <s v="Booking-1451"/>
    <s v="Rejected"/>
    <d v="2026-01-15T00:00:00"/>
    <n v="14"/>
    <s v="One Residence"/>
    <s v="Tower 1"/>
    <s v="2 BR"/>
    <s v="OR-2506"/>
    <s v="Booked"/>
    <x v="1"/>
    <s v="Amiran Kavkasidze"/>
    <s v="Switzerland"/>
    <n v="17889"/>
    <n v="7.1843373493975906E-3"/>
    <n v="2472111"/>
    <n v="2490000"/>
    <s v="Claire Moussa"/>
    <s v="IOKA International Real Estate LLC"/>
    <s v="a03NM00000TN2AV"/>
    <s v="-"/>
    <e v="#N/A"/>
    <s v="No Payment"/>
    <n v="0"/>
    <s v="N/A"/>
    <s v="Cancelled due to Repricing"/>
    <s v="Booking-1451- Booking Rejection Request"/>
    <x v="0"/>
    <s v="Cancelled due to Price Revision"/>
  </r>
  <r>
    <d v="2026-01-14T00:00:00"/>
    <d v="2026-01-15T00:00:00"/>
    <s v="Booking-1406"/>
    <s v="Rejected"/>
    <d v="2026-01-09T00:00:00"/>
    <n v="20"/>
    <s v="One Residence"/>
    <s v="Tower 1"/>
    <s v="2 BR"/>
    <s v="OR-1403"/>
    <s v="Booked"/>
    <x v="1"/>
    <s v="Anton Mikhailov"/>
    <s v="Russia"/>
    <n v="0"/>
    <n v="0"/>
    <n v="2390000"/>
    <n v="2390000"/>
    <s v="Jamil Ibrahim"/>
    <s v="CAPITAL AVENUE REAL ESTATE SOLE PROPRIETORSHIP L.L.C."/>
    <s v="a03NM00000Son8f"/>
    <s v="-"/>
    <e v="#N/A"/>
    <s v="No Payment"/>
    <n v="0"/>
    <s v="N/A"/>
    <s v="Booking was created under wrong unit "/>
    <s v="Booking-1406 - Booking Rejection Request"/>
    <x v="6"/>
    <s v="Booking created on unit OR-1403 instead of OR-1402"/>
  </r>
  <r>
    <d v="2026-01-14T00:00:00"/>
    <d v="2026-01-16T00:00:00"/>
    <s v="Booking-1446"/>
    <s v="Rejected"/>
    <d v="2026-01-13T00:00:00"/>
    <n v="16"/>
    <s v="One Residence"/>
    <s v="Tower 1"/>
    <s v="2 BR"/>
    <s v="OR-1503"/>
    <s v="Booked"/>
    <x v="1"/>
    <s v="Mayank Chadha"/>
    <s v="India"/>
    <n v="10000"/>
    <n v="4.0650406504065045E-3"/>
    <n v="2450000"/>
    <n v="2460000"/>
    <s v="Jamil Ibrahim"/>
    <s v="EAST WEST HOMES PROPERTIES - L.L.C - S.P.C"/>
    <s v="a03NM00000TBPLr"/>
    <s v="-"/>
    <e v="#N/A"/>
    <s v="No Payment"/>
    <n v="0"/>
    <s v="N/A"/>
    <s v="Cancelled due to Repricing"/>
    <s v="Booking-1446 - Booking Rejection Request"/>
    <x v="0"/>
    <s v="Cancelled due to Price Revision"/>
  </r>
  <r>
    <d v="2026-01-14T00:00:00"/>
    <d v="2026-01-16T00:00:00"/>
    <s v="Booking-800"/>
    <s v="Rejected"/>
    <d v="2025-07-01T00:00:00"/>
    <n v="212"/>
    <s v="Laguna Residence"/>
    <s v="Tower B"/>
    <s v="1 Bedroom"/>
    <s v="B205"/>
    <s v="Blocked"/>
    <x v="1"/>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s v="Swapped from B205 to A604"/>
  </r>
  <r>
    <d v="2026-01-10T00:00:00"/>
    <d v="2026-01-13T00:00:00"/>
    <s v="Booking-1345"/>
    <s v="Rejected"/>
    <d v="2026-01-07T00:00:00"/>
    <n v="22"/>
    <s v="One Residence"/>
    <s v="Tower 1"/>
    <s v="1 BR"/>
    <s v="OR-810"/>
    <s v="Booked"/>
    <x v="1"/>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s v="Cancelled due to Price Revision"/>
  </r>
  <r>
    <d v="2026-01-07T00:00:00"/>
    <d v="2026-01-09T00:00:00"/>
    <s v="Booking-1085"/>
    <s v="Rejected"/>
    <d v="2025-10-28T00:00:00"/>
    <n v="93"/>
    <s v="Laguna Residence"/>
    <s v="Tower B"/>
    <s v="Studio"/>
    <s v="B914"/>
    <s v="Blocked"/>
    <x v="1"/>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s v="Cancellation Request raised by Sales Operations Team"/>
  </r>
  <r>
    <d v="2026-01-07T00:00:00"/>
    <d v="2026-01-09T00:00:00"/>
    <s v="Booking-1111"/>
    <s v="Rejected"/>
    <d v="2025-10-31T00:00:00"/>
    <n v="90"/>
    <s v="Laguna Residence"/>
    <s v="Tower B"/>
    <s v="Studio"/>
    <s v="B814"/>
    <s v="Blocked"/>
    <x v="1"/>
    <s v="Harutyun Melikyan"/>
    <s v="Armenia"/>
    <n v="0"/>
    <n v="0"/>
    <n v="840000"/>
    <n v="840000"/>
    <s v="Zarina Avdalian"/>
    <s v="ALBINA MKRTCHYAN REAL ESTATE"/>
    <s v="a03J600000Fmas0"/>
    <s v="-"/>
    <s v="Not Available on Finance Tracker"/>
    <n v="8400"/>
    <n v="0.01"/>
    <s v="No"/>
    <s v="Cancelled due to Non Payment"/>
    <s v="Booking-1111 - Booking Rejection Request"/>
    <x v="5"/>
    <s v="Cancellation Request raised by Sales Operations Team - No Refund"/>
  </r>
  <r>
    <d v="2026-01-02T00:00:00"/>
    <d v="2026-01-09T00:00:00"/>
    <s v="Booking-1226"/>
    <s v="Rejected"/>
    <d v="2025-11-26T00:00:00"/>
    <n v="64"/>
    <s v="Laguna Residence"/>
    <s v="Tower B"/>
    <s v="2 Bedroom"/>
    <s v="B2101"/>
    <s v="Blocked"/>
    <x v="1"/>
    <s v="Garry Anthony Mebane"/>
    <s v="United States of America"/>
    <n v="0"/>
    <n v="0"/>
    <n v="2790000"/>
    <n v="2790000"/>
    <s v="Jude Kwakye"/>
    <s v="ANCHORMAN REAL ESTATE L.L.C"/>
    <s v="a03NM00000NvuTI"/>
    <s v="-"/>
    <e v="#N/A"/>
    <n v="7345.2"/>
    <n v="2.6326881720430107E-3"/>
    <s v="No"/>
    <s v="Cancelled due to Non Payment"/>
    <s v="Booking-1226 - Booking Rejection Request"/>
    <x v="5"/>
    <s v="Cancellation Request raised by Sales Operations Team - No Refund"/>
  </r>
  <r>
    <d v="2026-01-02T00:00:00"/>
    <d v="2026-01-09T00:00:00"/>
    <s v="Booking-951"/>
    <s v="Rejected"/>
    <d v="2025-08-27T00:00:00"/>
    <n v="155"/>
    <s v="Laguna Residence"/>
    <s v="Tower A"/>
    <s v="Studio"/>
    <s v="A3113"/>
    <s v="Booked"/>
    <x v="1"/>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s v="Unit has been rebooked as SD confirmed payment was cleared"/>
  </r>
  <r>
    <d v="2025-12-30T00:00:00"/>
    <d v="2026-01-09T00:00:00"/>
    <s v="Booking-1224"/>
    <s v="Rejected"/>
    <d v="2025-11-26T00:00:00"/>
    <n v="64"/>
    <s v="Do Dubai Island"/>
    <s v="Tower 1"/>
    <s v="1 Bedroom"/>
    <s v="206"/>
    <s v="Blocked"/>
    <x v="1"/>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s v="Customer is unable to continue with the Purchase"/>
  </r>
  <r>
    <d v="2025-12-24T00:00:00"/>
    <d v="2025-12-29T00:00:00"/>
    <s v="Booking-1101"/>
    <s v="Rejected"/>
    <d v="2025-10-30T00:00:00"/>
    <n v="91"/>
    <s v="Laguna Residence"/>
    <s v="Tower B"/>
    <s v="Studio"/>
    <s v="B1513"/>
    <s v="Blocked"/>
    <x v="1"/>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s v="Customer is unable to continue with the Purchase"/>
  </r>
  <r>
    <d v="2025-12-23T00:00:00"/>
    <d v="2026-01-09T00:00:00"/>
    <s v="Booking-1231"/>
    <s v="Rejected"/>
    <d v="2025-12-03T00:00:00"/>
    <n v="57"/>
    <s v="Laguna Residence"/>
    <s v="Tower A"/>
    <s v="Studio"/>
    <s v="A1917"/>
    <s v="Blocked"/>
    <x v="1"/>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s v="Customer is unable to continue with the Purchase"/>
  </r>
  <r>
    <d v="2025-12-19T00:00:00"/>
    <d v="2026-01-09T00:00:00"/>
    <s v="Booking-864"/>
    <s v="Rejected"/>
    <d v="2025-08-02T00:00:00"/>
    <n v="180"/>
    <s v="Laguna Residence"/>
    <s v="Tower A"/>
    <s v="1 Bedroom"/>
    <s v="A1622"/>
    <s v="Blocked"/>
    <x v="1"/>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s v="Cancellation Request raised by Sales Operations Team"/>
  </r>
  <r>
    <d v="2025-12-18T00:00:00"/>
    <d v="2026-01-09T00:00:00"/>
    <s v="Booking-1054"/>
    <s v="Rejected"/>
    <d v="2025-10-09T00:00:00"/>
    <n v="112"/>
    <s v="Laguna Residence"/>
    <s v="Tower B"/>
    <s v="Studio"/>
    <s v="B2303"/>
    <s v="Available"/>
    <x v="1"/>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s v="Cancellation Request raised by Sales Operations Team - No Refund"/>
  </r>
  <r>
    <d v="2025-12-18T00:00:00"/>
    <d v="2026-01-09T00:00:00"/>
    <s v="Booking-1029"/>
    <s v="Rejected"/>
    <d v="2025-10-03T00:00:00"/>
    <n v="118"/>
    <s v="Laguna Residence"/>
    <s v="Tower B"/>
    <s v="Studio"/>
    <s v="B3303"/>
    <s v="Blocked"/>
    <x v="1"/>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s v="Cancellation Request raised by Sales Operations Team - No Refund"/>
  </r>
  <r>
    <d v="2025-12-15T00:00:00"/>
    <d v="2026-01-09T00:00:00"/>
    <s v="Booking-948"/>
    <s v="Rejected"/>
    <d v="2025-08-27T00:00:00"/>
    <n v="155"/>
    <s v="Laguna Residence"/>
    <s v="Tower A"/>
    <s v="Studio"/>
    <s v="A2913"/>
    <s v="Booked"/>
    <x v="1"/>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s v="Unit has been rebooked as SD confirmed payment was cleared"/>
  </r>
  <r>
    <d v="2025-12-15T00:00:00"/>
    <d v="2026-01-09T00:00:00"/>
    <s v="Booking-950"/>
    <s v="Rejected"/>
    <d v="2025-08-27T00:00:00"/>
    <n v="155"/>
    <s v="Laguna Residence"/>
    <s v="Tower A"/>
    <s v="Studio"/>
    <s v="A3013"/>
    <s v="Booked"/>
    <x v="1"/>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s v="Unit has been rebooked as SD confirmed payment was cleared"/>
  </r>
  <r>
    <d v="2025-12-12T00:00:00"/>
    <d v="2025-12-22T00:00:00"/>
    <s v="Booking-1100"/>
    <s v="Rejected"/>
    <d v="2025-10-30T00:00:00"/>
    <n v="91"/>
    <s v="Laguna Residence"/>
    <s v="Tower A"/>
    <s v="Studio"/>
    <s v="A1611"/>
    <s v="SPA Executed"/>
    <x v="1"/>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s v="Cancellation Request raised by Sales Operations Team"/>
  </r>
  <r>
    <d v="2025-12-03T00:00:00"/>
    <d v="2025-12-10T00:00:00"/>
    <s v="Booking-1162"/>
    <s v="Rejected"/>
    <d v="2025-11-09T00:00:00"/>
    <n v="81"/>
    <s v="Laguna Residence"/>
    <s v="Tower B"/>
    <s v="Studio"/>
    <s v="B1807"/>
    <s v="Blocked"/>
    <x v="1"/>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s v="Customer is unable to continue with the Purchase - Refund Requested"/>
  </r>
  <r>
    <d v="2025-12-03T00:00:00"/>
    <d v="2025-12-04T00:00:00"/>
    <s v="Booking-1171"/>
    <s v="Rejected"/>
    <d v="2025-11-12T00:00:00"/>
    <n v="78"/>
    <s v="Do New Cairo"/>
    <s v="Hotel Apartments"/>
    <s v="Studio"/>
    <s v="DNC-HA-207"/>
    <s v="Blocked"/>
    <x v="1"/>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s v="Cancellation Request raised by Egypt Sales Operations Team"/>
  </r>
  <r>
    <d v="2025-11-30T00:00:00"/>
    <d v="2025-12-04T00:00:00"/>
    <s v="Booking-1180"/>
    <s v="Rejected"/>
    <d v="2025-11-12T00:00:00"/>
    <n v="78"/>
    <s v="Do New Cairo"/>
    <s v="Offices"/>
    <s v="-"/>
    <s v="DNC-O3-111"/>
    <s v="Blocked"/>
    <x v="1"/>
    <s v="Ali ali nasr nouh"/>
    <s v="-"/>
    <n v="0"/>
    <n v="0"/>
    <n v="20728125"/>
    <n v="20728125"/>
    <s v="Rowan Abbady"/>
    <s v=""/>
    <s v="a03NM00000Mpzj9"/>
    <s v="-"/>
    <s v="Not Available on Finance Tracker"/>
    <s v="No Payment"/>
    <n v="0"/>
    <s v="N/A"/>
    <s v="Cancellation requested by Egypt Sales Operations Team"/>
    <s v="Booking-1180 - Booking Rejection Request"/>
    <x v="8"/>
    <s v="Cancellation Request raised by Egypt Sales Operations Team"/>
  </r>
  <r>
    <d v="2025-11-30T00:00:00"/>
    <d v="2025-12-03T00:00:00"/>
    <s v="Booking-1192"/>
    <s v="Rejected"/>
    <d v="2025-11-12T00:00:00"/>
    <n v="78"/>
    <s v="Do New Cairo"/>
    <s v="Hotel Apartments"/>
    <s v="1 BR"/>
    <s v="DNC-HA-219"/>
    <s v="Booked"/>
    <x v="1"/>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s v="Cancellation Request raised by Egypt Sales Operations Team"/>
  </r>
  <r>
    <d v="2025-11-30T00:00:00"/>
    <d v="2025-12-03T00:00:00"/>
    <s v="Booking-1181"/>
    <s v="Rejected"/>
    <d v="2025-11-12T00:00:00"/>
    <n v="78"/>
    <s v="Do New Cairo"/>
    <s v="Hotel Apartments"/>
    <s v="1 BR"/>
    <s v="DNC-HA-420"/>
    <s v="Blocked"/>
    <x v="1"/>
    <s v="Ali ali nasr nouh"/>
    <s v="-"/>
    <n v="0"/>
    <n v="0"/>
    <n v="23887500"/>
    <n v="23887500"/>
    <s v="Rowan Abbady"/>
    <s v=""/>
    <s v="a03NM00000MpXlJ"/>
    <s v="-"/>
    <s v="Not Available on Finance Tracker"/>
    <s v="No Payment"/>
    <n v="0"/>
    <s v="N/A"/>
    <s v="Cancellation requested by Egypt Sales Operations Team"/>
    <s v="Booking-1181 - Booking Rejection Request"/>
    <x v="8"/>
    <s v="Cancellation Request raised by Egypt Sales Operations Team"/>
  </r>
  <r>
    <d v="2025-11-28T00:00:00"/>
    <d v="2025-12-04T00:00:00"/>
    <s v="Booking-973"/>
    <s v="Rejected"/>
    <d v="2025-09-04T00:00:00"/>
    <n v="147"/>
    <s v="Laguna Residence"/>
    <s v="Tower B"/>
    <s v="Studio"/>
    <s v="B3012"/>
    <s v="Available"/>
    <x v="1"/>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s v="Cancellation Request raised by Sales Operations Team"/>
  </r>
  <r>
    <d v="2025-11-28T00:00:00"/>
    <d v="2025-12-04T00:00:00"/>
    <s v="Booking-1011"/>
    <s v="Rejected"/>
    <d v="2025-09-24T00:00:00"/>
    <n v="127"/>
    <s v="Laguna Residence"/>
    <s v="Tower A"/>
    <s v="2 Bedroom"/>
    <s v="A2305"/>
    <s v="SPA Executed"/>
    <x v="1"/>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s v="Cancellation Request raised by Sales Operations Team"/>
  </r>
  <r>
    <d v="2025-11-26T00:00:00"/>
    <d v="2025-12-10T00:00:00"/>
    <s v="Booking-949"/>
    <s v="Rejected"/>
    <d v="2025-08-27T00:00:00"/>
    <n v="155"/>
    <s v="Laguna Residence"/>
    <s v="Tower A"/>
    <s v="Studio"/>
    <s v="A2713"/>
    <s v="Booked"/>
    <x v="1"/>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s v="Cancellation Request raised by Collections Team"/>
  </r>
  <r>
    <d v="2025-11-25T00:00:00"/>
    <d v="2025-11-26T00:00:00"/>
    <s v="Booking-1165"/>
    <s v="Rejected"/>
    <d v="2025-11-11T00:00:00"/>
    <n v="79"/>
    <s v="Do Dubai Island"/>
    <s v="Tower 1"/>
    <s v="1 Bedroom"/>
    <s v="609"/>
    <s v="Blocked"/>
    <x v="1"/>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s v="Cancellation Request raised by Collections Team"/>
  </r>
  <r>
    <d v="2025-11-25T00:00:00"/>
    <d v="2025-11-26T00:00:00"/>
    <s v="Booking-1212"/>
    <s v="Rejected"/>
    <d v="2025-11-15T00:00:00"/>
    <n v="75"/>
    <s v="Do Dubai Island"/>
    <s v="Tower 1"/>
    <s v="1 Bedroom"/>
    <s v="409"/>
    <s v="Blocked"/>
    <x v="1"/>
    <s v="Ali Lafhel"/>
    <s v="Morocco"/>
    <n v="46580"/>
    <n v="0.02"/>
    <n v="2282420"/>
    <n v="2329000"/>
    <s v="Rihab Zayani"/>
    <s v="Marrfa Discovery Real Estate L.L.C"/>
    <s v="a03NM00000N5lih"/>
    <s v="-"/>
    <s v="Not Available on Finance Tracker"/>
    <s v="No Payment"/>
    <n v="0"/>
    <s v="N/A"/>
    <s v="Cancelled due to Non Payment"/>
    <s v="Booking-1212 - Booking Rejection Request"/>
    <x v="5"/>
    <s v="Cancellation Request raised by Collections Team"/>
  </r>
  <r>
    <d v="2025-11-24T00:00:00"/>
    <d v="2025-12-05T00:00:00"/>
    <s v="Booking-443"/>
    <s v="Rejected"/>
    <d v="2025-02-05T00:00:00"/>
    <n v="358"/>
    <s v="Laguna Residence"/>
    <s v="Tower A"/>
    <s v="Studio"/>
    <s v="A1914"/>
    <s v="Booked"/>
    <x v="1"/>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s v="From Nageswara Rao to Srinivasa Ganta"/>
  </r>
  <r>
    <d v="2025-11-24T00:00:00"/>
    <d v="2025-11-26T00:00:00"/>
    <s v="Booking-1153"/>
    <s v="Rejected"/>
    <d v="2025-11-07T00:00:00"/>
    <n v="83"/>
    <s v="Do Dubai Island"/>
    <s v="Tower 1"/>
    <s v="1 Bedroom"/>
    <s v="404"/>
    <s v="Booked"/>
    <x v="1"/>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s v="Cancellation Request raised by Collections Team"/>
  </r>
  <r>
    <d v="2025-11-19T00:00:00"/>
    <d v="2025-11-20T00:00:00"/>
    <s v="Booking-1014"/>
    <s v="Rejected"/>
    <d v="2025-09-25T00:00:00"/>
    <n v="126"/>
    <s v="Laguna Residence"/>
    <s v="Tower A"/>
    <s v="2 Bedroom"/>
    <s v="A4205"/>
    <s v="Blocked"/>
    <x v="1"/>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s v="Cancellation Request raised by Collections Team"/>
  </r>
  <r>
    <d v="2025-11-19T00:00:00"/>
    <d v="2025-11-20T00:00:00"/>
    <s v="Booking-1010"/>
    <s v="Rejected"/>
    <d v="2025-09-24T00:00:00"/>
    <n v="127"/>
    <s v="Laguna Residence"/>
    <s v="Tower A"/>
    <s v="Studio"/>
    <s v="A1014"/>
    <s v="Booked"/>
    <x v="1"/>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s v="Cancellation Request raised by Collections Team"/>
  </r>
  <r>
    <d v="2025-11-19T00:00:00"/>
    <d v="2025-11-20T00:00:00"/>
    <s v="Booking-987"/>
    <s v="Rejected"/>
    <d v="2025-09-12T00:00:00"/>
    <n v="139"/>
    <s v="Laguna Residence"/>
    <s v="Tower B"/>
    <s v="Studio"/>
    <s v="B2812"/>
    <s v="Available"/>
    <x v="1"/>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s v="Cancellation Request raised by Collections Team"/>
  </r>
  <r>
    <d v="2025-11-19T00:00:00"/>
    <d v="2025-11-20T00:00:00"/>
    <s v="Booking-1020"/>
    <s v="Rejected"/>
    <d v="2025-09-30T00:00:00"/>
    <n v="121"/>
    <s v="Laguna Residence"/>
    <s v="Tower A"/>
    <s v="1 Bedroom"/>
    <s v="A2807"/>
    <s v="Blocked"/>
    <x v="1"/>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s v="Cancellation Request raised by Collections Team"/>
  </r>
  <r>
    <d v="2025-11-19T00:00:00"/>
    <d v="2025-11-20T00:00:00"/>
    <s v="Booking-1044"/>
    <s v="Rejected"/>
    <d v="2025-10-06T00:00:00"/>
    <n v="115"/>
    <s v="Laguna Residence"/>
    <s v="Tower B"/>
    <s v="Studio"/>
    <s v="B1219"/>
    <s v="Booked"/>
    <x v="1"/>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s v="Cancellation Request raised by Collections Team"/>
  </r>
  <r>
    <d v="2025-11-19T00:00:00"/>
    <d v="2025-11-21T00:00:00"/>
    <s v="Booking-594"/>
    <s v="Rejected"/>
    <d v="2025-04-15T00:00:00"/>
    <n v="289"/>
    <s v="Laguna Residence"/>
    <s v="Tower B"/>
    <s v="1 Bedroom"/>
    <s v="B402"/>
    <s v="Blocked"/>
    <x v="1"/>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s v="Cancellation Request raised by Collections Team"/>
  </r>
  <r>
    <d v="2025-11-19T00:00:00"/>
    <d v="2025-11-20T00:00:00"/>
    <s v="Booking-1000"/>
    <s v="Rejected"/>
    <d v="2025-09-19T00:00:00"/>
    <n v="132"/>
    <s v="Laguna Residence"/>
    <s v="Tower A"/>
    <s v="Studio"/>
    <s v="A2014"/>
    <s v="SPA Executed"/>
    <x v="1"/>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s v="Cancellation Request raised by Collections Team"/>
  </r>
  <r>
    <d v="2025-11-19T00:00:00"/>
    <d v="2025-11-20T00:00:00"/>
    <s v="Booking-988"/>
    <s v="Rejected"/>
    <d v="2025-09-12T00:00:00"/>
    <n v="139"/>
    <s v="Laguna Residence"/>
    <s v="Tower A"/>
    <s v="Studio"/>
    <s v="A2712"/>
    <s v="Blocked"/>
    <x v="1"/>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s v="Cancellation Request raised by Collections Team"/>
  </r>
  <r>
    <d v="2025-11-19T00:00:00"/>
    <d v="2025-11-20T00:00:00"/>
    <s v="Booking-970"/>
    <s v="Rejected"/>
    <d v="2025-09-04T00:00:00"/>
    <n v="147"/>
    <s v="Laguna Residence"/>
    <s v="Tower A"/>
    <s v="Studio"/>
    <s v="A1716"/>
    <s v="Blocked"/>
    <x v="1"/>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s v="Cancellation Request raised by Collections Team"/>
  </r>
  <r>
    <d v="2025-11-19T00:00:00"/>
    <d v="2025-11-20T00:00:00"/>
    <s v="Booking-1166"/>
    <s v="Rejected"/>
    <d v="2025-11-11T00:00:00"/>
    <n v="79"/>
    <s v="Do Dubai Island"/>
    <s v="Tower 1"/>
    <s v="1 Bedroom"/>
    <s v="516"/>
    <s v="Blocked"/>
    <x v="1"/>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s v="Swapped from DO 516 to DO 409"/>
  </r>
  <r>
    <d v="2025-11-19T00:00:00"/>
    <d v="2025-11-20T00:00:00"/>
    <s v="Booking-1127"/>
    <s v="Rejected"/>
    <d v="2025-10-31T00:00:00"/>
    <n v="90"/>
    <s v="Laguna Residence"/>
    <s v="Tower B"/>
    <s v="Studio"/>
    <s v="B614"/>
    <s v="Blocked"/>
    <x v="1"/>
    <s v="Argishti Darbinyan"/>
    <s v="Armenia"/>
    <n v="0"/>
    <n v="0"/>
    <n v="838000"/>
    <n v="838000"/>
    <s v="Zarina Avdalian"/>
    <s v="ALBINA MKRTCHYAN REAL ESTATE"/>
    <s v="a03J600000FmbmR"/>
    <s v="-"/>
    <s v="Not Available on Finance Tracker"/>
    <s v="No Payment"/>
    <n v="0"/>
    <s v="No"/>
    <s v="Customer requested to cancel"/>
    <s v="Booking-1127 - Booking Rejection Request"/>
    <x v="1"/>
    <s v="Customer purchased 2 units and will now proceed with only Unit B1010. No Refund"/>
  </r>
  <r>
    <d v="2025-11-17T00:00:00"/>
    <d v="2025-11-17T00:00:00"/>
    <s v="Booking-1174"/>
    <s v="Rejected"/>
    <d v="2025-11-12T00:00:00"/>
    <n v="78"/>
    <s v="Do New Cairo"/>
    <s v="Hotel Apartments"/>
    <s v="1 BR"/>
    <s v="DNC-HA-401"/>
    <s v="Booked"/>
    <x v="1"/>
    <s v="hossam saeed abdel fattah"/>
    <s v="-"/>
    <n v="0"/>
    <n v="0"/>
    <n v="25416300"/>
    <n v="25416300"/>
    <s v="Ahmed Arafat"/>
    <s v=""/>
    <s v="a03NM00000MpNh3"/>
    <s v="-"/>
    <s v="Not Available on Finance Tracker"/>
    <s v="No Payment"/>
    <n v="0"/>
    <s v="N/A"/>
    <s v="Cancelled due to Repricing"/>
    <s v="Booking-1174 - Booking Rejection Request"/>
    <x v="10"/>
    <s v="Increase in Price requested by Hussien "/>
  </r>
  <r>
    <d v="2025-11-17T00:00:00"/>
    <d v="2025-11-17T00:00:00"/>
    <s v="Booking-1173"/>
    <s v="Rejected"/>
    <d v="2025-11-12T00:00:00"/>
    <n v="78"/>
    <s v="Do New Cairo"/>
    <s v="Offices"/>
    <s v="-"/>
    <s v="DNC-O3-312"/>
    <s v="Booked"/>
    <x v="1"/>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s v="Increase in Price requested by Hussien "/>
  </r>
  <r>
    <d v="2025-11-14T00:00:00"/>
    <d v="2025-11-20T00:00:00"/>
    <s v="Booking-1167"/>
    <s v="Rejected"/>
    <d v="2025-11-11T00:00:00"/>
    <n v="79"/>
    <s v="Laguna Residence"/>
    <s v="Tower A"/>
    <s v="Studio"/>
    <s v="A2108"/>
    <s v="Blocked"/>
    <x v="1"/>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s v="Swapped from A2108 to B518"/>
  </r>
  <r>
    <d v="2025-11-10T00:00:00"/>
    <d v="2025-11-11T00:00:00"/>
    <s v="Booking-1025"/>
    <s v="Rejected"/>
    <d v="2025-09-30T00:00:00"/>
    <n v="121"/>
    <s v="Do Dubai Island"/>
    <s v="Tower 1"/>
    <s v="Studio"/>
    <s v="110"/>
    <s v="SPA Executed"/>
    <x v="1"/>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s v="Amal El Gendy"/>
  </r>
  <r>
    <d v="2025-11-10T00:00:00"/>
    <d v="2025-11-11T00:00:00"/>
    <s v="Booking-1114"/>
    <s v="Rejected"/>
    <d v="2025-10-31T00:00:00"/>
    <n v="90"/>
    <s v="Laguna Residence"/>
    <s v="Tower B"/>
    <s v="Studio"/>
    <s v="B714"/>
    <s v="Booked"/>
    <x v="1"/>
    <s v="Albina Mkrtchyan"/>
    <s v="Armenia"/>
    <n v="0"/>
    <n v="0"/>
    <n v="832000"/>
    <n v="832000"/>
    <s v="Zarina Avdalian"/>
    <s v="ALBINA MKRTCHYAN REAL ESTATE"/>
    <s v="a03J600000FmbGz"/>
    <s v="-"/>
    <s v="Not Available on Finance Tracker"/>
    <s v="No Payment"/>
    <n v="0"/>
    <s v="N/A"/>
    <s v="Customer requested to cancel"/>
    <s v="Booking-1114 - Booking Rejection Request"/>
    <x v="1"/>
    <s v="Customer is unable to continue with the Purchase"/>
  </r>
  <r>
    <d v="2025-11-10T00:00:00"/>
    <d v="2025-11-11T00:00:00"/>
    <s v="Booking-1110"/>
    <s v="Rejected"/>
    <d v="2025-10-31T00:00:00"/>
    <n v="90"/>
    <s v="Laguna Residence"/>
    <s v="Tower B"/>
    <s v="Studio"/>
    <s v="B911"/>
    <s v="Blocked"/>
    <x v="1"/>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s v="Customer is unable to continue with the Purchase"/>
  </r>
  <r>
    <d v="2025-11-05T00:00:00"/>
    <d v="2025-11-07T00:00:00"/>
    <s v="Booking-1133"/>
    <s v="Rejected"/>
    <d v="2025-10-31T00:00:00"/>
    <n v="90"/>
    <s v="Laguna Residence"/>
    <s v="Tower B"/>
    <s v="Studio"/>
    <s v="B412"/>
    <s v="Blocked"/>
    <x v="1"/>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s v="Customer is unable to continue with the Purchase"/>
  </r>
  <r>
    <d v="2025-11-04T00:00:00"/>
    <d v="2025-11-07T00:00:00"/>
    <s v="Booking-1129"/>
    <s v="Rejected"/>
    <d v="2025-10-31T00:00:00"/>
    <n v="90"/>
    <s v="Laguna Residence"/>
    <s v="Tower A"/>
    <s v="Studio"/>
    <s v="A1619"/>
    <s v="Blocked"/>
    <x v="1"/>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s v="Duplicate Booking"/>
  </r>
  <r>
    <d v="2025-11-03T00:00:00"/>
    <d v="2025-11-05T00:00:00"/>
    <s v="Booking-1147"/>
    <s v="Rejected"/>
    <d v="2025-11-03T00:00:00"/>
    <n v="87"/>
    <s v="Laguna Residence"/>
    <s v="Tower B"/>
    <s v="Studio"/>
    <s v="B1312"/>
    <s v="Booked"/>
    <x v="1"/>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s v="Refund approved by Management"/>
  </r>
  <r>
    <d v="2025-11-03T00:00:00"/>
    <d v="2025-11-07T00:00:00"/>
    <s v="Booking-1112"/>
    <s v="Rejected"/>
    <d v="2025-10-31T00:00:00"/>
    <n v="90"/>
    <s v="Laguna Residence"/>
    <s v="Tower B"/>
    <s v="Studio"/>
    <s v="B1912"/>
    <s v="Blocked"/>
    <x v="1"/>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s v="Swapped from B1912 to B1312"/>
  </r>
  <r>
    <d v="2025-11-01T00:00:00"/>
    <d v="2025-11-03T00:00:00"/>
    <s v="Booking-1028"/>
    <s v="Rejected"/>
    <d v="2025-10-01T00:00:00"/>
    <n v="120"/>
    <s v="Laguna Residence"/>
    <s v="Tower A"/>
    <s v="Studio"/>
    <s v="A418"/>
    <s v="SPA Executed"/>
    <x v="1"/>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s v="Customer is unable to continue with the Purchase - Refund Requested"/>
  </r>
  <r>
    <d v="2025-10-31T00:00:00"/>
    <d v="2025-11-07T00:00:00"/>
    <s v="Booking-1108"/>
    <s v="Rejected"/>
    <d v="2025-10-31T00:00:00"/>
    <n v="90"/>
    <s v="Laguna Residence"/>
    <s v="Tower B"/>
    <s v="Studio"/>
    <s v="B2714"/>
    <s v="Blocked"/>
    <x v="1"/>
    <s v="Hagop Karapetjan"/>
    <s v="Netherlands"/>
    <n v="0"/>
    <n v="0"/>
    <n v="894800"/>
    <n v="894800"/>
    <s v="Jude Kwakye"/>
    <s v=""/>
    <s v="a03J600000FmaPA"/>
    <s v="-"/>
    <s v="Not Available on Finance Tracker"/>
    <s v="No Payment"/>
    <n v="0"/>
    <s v="No"/>
    <s v="Cancelled as unit is not part of promotional offer list"/>
    <s v="Booking-1108 - Booking Rejection Request"/>
    <x v="14"/>
    <s v="Unit Not Part of Promotional List"/>
  </r>
  <r>
    <d v="2025-10-30T00:00:00"/>
    <d v="2025-10-31T00:00:00"/>
    <s v="Booking-1078"/>
    <s v="Rejected"/>
    <d v="2025-10-24T00:00:00"/>
    <n v="97"/>
    <s v="Laguna Residence"/>
    <s v="Tower B"/>
    <s v="Studio"/>
    <s v="B1311"/>
    <s v="Blocked"/>
    <x v="1"/>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s v="Swapped from B1311 to B1513"/>
  </r>
  <r>
    <d v="2025-10-28T00:00:00"/>
    <d v="2025-10-29T00:00:00"/>
    <s v="Booking-1084"/>
    <s v="Rejected"/>
    <d v="2025-10-27T00:00:00"/>
    <n v="94"/>
    <s v="Laguna Residence"/>
    <s v="Tower A"/>
    <s v="Studio"/>
    <s v="A1812"/>
    <s v="Booked"/>
    <x v="1"/>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s v="Swapped from A1812 to B914"/>
  </r>
  <r>
    <d v="2025-10-27T00:00:00"/>
    <d v="2025-10-28T00:00:00"/>
    <s v="Booking-776"/>
    <s v="Rejected"/>
    <d v="2025-06-17T00:00:00"/>
    <n v="226"/>
    <s v="Laguna Residence"/>
    <s v="Tower B"/>
    <s v="1 Bedroom"/>
    <s v="B403"/>
    <s v="Booked"/>
    <x v="1"/>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s v="Customer is unable to continue with the Purchase - Refund Requested"/>
  </r>
  <r>
    <d v="2025-10-21T00:00:00"/>
    <d v="2025-10-21T00:00:00"/>
    <s v="Booking-1023"/>
    <s v="Rejected"/>
    <d v="2025-09-30T00:00:00"/>
    <n v="121"/>
    <s v="Laguna Residence"/>
    <s v="Tower B"/>
    <s v="2 Bedroom"/>
    <s v="B1208"/>
    <s v="Booked"/>
    <x v="1"/>
    <s v="Aashish Bindra"/>
    <s v="India"/>
    <n v="0"/>
    <n v="0"/>
    <n v="1770000"/>
    <n v="1770000"/>
    <s v="Sumeet Mehta"/>
    <s v="ANCHORMAN REAL ESTATE L.L.C"/>
    <s v="a03J600000Bth5b"/>
    <s v="-"/>
    <s v="Not Available on Finance Tracker"/>
    <s v="No Payment"/>
    <n v="0"/>
    <s v="N/A"/>
    <s v="Cancelled due to Non Payment"/>
    <s v="Booking-1023 - Booking Rejection Request"/>
    <x v="5"/>
    <s v="Cancellation Request raised by Collections Team"/>
  </r>
  <r>
    <d v="2025-10-21T00:00:00"/>
    <d v="2025-10-21T00:00:00"/>
    <s v="Booking-1019"/>
    <s v="Rejected"/>
    <d v="2025-09-29T00:00:00"/>
    <n v="122"/>
    <s v="Laguna Residence"/>
    <s v="Tower B"/>
    <s v="Studio"/>
    <s v="B2503"/>
    <s v="SPA Executed"/>
    <x v="1"/>
    <s v="Achal Gupta"/>
    <s v="India"/>
    <n v="44300"/>
    <n v="0.05"/>
    <n v="841700"/>
    <n v="886000"/>
    <s v="Sumeet Mehta"/>
    <s v="ANCHORMAN REAL ESTATE L.L.C"/>
    <s v="a03J600000Btbev"/>
    <s v="-"/>
    <s v="Not Available on Finance Tracker"/>
    <s v="No Payment"/>
    <n v="0"/>
    <s v="N/A"/>
    <s v="Cancelled due to Non Payment"/>
    <s v="Booking-1019 - Booking Rejection Request"/>
    <x v="5"/>
    <s v="Cancellation Request raised by Collections Team"/>
  </r>
  <r>
    <d v="2025-10-21T00:00:00"/>
    <d v="2025-10-21T00:00:00"/>
    <s v="Booking-989"/>
    <s v="Rejected"/>
    <d v="2025-09-12T00:00:00"/>
    <n v="139"/>
    <s v="Laguna Residence"/>
    <s v="Tower A"/>
    <s v="3 Bedroom"/>
    <s v="A107"/>
    <s v="Blocked"/>
    <x v="1"/>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s v="Cancellation Request raised by Collections Team"/>
  </r>
  <r>
    <d v="2025-10-21T00:00:00"/>
    <d v="2025-10-21T00:00:00"/>
    <s v="Booking-986"/>
    <s v="Rejected"/>
    <d v="2025-09-12T00:00:00"/>
    <n v="139"/>
    <s v="Laguna Residence"/>
    <s v="Tower A"/>
    <s v="2 Bedroom"/>
    <s v="A2122"/>
    <s v="Booked"/>
    <x v="1"/>
    <s v="Sharbel Chehade"/>
    <s v="Australia"/>
    <n v="132550"/>
    <n v="0.05"/>
    <n v="2518450"/>
    <n v="2651000"/>
    <s v="Fadwa Belkaid"/>
    <s v="SYKON PROPERTIES L.L.C"/>
    <s v="a03J600000BsZmC"/>
    <s v="-"/>
    <s v="Not Available on Finance Tracker"/>
    <s v="No Payment"/>
    <n v="0"/>
    <s v="N/A"/>
    <s v="Cancelled due to Non Payment"/>
    <s v="Booking-986 - Booking Rejection Request"/>
    <x v="5"/>
    <s v="Cancellation Request raised by Collections Team"/>
  </r>
  <r>
    <d v="2025-10-13T00:00:00"/>
    <d v="2025-10-15T00:00:00"/>
    <s v="Booking-966"/>
    <s v="Rejected"/>
    <d v="2025-09-03T00:00:00"/>
    <n v="148"/>
    <s v="Laguna Residence"/>
    <s v="Tower A"/>
    <s v="2 Bedroom"/>
    <s v="A801"/>
    <s v="Blocked"/>
    <x v="1"/>
    <s v="Joseph Mallekkattu"/>
    <s v="India"/>
    <n v="0"/>
    <n v="0"/>
    <n v="2526000"/>
    <n v="2526000"/>
    <s v="Yasmin Bahader"/>
    <s v="Poseidon Real Estate LLC"/>
    <s v="a03J600000Bs0mh"/>
    <s v="-"/>
    <s v="Not Available on Finance Tracker"/>
    <s v="No Payment"/>
    <n v="0"/>
    <s v="N/A"/>
    <s v="Cancelled due to Non Payment"/>
    <s v="Booking-966 - Booking Rejection Request"/>
    <x v="5"/>
    <s v="Cancellation Request raised by Collections Team"/>
  </r>
  <r>
    <d v="2025-10-13T00:00:00"/>
    <d v="2025-10-15T00:00:00"/>
    <s v="Booking-1017"/>
    <s v="Rejected"/>
    <d v="2025-09-26T00:00:00"/>
    <n v="125"/>
    <s v="Laguna Residence"/>
    <s v="Tower A"/>
    <s v="2 Bedroom"/>
    <s v="A2618"/>
    <s v="Available"/>
    <x v="1"/>
    <s v="Chidinma Joyce Odiaka"/>
    <s v="Nigeria"/>
    <n v="0"/>
    <n v="0"/>
    <n v="2706000"/>
    <n v="2706000"/>
    <s v="Hocem Amouri"/>
    <s v="SKYRAN REAL ESTATE L.L.C"/>
    <s v="a03J600000BtW0H"/>
    <s v="-"/>
    <s v="Not Available on Finance Tracker"/>
    <s v="No Payment"/>
    <n v="0"/>
    <s v="N/A"/>
    <s v="Cancelled due to Non Payment"/>
    <s v="Booking-1017 - Booking Rejection Request"/>
    <x v="5"/>
    <s v="Cancellation Request raised by Sales Operations Team"/>
  </r>
  <r>
    <d v="2025-10-13T00:00:00"/>
    <d v="2025-10-15T00:00:00"/>
    <s v="Booking-1016"/>
    <s v="Rejected"/>
    <d v="2025-09-25T00:00:00"/>
    <n v="126"/>
    <s v="Laguna Residence"/>
    <s v="Tower A"/>
    <s v="2 Bedroom"/>
    <s v="A2718"/>
    <s v="Available"/>
    <x v="1"/>
    <s v="Abubakar Salihu Sadiq"/>
    <s v="Nigeria"/>
    <n v="0"/>
    <n v="0"/>
    <n v="2675000"/>
    <n v="2675000"/>
    <s v="Hocem Amouri"/>
    <s v="SKYRAN REAL ESTATE L.L.C"/>
    <s v="a03J600000BtSoj"/>
    <s v="-"/>
    <s v="Not Available on Finance Tracker"/>
    <s v="No Payment"/>
    <n v="0"/>
    <s v="N/A"/>
    <s v="Cancelled due to Non Payment"/>
    <s v="Booking-1016 - Booking Rejection Request"/>
    <x v="5"/>
    <s v="Cancellation Request raised by Sales Operations Team"/>
  </r>
  <r>
    <d v="2025-10-13T00:00:00"/>
    <d v="2025-10-15T00:00:00"/>
    <s v="Booking-1015"/>
    <s v="Rejected"/>
    <d v="2025-09-25T00:00:00"/>
    <n v="126"/>
    <s v="Laguna Residence"/>
    <s v="Tower A"/>
    <s v="2 Bedroom"/>
    <s v="A3118"/>
    <s v="Available"/>
    <x v="1"/>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s v="Cancellation Request raised by Sales Operations Team"/>
  </r>
  <r>
    <d v="2025-10-08T00:00:00"/>
    <d v="2025-10-08T00:00:00"/>
    <s v="Booking-1050"/>
    <s v="Rejected"/>
    <d v="2025-10-07T00:00:00"/>
    <n v="114"/>
    <s v="Laguna Residence"/>
    <s v="Tower B"/>
    <s v="Studio"/>
    <s v="B1205"/>
    <s v="SPA Executed"/>
    <x v="1"/>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s v="Duplicate Booking"/>
  </r>
  <r>
    <d v="2025-10-07T00:00:00"/>
    <d v="2025-10-09T00:00:00"/>
    <s v="Booking-1040"/>
    <s v="Rejected"/>
    <d v="2025-10-06T00:00:00"/>
    <n v="115"/>
    <s v="Laguna Residence"/>
    <s v="Tower B"/>
    <s v="1 Bedroom"/>
    <s v="B1103"/>
    <s v="Available"/>
    <x v="1"/>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s v="Customer is unable to continue with the Purchase"/>
  </r>
  <r>
    <d v="2025-10-06T00:00:00"/>
    <d v="2025-10-09T00:00:00"/>
    <s v="Booking-1022"/>
    <s v="Rejected"/>
    <d v="2025-09-30T00:00:00"/>
    <n v="121"/>
    <s v="Do Dubai Island"/>
    <s v="Tower 1"/>
    <s v="1 Bedroom"/>
    <s v="316"/>
    <s v="Blocked"/>
    <x v="1"/>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s v="Cancellation Request raised by Sales Operations Team"/>
  </r>
  <r>
    <d v="2025-10-06T00:00:00"/>
    <d v="2025-10-09T00:00:00"/>
    <s v="Booking-1021"/>
    <s v="Rejected"/>
    <d v="2025-09-30T00:00:00"/>
    <n v="121"/>
    <s v="Laguna Residence"/>
    <s v="Tower A"/>
    <s v="2 Bedroom"/>
    <s v="A2107"/>
    <s v="Booked"/>
    <x v="1"/>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s v="Cancellation Request raised by Sales Operations Team"/>
  </r>
  <r>
    <d v="2025-10-04T00:00:00"/>
    <d v="2025-10-07T00:00:00"/>
    <s v="Booking-1002"/>
    <s v="Rejected"/>
    <d v="2025-09-19T00:00:00"/>
    <n v="132"/>
    <s v="Laguna Residence"/>
    <s v="Tower A"/>
    <s v="2 Bedroom"/>
    <s v="A4005"/>
    <s v="Blocked"/>
    <x v="1"/>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s v="Swapped from A4005 to A2101"/>
  </r>
  <r>
    <d v="2025-10-04T00:00:00"/>
    <d v="2025-10-07T00:00:00"/>
    <s v="Booking-1001"/>
    <s v="Rejected"/>
    <d v="2025-09-19T00:00:00"/>
    <n v="132"/>
    <s v="Laguna Residence"/>
    <s v="Tower A"/>
    <s v="2 Bedroom"/>
    <s v="A4105"/>
    <s v="Blocked"/>
    <x v="1"/>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s v="Swapped from A4105 to A2001"/>
  </r>
  <r>
    <d v="2025-10-03T00:00:00"/>
    <d v="2025-10-06T00:00:00"/>
    <s v="Booking-1030"/>
    <s v="Rejected"/>
    <d v="2025-10-03T00:00:00"/>
    <n v="118"/>
    <s v="Laguna Residence"/>
    <s v="Tower B"/>
    <s v="2 Bedroom"/>
    <s v="B2402"/>
    <s v="Booked"/>
    <x v="1"/>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s v="Unit was to be booked under &quot;Dilier Sanchez Mora&quot; "/>
  </r>
  <r>
    <d v="2025-09-30T00:00:00"/>
    <d v="2025-09-30T00:00:00"/>
    <s v="Booking-956"/>
    <s v="Rejected"/>
    <d v="2025-08-28T00:00:00"/>
    <n v="154"/>
    <s v="Do Dubai Island"/>
    <s v="Tower 1"/>
    <s v="Studio"/>
    <s v="110"/>
    <s v="SPA Executed"/>
    <x v="1"/>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s v="Cancellation Request raised by Collections Team"/>
  </r>
  <r>
    <d v="2025-09-30T00:00:00"/>
    <d v="2025-10-09T00:00:00"/>
    <s v="Booking-980"/>
    <s v="Rejected"/>
    <d v="2025-09-09T00:00:00"/>
    <n v="142"/>
    <s v="Laguna Residence"/>
    <s v="Tower A"/>
    <s v="Studio"/>
    <s v="A2112"/>
    <s v="Blocked"/>
    <x v="1"/>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s v="Customer is unable to continue with the Purchase - Refund Requested"/>
  </r>
  <r>
    <d v="2025-09-29T00:00:00"/>
    <d v="2025-10-09T00:00:00"/>
    <s v="Booking-701"/>
    <s v="Rejected"/>
    <d v="2025-05-30T00:00:00"/>
    <n v="244"/>
    <s v="Laguna Residence"/>
    <s v="Tower B"/>
    <s v="Studio"/>
    <s v="B2006"/>
    <s v="SPA Executed"/>
    <x v="1"/>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s v="From Hawbir Hassan to Riad El Kaddouri"/>
  </r>
  <r>
    <d v="2025-09-29T00:00:00"/>
    <d v="2025-10-09T00:00:00"/>
    <s v="Booking-700"/>
    <s v="Rejected"/>
    <d v="2025-05-30T00:00:00"/>
    <n v="244"/>
    <s v="Laguna Residence"/>
    <s v="Tower B"/>
    <s v="Studio"/>
    <s v="B1906"/>
    <s v="SPA Executed"/>
    <x v="1"/>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s v="From Hawbir Hassan to Rojbin Saeed"/>
  </r>
  <r>
    <d v="2025-09-29T00:00:00"/>
    <d v="2025-09-29T00:00:00"/>
    <s v="Booking-851"/>
    <s v="Rejected"/>
    <d v="2025-07-26T00:00:00"/>
    <n v="187"/>
    <s v="Laguna Residence"/>
    <s v="Tower A"/>
    <s v="Studio"/>
    <s v="A419"/>
    <s v="Booked"/>
    <x v="1"/>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s v="Cancellation Request raised by Collections Team"/>
  </r>
  <r>
    <d v="2025-09-29T00:00:00"/>
    <d v="2025-09-29T00:00:00"/>
    <s v="Booking-683"/>
    <s v="Rejected"/>
    <d v="2025-05-23T00:00:00"/>
    <n v="251"/>
    <s v="Laguna Residence"/>
    <s v="Tower B"/>
    <s v="Studio"/>
    <s v="B1306"/>
    <s v="SPA Executed"/>
    <x v="1"/>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s v="Cancellation Request raised by Collections Team"/>
  </r>
  <r>
    <d v="2025-09-24T00:00:00"/>
    <d v="2025-09-24T00:00:00"/>
    <s v="Booking-957"/>
    <s v="Rejected"/>
    <d v="2025-08-28T00:00:00"/>
    <n v="154"/>
    <s v="Do Dubai Island"/>
    <s v="Tower 1"/>
    <s v="Studio"/>
    <s v="112"/>
    <s v="SPA Executed"/>
    <x v="1"/>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s v="Cancellation Request raised by Collections Team"/>
  </r>
  <r>
    <d v="2025-09-23T00:00:00"/>
    <d v="2025-09-24T00:00:00"/>
    <s v="Booking-916"/>
    <s v="Rejected"/>
    <d v="2025-08-18T00:00:00"/>
    <n v="164"/>
    <s v="Do Dubai Island"/>
    <s v="Tower 1"/>
    <s v="Studio"/>
    <s v="318"/>
    <s v="SPA Executed"/>
    <x v="1"/>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s v="Cancellation Request raised by Collections Team"/>
  </r>
  <r>
    <d v="2025-09-22T00:00:00"/>
    <d v="2025-09-24T00:00:00"/>
    <s v="Booking-982"/>
    <s v="Rejected"/>
    <d v="2025-09-09T00:00:00"/>
    <n v="142"/>
    <s v="Laguna Residence"/>
    <s v="Tower A"/>
    <s v="Studio"/>
    <s v="A1014"/>
    <s v="Booked"/>
    <x v="1"/>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s v="Cancellation Request raised by Collections Team"/>
  </r>
  <r>
    <d v="2025-09-18T00:00:00"/>
    <d v="2025-09-18T00:00:00"/>
    <s v="Booking-774"/>
    <s v="Rejected"/>
    <d v="2025-06-17T00:00:00"/>
    <n v="226"/>
    <s v="Laguna Residence"/>
    <s v="Tower B"/>
    <s v="Studio"/>
    <s v="B405"/>
    <s v="SPA Executed"/>
    <x v="1"/>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s v="From Katharina Junimann Appelhans to Helena Erbis"/>
  </r>
  <r>
    <d v="2025-09-17T00:00:00"/>
    <d v="2025-09-18T00:00:00"/>
    <s v="Booking-783"/>
    <s v="Rejected"/>
    <d v="2025-06-20T00:00:00"/>
    <n v="223"/>
    <s v="Laguna Residence"/>
    <s v="Tower A"/>
    <s v="Studio"/>
    <s v="A2115"/>
    <s v="SPA Executed"/>
    <x v="1"/>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s v="Cancellation Request raised by Collections Team"/>
  </r>
  <r>
    <d v="2025-09-16T00:00:00"/>
    <d v="2025-09-22T00:00:00"/>
    <s v="Booking-711"/>
    <s v="Rejected"/>
    <d v="2025-06-07T00:00:00"/>
    <n v="236"/>
    <s v="Laguna Residence"/>
    <s v="Tower B"/>
    <s v="1 Bedroom"/>
    <s v="B323"/>
    <s v="SPA Executed"/>
    <x v="1"/>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s v="Cancellation Request raised by Collections Team"/>
  </r>
  <r>
    <d v="2025-09-16T00:00:00"/>
    <d v="2025-09-22T00:00:00"/>
    <s v="Booking-657"/>
    <s v="Rejected"/>
    <d v="2025-05-10T00:00:00"/>
    <n v="264"/>
    <s v="Laguna Residence"/>
    <s v="Tower A"/>
    <s v="Studio"/>
    <s v="A1311"/>
    <s v="Booked"/>
    <x v="1"/>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s v="Cancellation Request raised by Collections Team"/>
  </r>
  <r>
    <d v="2025-09-15T00:00:00"/>
    <d v="2025-09-18T00:00:00"/>
    <s v="Booking-971"/>
    <s v="Rejected"/>
    <d v="2025-09-04T00:00:00"/>
    <n v="147"/>
    <s v="Laguna Residence"/>
    <s v="Tower B"/>
    <s v="Studio"/>
    <s v="B3103"/>
    <s v="Blocked"/>
    <x v="1"/>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s v="Swapped from B3103 to B3012"/>
  </r>
  <r>
    <d v="2025-09-15T00:00:00"/>
    <d v="2025-09-16T00:00:00"/>
    <s v="Booking-935"/>
    <s v="Rejected"/>
    <d v="2025-08-21T00:00:00"/>
    <n v="161"/>
    <s v="Do Dubai Island"/>
    <s v="Tower 1"/>
    <s v="Studio"/>
    <s v="107"/>
    <s v="SPA Executed"/>
    <x v="1"/>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s v="From Onur Tukel to Burhan Tukel"/>
  </r>
  <r>
    <d v="2025-09-15T00:00:00"/>
    <d v="2025-09-15T00:00:00"/>
    <s v="Booking-884"/>
    <s v="Rejected"/>
    <d v="2025-08-09T00:00:00"/>
    <n v="173"/>
    <s v="Laguna Residence"/>
    <s v="Tower B"/>
    <s v="2 Bedroom"/>
    <s v="B308"/>
    <s v="Blocked"/>
    <x v="1"/>
    <s v="Touria Agallouch"/>
    <s v="Morocco"/>
    <n v="151363.5"/>
    <n v="8.9300000000000004E-2"/>
    <n v="1543636.5"/>
    <n v="1695000"/>
    <s v="Mohamed El Shimy"/>
    <s v=""/>
    <s v="a03J600000BqiQg"/>
    <s v="-"/>
    <s v="Not Available on Finance Tracker"/>
    <m/>
    <n v="0"/>
    <m/>
    <s v="As per the system, cancellation reason _x000a_'Management Cancelation Request'"/>
    <s v="No Email"/>
    <x v="11"/>
    <s v="Mohammed El Shimmy - Part of the Bulk Deal"/>
  </r>
  <r>
    <d v="2025-09-11T00:00:00"/>
    <d v="2025-09-11T00:00:00"/>
    <s v="Booking-879"/>
    <s v="Rejected"/>
    <d v="2025-08-08T00:00:00"/>
    <n v="174"/>
    <s v="Laguna Residence"/>
    <s v="Tower A"/>
    <s v="2 Bedroom"/>
    <s v="A106"/>
    <s v="Booked"/>
    <x v="1"/>
    <s v="Daniel Phinn"/>
    <s v="United Kingdom"/>
    <n v="119350"/>
    <n v="0.05"/>
    <n v="2267650"/>
    <n v="2387000"/>
    <s v="Claire Moussa"/>
    <s v="Paul Anthony Smith"/>
    <s v="a03J600000Bqgbk"/>
    <s v="-"/>
    <s v="Not Available on Finance Tracker"/>
    <s v="No Payment"/>
    <s v="N/A"/>
    <s v="N/A"/>
    <s v="Cancelled due to Non Payment"/>
    <s v="Booking-879 - Booking Rejection Request"/>
    <x v="5"/>
    <s v="Cancellation Request raised by Collections Team"/>
  </r>
  <r>
    <d v="2025-09-11T00:00:00"/>
    <d v="2025-09-12T00:00:00"/>
    <s v="Booking-882"/>
    <s v="Rejected"/>
    <d v="2025-08-09T00:00:00"/>
    <n v="173"/>
    <s v="Laguna Residence"/>
    <s v="Tower B"/>
    <s v="2 Bedroom"/>
    <s v="B917"/>
    <s v="Blocked"/>
    <x v="1"/>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s v="Swapped from B917 to B817"/>
  </r>
  <r>
    <d v="2025-09-11T00:00:00"/>
    <d v="2025-09-22T00:00:00"/>
    <s v="Booking-505"/>
    <s v="Rejected"/>
    <d v="2025-03-15T00:00:00"/>
    <n v="320"/>
    <s v="Laguna Residence"/>
    <s v="Tower A"/>
    <s v="2 Bedroom"/>
    <s v="A103"/>
    <s v="Available"/>
    <x v="1"/>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s v="Cancellation Request raised by Collections Team"/>
  </r>
  <r>
    <d v="2025-09-09T00:00:00"/>
    <d v="2025-09-09T00:00:00"/>
    <s v="Booking-972"/>
    <s v="Rejected"/>
    <d v="2025-09-04T00:00:00"/>
    <n v="147"/>
    <s v="Laguna Residence"/>
    <s v="Tower A"/>
    <s v="2 Bedroom"/>
    <s v="A1801"/>
    <s v="SPA Executed"/>
    <x v="1"/>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s v="From Joint Ownership to Single Ownership"/>
  </r>
  <r>
    <d v="2025-09-08T00:00:00"/>
    <d v="2025-09-11T00:00:00"/>
    <s v="Booking-968"/>
    <s v="Rejected"/>
    <d v="2025-09-03T00:00:00"/>
    <n v="148"/>
    <s v="Laguna Residence"/>
    <s v="Tower A"/>
    <s v="Studio"/>
    <s v="A3103"/>
    <s v="SPA Executed"/>
    <x v="1"/>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s v="Paid Amount allocated to unit B2612"/>
  </r>
  <r>
    <d v="2025-09-03T00:00:00"/>
    <d v="2025-09-04T00:00:00"/>
    <s v="Booking-964"/>
    <s v="Rejected"/>
    <d v="2025-09-02T00:00:00"/>
    <n v="149"/>
    <s v="Do Dubai Island"/>
    <s v="Tower 1"/>
    <s v="1 Bedroom"/>
    <s v="403"/>
    <s v="SPA Executed"/>
    <x v="1"/>
    <s v="Sriram Rajagopalan Rajagopalan"/>
    <s v="India"/>
    <n v="0"/>
    <n v="0"/>
    <n v="2646000"/>
    <n v="2646000"/>
    <s v="Ramy Abdelsalam"/>
    <s v="Gwt real estate agent"/>
    <s v="a03J600000BrxUQ"/>
    <s v="-"/>
    <s v="Not Available on Finance Tracker"/>
    <s v="No Payment"/>
    <s v="N/A"/>
    <s v="N/A"/>
    <s v="As per the system, customer requested to cancel"/>
    <s v="No Email"/>
    <x v="3"/>
    <s v="Swapped from 403 to 420 (Upgrade)"/>
  </r>
  <r>
    <d v="2025-08-29T00:00:00"/>
    <d v="2025-09-01T00:00:00"/>
    <s v="Booking-874"/>
    <s v="Rejected"/>
    <d v="2025-08-06T00:00:00"/>
    <n v="176"/>
    <s v="Do Dubai Island"/>
    <s v="Tower 1"/>
    <s v="Studio"/>
    <s v="211"/>
    <s v="SPA Executed"/>
    <x v="1"/>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s v="Customer is unable to continue with the Purchase - Refund Requested"/>
  </r>
  <r>
    <d v="2025-08-26T00:00:00"/>
    <d v="2025-08-26T00:00:00"/>
    <s v="Booking-945"/>
    <s v="Rejected"/>
    <d v="2025-08-26T00:00:00"/>
    <n v="156"/>
    <s v="Laguna Residence"/>
    <s v="Tower A"/>
    <s v="1 Bedroom"/>
    <s v="A322"/>
    <s v="SPA Executed"/>
    <x v="1"/>
    <s v="Batuhan Nuri Melek"/>
    <s v="Turkey"/>
    <n v="0"/>
    <n v="0"/>
    <n v="1342000"/>
    <n v="1342000"/>
    <s v="Mohamed El Shimy"/>
    <s v="PREMIA LIVINGS REAL ESTATE L.L.C"/>
    <s v="a03J600000BrZYd"/>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944"/>
    <s v="Rejected"/>
    <d v="2025-08-26T00:00:00"/>
    <n v="156"/>
    <s v="Laguna Residence"/>
    <s v="Tower A"/>
    <s v="Studio"/>
    <s v="A2514"/>
    <s v="SPA Executed"/>
    <x v="1"/>
    <s v="Shon Philip Koshy"/>
    <s v="India"/>
    <n v="0"/>
    <n v="0"/>
    <n v="787000"/>
    <n v="787000"/>
    <s v="Mohamed El Shimy"/>
    <s v="PREMIA LIVINGS REAL ESTATE L.L.C"/>
    <s v="a03J600000BrYy2"/>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853"/>
    <s v="Rejected"/>
    <d v="2025-07-31T00:00:00"/>
    <n v="182"/>
    <s v="Laguna Residence"/>
    <s v="Tower A"/>
    <s v="1 Bedroom"/>
    <s v="A322"/>
    <s v="SPA Executed"/>
    <x v="1"/>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s v="Swapped from A322 to A2514"/>
  </r>
  <r>
    <d v="2025-08-25T00:00:00"/>
    <d v="2025-08-26T00:00:00"/>
    <s v="Booking-836"/>
    <s v="Rejected"/>
    <d v="2025-07-18T00:00:00"/>
    <n v="195"/>
    <s v="Laguna Residence"/>
    <s v="Tower A"/>
    <s v="Studio"/>
    <s v="A2514"/>
    <s v="SPA Executed"/>
    <x v="1"/>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s v="From Omar Rezgani to Hossam ibraheem"/>
  </r>
  <r>
    <d v="2025-08-25T00:00:00"/>
    <d v="2025-09-03T00:00:00"/>
    <s v="Booking-587"/>
    <s v="Rejected"/>
    <d v="2025-04-09T00:00:00"/>
    <n v="295"/>
    <s v="Laguna Residence"/>
    <s v="Tower B"/>
    <s v="Studio"/>
    <s v="B1720"/>
    <s v="SPA Executed"/>
    <x v="1"/>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s v="From GUSTAV SJUNNESSON to Mohammed Adam Metto"/>
  </r>
  <r>
    <d v="2025-08-25T00:00:00"/>
    <d v="2025-09-04T00:00:00"/>
    <s v="Booking-726"/>
    <s v="Rejected"/>
    <d v="2025-06-10T00:00:00"/>
    <n v="233"/>
    <s v="Do Dubai Island"/>
    <s v="Tower 1"/>
    <s v="2 Bedroom"/>
    <s v="601"/>
    <s v="Blocked"/>
    <x v="1"/>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s v="Customer is unable to continue with the Purchase - No Refund"/>
  </r>
  <r>
    <d v="2025-08-25T00:00:00"/>
    <d v="2025-09-04T00:00:00"/>
    <s v="Booking-865"/>
    <s v="Rejected"/>
    <d v="2025-08-03T00:00:00"/>
    <n v="179"/>
    <s v="Do Dubai Island"/>
    <s v="Tower 1"/>
    <s v="Studio"/>
    <s v="314"/>
    <s v="SPA Executed"/>
    <x v="1"/>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s v="Cancellation Request raised by VP-Sales"/>
  </r>
  <r>
    <d v="2025-08-04T00:00:00"/>
    <d v="2025-08-07T00:00:00"/>
    <s v="Booking-844"/>
    <s v="Rejected"/>
    <d v="2025-07-21T00:00:00"/>
    <n v="192"/>
    <s v="Laguna Residence"/>
    <s v="Tower A"/>
    <s v="2 Bedroom"/>
    <s v="A417"/>
    <s v="Booked"/>
    <x v="1"/>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s v="Customer is unable to continue with the Purchase"/>
  </r>
  <r>
    <d v="2025-07-15T00:00:00"/>
    <d v="2025-07-21T00:00:00"/>
    <s v="Booking-806"/>
    <s v="Rejected"/>
    <d v="2025-07-05T00:00:00"/>
    <n v="208"/>
    <s v="Do Dubai Island"/>
    <s v="Tower 1"/>
    <s v="Studio"/>
    <s v="107"/>
    <s v="SPA Executed"/>
    <x v="1"/>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s v="Customer only wants to proceed with unit B205 only"/>
  </r>
  <r>
    <d v="2025-07-15T00:00:00"/>
    <d v="2025-07-21T00:00:00"/>
    <s v="Booking-804"/>
    <s v="Rejected"/>
    <d v="2025-07-05T00:00:00"/>
    <n v="208"/>
    <s v="Do Dubai Island"/>
    <s v="Tower 1"/>
    <s v="1 Bedroom"/>
    <s v="216"/>
    <s v="Available"/>
    <x v="1"/>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s v="Customer only wants to proceed with unit B205 only"/>
  </r>
  <r>
    <d v="2025-07-15T00:00:00"/>
    <d v="2025-07-21T00:00:00"/>
    <s v="Booking-795"/>
    <s v="Rejected"/>
    <d v="2025-06-29T00:00:00"/>
    <n v="214"/>
    <s v="Laguna Residence"/>
    <s v="Tower A"/>
    <s v="Studio"/>
    <s v="A2110"/>
    <s v="Booked"/>
    <x v="1"/>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s v="Customer is unable to continue with the Purchase"/>
  </r>
  <r>
    <d v="2025-07-15T00:00:00"/>
    <d v="2025-07-21T00:00:00"/>
    <s v="Booking-786"/>
    <s v="Rejected"/>
    <d v="2025-06-25T00:00:00"/>
    <n v="218"/>
    <s v="Do Dubai Island"/>
    <s v="Tower 1"/>
    <s v="Studio"/>
    <s v="618"/>
    <s v="SPA Executed"/>
    <x v="1"/>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s v="Amal El Gendy"/>
  </r>
  <r>
    <d v="2025-07-15T00:00:00"/>
    <d v="2025-07-21T00:00:00"/>
    <s v="Booking-735"/>
    <s v="Rejected"/>
    <d v="2025-06-10T00:00:00"/>
    <n v="233"/>
    <s v="Do Dubai Island"/>
    <s v="Tower 1"/>
    <s v="1 Bedroom"/>
    <s v="509"/>
    <s v="SPA Executed"/>
    <x v="1"/>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s v="Cancellation Request raised by Collections Team"/>
  </r>
  <r>
    <d v="2025-07-15T00:00:00"/>
    <d v="2025-07-21T00:00:00"/>
    <s v="Booking-734"/>
    <s v="Rejected"/>
    <d v="2025-06-10T00:00:00"/>
    <n v="233"/>
    <s v="Do Dubai Island"/>
    <s v="Tower 1"/>
    <s v="Studio"/>
    <s v="612"/>
    <s v="SPA Executed"/>
    <x v="1"/>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s v="Cancellation Request raised by Collections Team"/>
  </r>
  <r>
    <d v="2025-07-15T00:00:00"/>
    <d v="2025-07-17T00:00:00"/>
    <s v="Booking-722"/>
    <s v="Rejected"/>
    <d v="2025-06-09T00:00:00"/>
    <n v="234"/>
    <s v="Do Dubai Island"/>
    <s v="Tower 1"/>
    <s v="1 Bedroom"/>
    <s v="502"/>
    <s v="SPA Executed"/>
    <x v="1"/>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s v="Customer is unable to continue with the Purchase - Refund Request Approved"/>
  </r>
  <r>
    <d v="2025-07-15T00:00:00"/>
    <d v="2025-07-21T00:00:00"/>
    <s v="Booking-541"/>
    <s v="Rejected"/>
    <d v="2025-03-24T00:00:00"/>
    <n v="311"/>
    <s v="Laguna Residence"/>
    <s v="Tower A"/>
    <s v="Studio"/>
    <s v="A918"/>
    <s v="Booked"/>
    <x v="1"/>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s v="Cancellation Request raised by Collections Team"/>
  </r>
  <r>
    <d v="2025-07-15T00:00:00"/>
    <d v="2025-07-21T00:00:00"/>
    <s v="Booking-208"/>
    <s v="Rejected"/>
    <d v="2024-12-04T00:00:00"/>
    <n v="421"/>
    <s v="Laguna Residence"/>
    <s v="Tower A"/>
    <s v="3 Bedroom"/>
    <s v="A4001"/>
    <s v="Blocked"/>
    <x v="1"/>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s v="Swapped from A4001 to B300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s v="January"/>
    <d v="2026-01-29T00:00:00"/>
    <d v="1899-12-30T00:00:00"/>
    <s v="Booking-1502"/>
    <s v="Draft"/>
    <d v="2026-01-28T00:00:00"/>
    <n v="1"/>
    <s v="One Residence"/>
    <s v="Tower 1"/>
    <s v="2 BR"/>
    <s v="OR-2407"/>
    <s v="Booked"/>
    <s v="Draft"/>
    <s v="JIANPING SU"/>
    <s v="China"/>
    <n v="0"/>
    <n v="0"/>
    <n v="2370111"/>
    <n v="2370111"/>
    <s v="Tanveer Ansari"/>
    <s v="Dingsen Properties LLC"/>
    <s v="a03NM00000Ul7rC"/>
    <s v="-"/>
    <m/>
    <s v="No Payment"/>
    <n v="0"/>
    <s v="N/A"/>
    <s v="Cancelled due to Repricing"/>
    <m/>
    <x v="0"/>
    <x v="0"/>
  </r>
  <r>
    <s v="January"/>
    <d v="2026-01-28T00:00:00"/>
    <d v="2026-01-28T00:00:00"/>
    <s v="Booking-1474"/>
    <s v="Rejected"/>
    <d v="2026-01-21T00:00:00"/>
    <n v="8"/>
    <s v="One Residence"/>
    <s v="Tower 1"/>
    <s v="2 BR"/>
    <s v="OR-407"/>
    <s v="Available"/>
    <s v="Rejected"/>
    <s v="Wang GuiLian"/>
    <s v="China"/>
    <n v="0"/>
    <n v="0"/>
    <n v="2404111"/>
    <n v="2404111"/>
    <s v="Yang XI"/>
    <s v="WEALTH KEY REAL ESTATE L.L.C"/>
    <s v="a03NM00000Tz8ej"/>
    <s v="-"/>
    <m/>
    <s v="No Payment"/>
    <n v="0"/>
    <s v="N/A"/>
    <s v="Customer requested to cancel Booking"/>
    <s v="Booking-1474 - Booking Rejection Request"/>
    <x v="1"/>
    <x v="1"/>
  </r>
  <r>
    <s v="January"/>
    <d v="2026-01-27T00:00:00"/>
    <d v="2026-01-28T00:00:00"/>
    <s v="Booking-1437"/>
    <s v="Rejected"/>
    <d v="2026-01-12T00:00:00"/>
    <n v="17"/>
    <s v="One Residence"/>
    <s v="Tower 1"/>
    <s v="2 BR"/>
    <s v="OR-1404"/>
    <s v="Booked"/>
    <s v="Rejected"/>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x v="2"/>
  </r>
  <r>
    <s v="January"/>
    <d v="2026-01-27T00:00:00"/>
    <d v="2026-01-27T00:00:00"/>
    <s v="Booking-1480"/>
    <s v="Rejected"/>
    <d v="2026-01-22T00:00:00"/>
    <n v="7"/>
    <s v="Laguna Residence"/>
    <s v="Tower B"/>
    <s v="Studio"/>
    <s v="B512"/>
    <s v="Blocked"/>
    <s v="Rejected"/>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x v="3"/>
  </r>
  <r>
    <s v="January"/>
    <d v="2026-01-27T00:00:00"/>
    <d v="2026-01-27T00:00:00"/>
    <s v="Booking-1428"/>
    <s v="Rejected"/>
    <d v="2026-01-09T00:00:00"/>
    <n v="20"/>
    <s v="One Residence"/>
    <s v="Tower 1"/>
    <s v="2 BR"/>
    <s v="OR-1606"/>
    <s v="Booked"/>
    <s v="Rejected"/>
    <s v="Guy Ghosn"/>
    <s v="Lebanon"/>
    <n v="0"/>
    <n v="0"/>
    <n v="2550000"/>
    <n v="2550000"/>
    <s v="Hossam Mostafa"/>
    <s v="TOP OF THE TOP PROPERTIES  LLC - SPC"/>
    <s v="a03NM00000Sp3v3"/>
    <s v="-"/>
    <m/>
    <s v="No Payment"/>
    <n v="0"/>
    <s v="N/A"/>
    <s v="Error In Booking"/>
    <s v="Booking-1428 - Booking Rejection Request"/>
    <x v="4"/>
    <x v="4"/>
  </r>
  <r>
    <s v="January"/>
    <d v="2026-01-26T00:00:00"/>
    <d v="2026-01-27T00:00:00"/>
    <s v="Booking-1491"/>
    <s v="Rejected"/>
    <d v="2026-01-23T00:00:00"/>
    <n v="6"/>
    <s v="One Residence"/>
    <s v="Tower 1"/>
    <s v="2 BR"/>
    <s v="OR-2507"/>
    <s v="Booked"/>
    <s v="Rejected"/>
    <s v="JOEBEN TAI"/>
    <s v="Philippines"/>
    <n v="49422"/>
    <n v="1.960775756556252E-2"/>
    <n v="2471111"/>
    <n v="2520533"/>
    <s v="Tanveer Ansari"/>
    <s v="NOVA VISION REAL ESTATE L.L.C"/>
    <s v="a03NM00000UELMh"/>
    <s v="-"/>
    <m/>
    <s v="No Payment"/>
    <n v="0"/>
    <s v="N/A"/>
    <s v="Cancelled due to Repricing"/>
    <s v="Booking-1491 - Booking Rejection Request"/>
    <x v="0"/>
    <x v="0"/>
  </r>
  <r>
    <s v="January"/>
    <d v="2026-01-26T00:00:00"/>
    <d v="2026-01-26T00:00:00"/>
    <s v="Booking-1489"/>
    <s v="Rejected"/>
    <d v="2026-01-23T00:00:00"/>
    <n v="6"/>
    <s v="One Residence"/>
    <s v="Tower 1"/>
    <s v="2 BR"/>
    <s v="OR-1301"/>
    <s v="Booked"/>
    <s v="Rejected"/>
    <s v="AHMED GAMAL AHMED SAYED ABDELHADY"/>
    <s v="Egypt"/>
    <n v="54142"/>
    <n v="1.9607765025515589E-2"/>
    <n v="2707111"/>
    <n v="2761253"/>
    <s v="Feraz Mohamed"/>
    <s v="KINGS EDITION REAL ESTATE L.L.C"/>
    <s v="a03NM00000UDg9u"/>
    <s v="-"/>
    <m/>
    <s v="No Payment"/>
    <n v="0"/>
    <s v="N/A"/>
    <s v="Cancelled due to Repricing"/>
    <s v="Booking-1489 - Booking Rejection Request"/>
    <x v="0"/>
    <x v="0"/>
  </r>
  <r>
    <s v="January"/>
    <d v="2026-01-22T00:00:00"/>
    <d v="2026-01-22T00:00:00"/>
    <s v="Booking-1340"/>
    <s v="Rejected"/>
    <d v="2026-01-07T00:00:00"/>
    <n v="22"/>
    <s v="One Residence"/>
    <s v="Tower 1"/>
    <s v="1 BR"/>
    <s v="OR-603"/>
    <s v="Booked"/>
    <s v="Rejected"/>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x v="1"/>
  </r>
  <r>
    <s v="January"/>
    <d v="2026-01-22T00:00:00"/>
    <d v="2026-01-22T00:00:00"/>
    <s v="Booking-1477"/>
    <s v="Rejected"/>
    <d v="2026-01-21T00:00:00"/>
    <n v="8"/>
    <s v="One Residence"/>
    <s v="Tower 1"/>
    <s v="1 BR"/>
    <s v="OR-808"/>
    <s v="Booked"/>
    <s v="Rejected"/>
    <s v="REDA AYOUBI"/>
    <s v="United States of America"/>
    <n v="-50000"/>
    <n v="-3.0674846625766871E-2"/>
    <n v="1680000"/>
    <n v="1630000"/>
    <s v="Amr Abdelghafar"/>
    <s v="P S I ASSETS REAL ESTATES L.L.C."/>
    <s v="a03NM00000U0VNa"/>
    <s v="-"/>
    <m/>
    <s v="No Payment"/>
    <n v="0"/>
    <s v="N/A"/>
    <s v="Cancelled due to Repricing"/>
    <s v="Booking-1477 - Booking Rejection Request"/>
    <x v="0"/>
    <x v="0"/>
  </r>
  <r>
    <s v="January"/>
    <d v="2026-01-22T00:00:00"/>
    <d v="2026-01-22T00:00:00"/>
    <s v="Booking-1425"/>
    <s v="Rejected"/>
    <d v="2026-01-09T00:00:00"/>
    <n v="20"/>
    <s v="One Residence"/>
    <s v="Tower 1"/>
    <s v="2 BR"/>
    <s v="OR-1205"/>
    <s v="Booked"/>
    <s v="Rejected"/>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x v="0"/>
  </r>
  <r>
    <s v="January"/>
    <d v="2026-01-21T00:00:00"/>
    <d v="2026-01-21T00:00:00"/>
    <s v="Booking-1250"/>
    <s v="Rejected"/>
    <d v="2025-12-11T00:00:00"/>
    <n v="49"/>
    <s v="Do Dubai Island"/>
    <s v="Tower 1"/>
    <s v="1 Bedroom"/>
    <s v="106"/>
    <s v="Blocked"/>
    <s v="Rejected"/>
    <s v="Albert Nesterov"/>
    <s v="Russia"/>
    <n v="0"/>
    <n v="0"/>
    <n v="2525000"/>
    <n v="2525000"/>
    <s v="Vladyslav Parkhomchuk"/>
    <s v="Rich Property Real Estate Brokerages LLC"/>
    <s v="a03NM00000PGtRx"/>
    <s v="-"/>
    <m/>
    <s v="No Payment"/>
    <n v="0"/>
    <s v="N/A"/>
    <s v="Cancelled due to Non Payment"/>
    <s v="Booking-1250 - Booking Rejection Request"/>
    <x v="5"/>
    <x v="5"/>
  </r>
  <r>
    <s v="January"/>
    <d v="2026-01-21T00:00:00"/>
    <d v="2026-01-21T00:00:00"/>
    <s v="Booking-1461"/>
    <s v="Rejected"/>
    <d v="2026-01-19T00:00:00"/>
    <n v="10"/>
    <s v="One Residence"/>
    <s v="Tower 1"/>
    <s v="1 BR"/>
    <s v="OR-808"/>
    <s v="Booked"/>
    <s v="Rejected"/>
    <s v="FAHD AYOUBI"/>
    <s v="United States of America"/>
    <n v="-50000"/>
    <n v="-3.0674846625766871E-2"/>
    <n v="1680000"/>
    <n v="1630000"/>
    <s v="Amr Abdelghafar"/>
    <s v="P S I ASSETS REAL ESTATES L.L.C."/>
    <s v="a03NM00000Tn6ef"/>
    <s v="-"/>
    <m/>
    <s v="No Payment"/>
    <n v="0"/>
    <s v="N/A"/>
    <s v="Cancelled due to Repricing"/>
    <s v="Booking-1461 - Booking Rejection Request"/>
    <x v="0"/>
    <x v="0"/>
  </r>
  <r>
    <s v="January"/>
    <d v="2026-01-21T00:00:00"/>
    <d v="2026-01-21T00:00:00"/>
    <s v="Booking-1394"/>
    <s v="Rejected"/>
    <d v="2026-01-09T00:00:00"/>
    <n v="20"/>
    <s v="One Residence"/>
    <s v="Tower 1"/>
    <s v="1 BR"/>
    <s v="OR-809"/>
    <s v="Booked"/>
    <s v="Rejected"/>
    <s v="REDA AYOUBI"/>
    <s v="United States of America"/>
    <n v="0"/>
    <n v="0"/>
    <n v="1670000"/>
    <n v="1670000"/>
    <s v="Amr Abdelghafar"/>
    <s v="P S I ASSETS REAL ESTATES L.L.C."/>
    <s v="a03NM00000Snp7v"/>
    <s v="-"/>
    <m/>
    <s v="No Payment"/>
    <n v="0"/>
    <s v="N/A"/>
    <s v="Cancelled due to Repricing"/>
    <s v="Booking-1394 - Booking Rejection Request"/>
    <x v="0"/>
    <x v="0"/>
  </r>
  <r>
    <s v="January"/>
    <d v="2026-01-21T00:00:00"/>
    <d v="2026-01-21T00:00:00"/>
    <s v="Booking-1424"/>
    <s v="Rejected"/>
    <d v="2026-01-09T00:00:00"/>
    <n v="20"/>
    <s v="One Residence"/>
    <s v="Tower 1"/>
    <s v="1 BR"/>
    <s v="OR-610"/>
    <s v="Booked"/>
    <s v="Rejected"/>
    <s v="Mohammad Kerdi"/>
    <s v="Lebanon"/>
    <n v="2000"/>
    <n v="1.25E-3"/>
    <n v="1598000"/>
    <n v="1600000"/>
    <s v="Hossam Mostafa"/>
    <s v="LEGACY LIVING REAL ESTATE - L.L.C - S.P.C"/>
    <s v="a03NM00000SpEbx"/>
    <s v="-"/>
    <m/>
    <s v="No Payment"/>
    <n v="0"/>
    <s v="N/A"/>
    <s v="Cancelled due to Repricing"/>
    <s v="Booking-1424 - Booking Rejection Request"/>
    <x v="0"/>
    <x v="0"/>
  </r>
  <r>
    <s v="January"/>
    <d v="2026-01-21T00:00:00"/>
    <d v="2026-01-21T00:00:00"/>
    <s v="Booking-1420"/>
    <s v="Rejected"/>
    <d v="2026-01-09T00:00:00"/>
    <n v="20"/>
    <s v="One Residence"/>
    <s v="Tower 1"/>
    <s v="2 BR"/>
    <s v="OR-1309"/>
    <s v="Booked"/>
    <s v="Rejected"/>
    <s v="NANIK RAM PARMANAND"/>
    <s v="Pakistan"/>
    <n v="100000"/>
    <n v="4.1841004184100417E-2"/>
    <n v="2290000"/>
    <n v="2390000"/>
    <s v="Amr Abdelghafar"/>
    <s v="P S I ASSETS REAL ESTATES L.L.C."/>
    <s v="a03NM00000SoqTB"/>
    <s v="-"/>
    <m/>
    <s v="No Payment"/>
    <n v="0"/>
    <s v="N/A"/>
    <s v="Cancelled due to Repricing"/>
    <s v="Booking-1420 - Booking Rejection Request"/>
    <x v="0"/>
    <x v="0"/>
  </r>
  <r>
    <s v="January"/>
    <d v="2026-01-20T00:00:00"/>
    <d v="2026-01-20T00:00:00"/>
    <s v="Booking-1462"/>
    <s v="Rejected"/>
    <d v="2026-01-19T00:00:00"/>
    <n v="10"/>
    <s v="One Residence"/>
    <s v="Tower 1"/>
    <s v="2 BR"/>
    <s v="OR-2404"/>
    <s v="Booked"/>
    <s v="Rejected"/>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x v="0"/>
  </r>
  <r>
    <s v="January"/>
    <d v="2026-01-20T00:00:00"/>
    <d v="2026-01-21T00:00:00"/>
    <s v="Booking-1330"/>
    <s v="Rejected"/>
    <d v="2026-01-07T00:00:00"/>
    <n v="22"/>
    <s v="One Residence"/>
    <s v="Tower 1"/>
    <s v="2 BR"/>
    <s v="OR-2106"/>
    <s v="Blocked"/>
    <s v="Rejected"/>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x v="6"/>
  </r>
  <r>
    <s v="January"/>
    <d v="2026-01-19T00:00:00"/>
    <d v="2026-01-20T00:00:00"/>
    <s v="Booking-1423"/>
    <s v="Rejected"/>
    <d v="2026-01-09T00:00:00"/>
    <n v="20"/>
    <s v="One Residence"/>
    <s v="Tower 1"/>
    <s v="3 BR"/>
    <s v="OR-2602"/>
    <s v="Blocked"/>
    <s v="Rejected"/>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x v="1"/>
  </r>
  <r>
    <s v="January"/>
    <d v="2026-01-19T00:00:00"/>
    <d v="2026-01-20T00:00:00"/>
    <s v="Booking-1434"/>
    <s v="Rejected"/>
    <d v="2026-01-12T00:00:00"/>
    <n v="17"/>
    <s v="One Residence"/>
    <s v="Tower 1"/>
    <s v="1 BR"/>
    <s v="OR-803"/>
    <s v="Booked"/>
    <s v="Rejected"/>
    <s v="SARA МОНАМЕD DIB"/>
    <s v="Syria"/>
    <n v="194889"/>
    <n v="0.11149256292906179"/>
    <n v="1553111"/>
    <n v="1748000"/>
    <s v="Hossam Mostafa"/>
    <s v=""/>
    <s v="a03NM00000T3Aju"/>
    <s v="-"/>
    <m/>
    <s v="No Payment"/>
    <n v="0"/>
    <s v="N/A"/>
    <s v="Cancelled due to Repricing"/>
    <s v="Booking-1434 - Booking Rejection Request"/>
    <x v="0"/>
    <x v="0"/>
  </r>
  <r>
    <s v="January"/>
    <d v="2026-01-19T00:00:00"/>
    <d v="2026-01-20T00:00:00"/>
    <s v="Booking-1254"/>
    <s v="Rejected"/>
    <d v="2025-12-11T00:00:00"/>
    <n v="49"/>
    <s v="Do Dubai Island"/>
    <s v="Tower 1"/>
    <s v="1 Bedroom"/>
    <s v="508"/>
    <s v="Blocked"/>
    <s v="Rejected"/>
    <s v="Cemal Atilla Birmis"/>
    <s v="Turkey"/>
    <n v="68080"/>
    <n v="0.02"/>
    <n v="3335920"/>
    <n v="3404000"/>
    <s v="Midia Sedighi"/>
    <s v="PRIME RICHMOND PROPERTIES L.L.C"/>
    <s v="a03NM00000PHQvn"/>
    <s v="-"/>
    <m/>
    <n v="8000"/>
    <n v="2.398139044101777E-3"/>
    <s v="No"/>
    <s v="Cancelled due to Non Payment"/>
    <s v="Booking-1254 - Booking Rejection Request"/>
    <x v="5"/>
    <x v="7"/>
  </r>
  <r>
    <s v="January"/>
    <d v="2026-01-19T00:00:00"/>
    <d v="2026-01-20T00:00:00"/>
    <s v="Booking-1253"/>
    <s v="Rejected"/>
    <d v="2025-12-11T00:00:00"/>
    <n v="49"/>
    <s v="Do Dubai Island"/>
    <s v="Tower 1"/>
    <s v="1 Bedroom"/>
    <s v="409"/>
    <s v="Blocked"/>
    <s v="Rejected"/>
    <s v="Cemal Atilla Birmis"/>
    <s v="Turkey"/>
    <n v="46580"/>
    <n v="0.02"/>
    <n v="2282420"/>
    <n v="2329000"/>
    <s v="Midia Sedighi"/>
    <s v="PRIME RICHMOND PROPERTIES L.L.C"/>
    <s v="a03NM00000PHOxF"/>
    <s v="-"/>
    <m/>
    <n v="8000"/>
    <n v="3.505051655698776E-3"/>
    <s v="No"/>
    <s v="Cancelled due to Non Payment"/>
    <s v="Booking-1253 - Booking Rejection Request"/>
    <x v="5"/>
    <x v="7"/>
  </r>
  <r>
    <s v="January"/>
    <d v="2026-01-19T00:00:00"/>
    <d v="2026-01-20T00:00:00"/>
    <s v="Booking-1252"/>
    <s v="Rejected"/>
    <d v="2025-12-11T00:00:00"/>
    <n v="49"/>
    <s v="Do Dubai Island"/>
    <s v="Tower 1"/>
    <s v="1 Bedroom"/>
    <s v="204"/>
    <s v="Blocked"/>
    <s v="Rejected"/>
    <s v="Cemal Atilla Birmis"/>
    <s v="Turkey"/>
    <n v="52620"/>
    <n v="0.02"/>
    <n v="2578380"/>
    <n v="2631000"/>
    <s v="Midia Sedighi"/>
    <s v="PRIME RICHMOND PROPERTIES L.L.C"/>
    <s v="a03NM00000PHY8X"/>
    <s v="-"/>
    <m/>
    <n v="8000"/>
    <n v="3.1027234154779358E-3"/>
    <s v="No"/>
    <s v="Cancelled due to Non Payment"/>
    <s v="Booking-1252 - Booking Rejection Request"/>
    <x v="5"/>
    <x v="7"/>
  </r>
  <r>
    <s v="January"/>
    <d v="2026-01-19T00:00:00"/>
    <d v="2026-01-19T00:00:00"/>
    <s v="Booking-1443"/>
    <s v="Rejected"/>
    <d v="2026-01-13T00:00:00"/>
    <n v="16"/>
    <s v="One Residence"/>
    <s v="Tower 1"/>
    <s v="1 BR"/>
    <s v="OR-402"/>
    <s v="Booked"/>
    <s v="Rejected"/>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x v="0"/>
  </r>
  <r>
    <s v="January"/>
    <d v="2026-01-17T00:00:00"/>
    <d v="2026-01-19T00:00:00"/>
    <s v="Booking-1392"/>
    <s v="Rejected"/>
    <d v="2026-01-09T00:00:00"/>
    <n v="20"/>
    <s v="One Residence"/>
    <s v="Tower 1"/>
    <s v="1 BR"/>
    <s v="OR-808"/>
    <s v="Booked"/>
    <s v="Rejected"/>
    <s v="FAHD AYOUBI"/>
    <s v="United States of America"/>
    <n v="0"/>
    <n v="0"/>
    <n v="1630000"/>
    <n v="1630000"/>
    <s v="Amr Abdelghafar"/>
    <s v="P S I ASSETS REAL ESTATES L.L.C."/>
    <s v="a03NM00000SoeoZ"/>
    <s v="-"/>
    <m/>
    <s v="No Payment"/>
    <n v="0"/>
    <s v="N/A"/>
    <s v="Cancelled due to Repricing"/>
    <s v="Booking-1392 - Booking Rejection Request"/>
    <x v="0"/>
    <x v="0"/>
  </r>
  <r>
    <s v="January"/>
    <d v="2026-01-15T00:00:00"/>
    <d v="2026-01-15T00:00:00"/>
    <s v="Booking-1451"/>
    <s v="Rejected"/>
    <d v="2026-01-15T00:00:00"/>
    <n v="14"/>
    <s v="One Residence"/>
    <s v="Tower 1"/>
    <s v="2 BR"/>
    <s v="OR-2506"/>
    <s v="Booked"/>
    <s v="Rejected"/>
    <s v="Amiran Kavkasidze"/>
    <s v="Switzerland"/>
    <n v="17889"/>
    <n v="7.1843373493975906E-3"/>
    <n v="2472111"/>
    <n v="2490000"/>
    <s v="Claire Moussa"/>
    <s v="IOKA International Real Estate LLC"/>
    <s v="a03NM00000TN2AV"/>
    <s v="-"/>
    <e v="#N/A"/>
    <s v="No Payment"/>
    <n v="0"/>
    <s v="N/A"/>
    <s v="Cancelled due to Repricing"/>
    <s v="Booking-1451- Booking Rejection Request"/>
    <x v="0"/>
    <x v="0"/>
  </r>
  <r>
    <s v="January"/>
    <d v="2026-01-14T00:00:00"/>
    <d v="2026-01-15T00:00:00"/>
    <s v="Booking-1406"/>
    <s v="Rejected"/>
    <d v="2026-01-09T00:00:00"/>
    <n v="20"/>
    <s v="One Residence"/>
    <s v="Tower 1"/>
    <s v="2 BR"/>
    <s v="OR-1403"/>
    <s v="Booked"/>
    <s v="Rejected"/>
    <s v="Anton Mikhailov"/>
    <s v="Russia"/>
    <n v="0"/>
    <n v="0"/>
    <n v="2390000"/>
    <n v="2390000"/>
    <s v="Jamil Ibrahim"/>
    <s v="CAPITAL AVENUE REAL ESTATE SOLE PROPRIETORSHIP L.L.C."/>
    <s v="a03NM00000Son8f"/>
    <s v="-"/>
    <e v="#N/A"/>
    <s v="No Payment"/>
    <n v="0"/>
    <s v="N/A"/>
    <s v="Booking was created under wrong unit "/>
    <s v="Booking-1406 - Booking Rejection Request"/>
    <x v="6"/>
    <x v="8"/>
  </r>
  <r>
    <s v="January"/>
    <d v="2026-01-14T00:00:00"/>
    <d v="2026-01-16T00:00:00"/>
    <s v="Booking-1446"/>
    <s v="Rejected"/>
    <d v="2026-01-13T00:00:00"/>
    <n v="16"/>
    <s v="One Residence"/>
    <s v="Tower 1"/>
    <s v="2 BR"/>
    <s v="OR-1503"/>
    <s v="Booked"/>
    <s v="Rejected"/>
    <s v="Mayank Chadha"/>
    <s v="India"/>
    <n v="10000"/>
    <n v="4.0650406504065045E-3"/>
    <n v="2450000"/>
    <n v="2460000"/>
    <s v="Jamil Ibrahim"/>
    <s v="EAST WEST HOMES PROPERTIES - L.L.C - S.P.C"/>
    <s v="a03NM00000TBPLr"/>
    <s v="-"/>
    <e v="#N/A"/>
    <s v="No Payment"/>
    <n v="0"/>
    <s v="N/A"/>
    <s v="Cancelled due to Repricing"/>
    <s v="Booking-1446 - Booking Rejection Request"/>
    <x v="0"/>
    <x v="0"/>
  </r>
  <r>
    <s v="January"/>
    <d v="2026-01-14T00:00:00"/>
    <d v="2026-01-16T00:00:00"/>
    <s v="Booking-800"/>
    <s v="Rejected"/>
    <d v="2025-07-01T00:00:00"/>
    <n v="212"/>
    <s v="Laguna Residence"/>
    <s v="Tower B"/>
    <s v="1 Bedroom"/>
    <s v="B205"/>
    <s v="Blocked"/>
    <s v="Rejected"/>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x v="9"/>
  </r>
  <r>
    <s v="January"/>
    <d v="2026-01-10T00:00:00"/>
    <d v="2026-01-13T00:00:00"/>
    <s v="Booking-1345"/>
    <s v="Rejected"/>
    <d v="2026-01-07T00:00:00"/>
    <n v="22"/>
    <s v="One Residence"/>
    <s v="Tower 1"/>
    <s v="1 BR"/>
    <s v="OR-810"/>
    <s v="Booked"/>
    <s v="Rejected"/>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x v="0"/>
  </r>
  <r>
    <s v="January"/>
    <d v="2026-01-07T00:00:00"/>
    <d v="2026-01-09T00:00:00"/>
    <s v="Booking-1085"/>
    <s v="Rejected"/>
    <d v="2025-10-28T00:00:00"/>
    <n v="93"/>
    <s v="Laguna Residence"/>
    <s v="Tower B"/>
    <s v="Studio"/>
    <s v="B914"/>
    <s v="Blocked"/>
    <s v="Rejected"/>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x v="5"/>
  </r>
  <r>
    <s v="January"/>
    <d v="2026-01-07T00:00:00"/>
    <d v="2026-01-09T00:00:00"/>
    <s v="Booking-1111"/>
    <s v="Rejected"/>
    <d v="2025-10-31T00:00:00"/>
    <n v="90"/>
    <s v="Laguna Residence"/>
    <s v="Tower B"/>
    <s v="Studio"/>
    <s v="B814"/>
    <s v="Blocked"/>
    <s v="Rejected"/>
    <s v="Harutyun Melikyan"/>
    <s v="Armenia"/>
    <n v="0"/>
    <n v="0"/>
    <n v="840000"/>
    <n v="840000"/>
    <s v="Zarina Avdalian"/>
    <s v="ALBINA MKRTCHYAN REAL ESTATE"/>
    <s v="a03J600000Fmas0"/>
    <s v="-"/>
    <s v="Not Available on Finance Tracker"/>
    <n v="8400"/>
    <n v="0.01"/>
    <s v="No"/>
    <s v="Cancelled due to Non Payment"/>
    <s v="Booking-1111 - Booking Rejection Request"/>
    <x v="5"/>
    <x v="10"/>
  </r>
  <r>
    <s v="January"/>
    <d v="2026-01-02T00:00:00"/>
    <d v="2026-01-09T00:00:00"/>
    <s v="Booking-1226"/>
    <s v="Rejected"/>
    <d v="2025-11-26T00:00:00"/>
    <n v="64"/>
    <s v="Laguna Residence"/>
    <s v="Tower B"/>
    <s v="2 Bedroom"/>
    <s v="B2101"/>
    <s v="Blocked"/>
    <s v="Rejected"/>
    <s v="Garry Anthony Mebane"/>
    <s v="United States of America"/>
    <n v="0"/>
    <n v="0"/>
    <n v="2790000"/>
    <n v="2790000"/>
    <s v="Jude Kwakye"/>
    <s v="ANCHORMAN REAL ESTATE L.L.C"/>
    <s v="a03NM00000NvuTI"/>
    <s v="-"/>
    <e v="#N/A"/>
    <n v="7345.2"/>
    <n v="2.6326881720430107E-3"/>
    <s v="No"/>
    <s v="Cancelled due to Non Payment"/>
    <s v="Booking-1226 - Booking Rejection Request"/>
    <x v="5"/>
    <x v="10"/>
  </r>
  <r>
    <s v="January"/>
    <d v="2026-01-02T00:00:00"/>
    <d v="2026-01-09T00:00:00"/>
    <s v="Booking-951"/>
    <s v="Rejected"/>
    <d v="2025-08-27T00:00:00"/>
    <n v="155"/>
    <s v="Laguna Residence"/>
    <s v="Tower A"/>
    <s v="Studio"/>
    <s v="A3113"/>
    <s v="Booked"/>
    <s v="Rejected"/>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x v="11"/>
  </r>
  <r>
    <s v="December"/>
    <d v="2025-12-30T00:00:00"/>
    <d v="2026-01-09T00:00:00"/>
    <s v="Booking-1224"/>
    <s v="Rejected"/>
    <d v="2025-11-26T00:00:00"/>
    <n v="64"/>
    <s v="Do Dubai Island"/>
    <s v="Tower 1"/>
    <s v="1 Bedroom"/>
    <s v="206"/>
    <s v="Blocked"/>
    <s v="Rejected"/>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x v="1"/>
  </r>
  <r>
    <s v="December"/>
    <d v="2025-12-24T00:00:00"/>
    <d v="2025-12-29T00:00:00"/>
    <s v="Booking-1101"/>
    <s v="Rejected"/>
    <d v="2025-10-30T00:00:00"/>
    <n v="91"/>
    <s v="Laguna Residence"/>
    <s v="Tower B"/>
    <s v="Studio"/>
    <s v="B1513"/>
    <s v="Blocked"/>
    <s v="Rejected"/>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x v="1"/>
  </r>
  <r>
    <s v="December"/>
    <d v="2025-12-23T00:00:00"/>
    <d v="2026-01-09T00:00:00"/>
    <s v="Booking-1231"/>
    <s v="Rejected"/>
    <d v="2025-12-03T00:00:00"/>
    <n v="57"/>
    <s v="Laguna Residence"/>
    <s v="Tower A"/>
    <s v="Studio"/>
    <s v="A1917"/>
    <s v="Blocked"/>
    <s v="Rejected"/>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x v="1"/>
  </r>
  <r>
    <s v="December"/>
    <d v="2025-12-19T00:00:00"/>
    <d v="2026-01-09T00:00:00"/>
    <s v="Booking-864"/>
    <s v="Rejected"/>
    <d v="2025-08-02T00:00:00"/>
    <n v="180"/>
    <s v="Laguna Residence"/>
    <s v="Tower A"/>
    <s v="1 Bedroom"/>
    <s v="A1622"/>
    <s v="Blocked"/>
    <s v="Rejected"/>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x v="5"/>
  </r>
  <r>
    <s v="December"/>
    <d v="2025-12-18T00:00:00"/>
    <d v="2026-01-09T00:00:00"/>
    <s v="Booking-1054"/>
    <s v="Rejected"/>
    <d v="2025-10-09T00:00:00"/>
    <n v="112"/>
    <s v="Laguna Residence"/>
    <s v="Tower B"/>
    <s v="Studio"/>
    <s v="B2303"/>
    <s v="Available"/>
    <s v="Rejected"/>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x v="10"/>
  </r>
  <r>
    <s v="December"/>
    <d v="2025-12-18T00:00:00"/>
    <d v="2026-01-09T00:00:00"/>
    <s v="Booking-1029"/>
    <s v="Rejected"/>
    <d v="2025-10-03T00:00:00"/>
    <n v="118"/>
    <s v="Laguna Residence"/>
    <s v="Tower B"/>
    <s v="Studio"/>
    <s v="B3303"/>
    <s v="Blocked"/>
    <s v="Rejected"/>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x v="10"/>
  </r>
  <r>
    <s v="December"/>
    <d v="2025-12-15T00:00:00"/>
    <d v="2026-01-09T00:00:00"/>
    <s v="Booking-948"/>
    <s v="Rejected"/>
    <d v="2025-08-27T00:00:00"/>
    <n v="155"/>
    <s v="Laguna Residence"/>
    <s v="Tower A"/>
    <s v="Studio"/>
    <s v="A2913"/>
    <s v="Booked"/>
    <s v="Rejected"/>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x v="11"/>
  </r>
  <r>
    <s v="December"/>
    <d v="2025-12-15T00:00:00"/>
    <d v="2026-01-09T00:00:00"/>
    <s v="Booking-950"/>
    <s v="Rejected"/>
    <d v="2025-08-27T00:00:00"/>
    <n v="155"/>
    <s v="Laguna Residence"/>
    <s v="Tower A"/>
    <s v="Studio"/>
    <s v="A3013"/>
    <s v="Booked"/>
    <s v="Rejected"/>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x v="11"/>
  </r>
  <r>
    <s v="December"/>
    <d v="2025-12-12T00:00:00"/>
    <d v="2025-12-22T00:00:00"/>
    <s v="Booking-1100"/>
    <s v="Rejected"/>
    <d v="2025-10-30T00:00:00"/>
    <n v="91"/>
    <s v="Laguna Residence"/>
    <s v="Tower A"/>
    <s v="Studio"/>
    <s v="A1611"/>
    <s v="SPA Executed"/>
    <s v="Rejected"/>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x v="5"/>
  </r>
  <r>
    <s v="December"/>
    <d v="2025-12-03T00:00:00"/>
    <d v="2025-12-10T00:00:00"/>
    <s v="Booking-1162"/>
    <s v="Rejected"/>
    <d v="2025-11-09T00:00:00"/>
    <n v="81"/>
    <s v="Laguna Residence"/>
    <s v="Tower B"/>
    <s v="Studio"/>
    <s v="B1807"/>
    <s v="Blocked"/>
    <s v="Rejected"/>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x v="12"/>
  </r>
  <r>
    <s v="December"/>
    <d v="2025-12-03T00:00:00"/>
    <d v="2025-12-04T00:00:00"/>
    <s v="Booking-1171"/>
    <s v="Rejected"/>
    <d v="2025-11-12T00:00:00"/>
    <n v="78"/>
    <s v="Do New Cairo"/>
    <s v="Hotel Apartments"/>
    <s v="Studio"/>
    <s v="DNC-HA-207"/>
    <s v="Blocked"/>
    <s v="Rejected"/>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x v="13"/>
  </r>
  <r>
    <s v="November"/>
    <d v="2025-11-30T00:00:00"/>
    <d v="2025-12-04T00:00:00"/>
    <s v="Booking-1180"/>
    <s v="Rejected"/>
    <d v="2025-11-12T00:00:00"/>
    <n v="78"/>
    <s v="Do New Cairo"/>
    <s v="Offices"/>
    <s v="-"/>
    <s v="DNC-O3-111"/>
    <s v="Blocked"/>
    <s v="Rejected"/>
    <s v="Ali ali nasr nouh"/>
    <s v="-"/>
    <n v="0"/>
    <n v="0"/>
    <n v="20728125"/>
    <n v="20728125"/>
    <s v="Rowan Abbady"/>
    <s v=""/>
    <s v="a03NM00000Mpzj9"/>
    <s v="-"/>
    <s v="Not Available on Finance Tracker"/>
    <s v="No Payment"/>
    <n v="0"/>
    <s v="N/A"/>
    <s v="Cancellation requested by Egypt Sales Operations Team"/>
    <s v="Booking-1180 - Booking Rejection Request"/>
    <x v="8"/>
    <x v="13"/>
  </r>
  <r>
    <s v="November"/>
    <d v="2025-11-30T00:00:00"/>
    <d v="2025-12-03T00:00:00"/>
    <s v="Booking-1192"/>
    <s v="Rejected"/>
    <d v="2025-11-12T00:00:00"/>
    <n v="78"/>
    <s v="Do New Cairo"/>
    <s v="Hotel Apartments"/>
    <s v="1 BR"/>
    <s v="DNC-HA-219"/>
    <s v="Booked"/>
    <s v="Rejected"/>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x v="13"/>
  </r>
  <r>
    <s v="November"/>
    <d v="2025-11-30T00:00:00"/>
    <d v="2025-12-03T00:00:00"/>
    <s v="Booking-1181"/>
    <s v="Rejected"/>
    <d v="2025-11-12T00:00:00"/>
    <n v="78"/>
    <s v="Do New Cairo"/>
    <s v="Hotel Apartments"/>
    <s v="1 BR"/>
    <s v="DNC-HA-420"/>
    <s v="Blocked"/>
    <s v="Rejected"/>
    <s v="Ali ali nasr nouh"/>
    <s v="-"/>
    <n v="0"/>
    <n v="0"/>
    <n v="23887500"/>
    <n v="23887500"/>
    <s v="Rowan Abbady"/>
    <s v=""/>
    <s v="a03NM00000MpXlJ"/>
    <s v="-"/>
    <s v="Not Available on Finance Tracker"/>
    <s v="No Payment"/>
    <n v="0"/>
    <s v="N/A"/>
    <s v="Cancellation requested by Egypt Sales Operations Team"/>
    <s v="Booking-1181 - Booking Rejection Request"/>
    <x v="8"/>
    <x v="13"/>
  </r>
  <r>
    <s v="November"/>
    <d v="2025-11-28T00:00:00"/>
    <d v="2025-12-04T00:00:00"/>
    <s v="Booking-973"/>
    <s v="Rejected"/>
    <d v="2025-09-04T00:00:00"/>
    <n v="147"/>
    <s v="Laguna Residence"/>
    <s v="Tower B"/>
    <s v="Studio"/>
    <s v="B3012"/>
    <s v="Available"/>
    <s v="Rejected"/>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x v="5"/>
  </r>
  <r>
    <s v="November"/>
    <d v="2025-11-28T00:00:00"/>
    <d v="2025-12-04T00:00:00"/>
    <s v="Booking-1011"/>
    <s v="Rejected"/>
    <d v="2025-09-24T00:00:00"/>
    <n v="127"/>
    <s v="Laguna Residence"/>
    <s v="Tower A"/>
    <s v="2 Bedroom"/>
    <s v="A2305"/>
    <s v="SPA Executed"/>
    <s v="Rejected"/>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x v="5"/>
  </r>
  <r>
    <s v="November"/>
    <d v="2025-11-26T00:00:00"/>
    <d v="2025-12-10T00:00:00"/>
    <s v="Booking-949"/>
    <s v="Rejected"/>
    <d v="2025-08-27T00:00:00"/>
    <n v="155"/>
    <s v="Laguna Residence"/>
    <s v="Tower A"/>
    <s v="Studio"/>
    <s v="A2713"/>
    <s v="Booked"/>
    <s v="Rejected"/>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x v="7"/>
  </r>
  <r>
    <s v="November"/>
    <d v="2025-11-25T00:00:00"/>
    <d v="2025-11-26T00:00:00"/>
    <s v="Booking-1165"/>
    <s v="Rejected"/>
    <d v="2025-11-11T00:00:00"/>
    <n v="79"/>
    <s v="Do Dubai Island"/>
    <s v="Tower 1"/>
    <s v="1 Bedroom"/>
    <s v="609"/>
    <s v="Blocked"/>
    <s v="Rejected"/>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x v="7"/>
  </r>
  <r>
    <s v="November"/>
    <d v="2025-11-25T00:00:00"/>
    <d v="2025-11-26T00:00:00"/>
    <s v="Booking-1212"/>
    <s v="Rejected"/>
    <d v="2025-11-15T00:00:00"/>
    <n v="75"/>
    <s v="Do Dubai Island"/>
    <s v="Tower 1"/>
    <s v="1 Bedroom"/>
    <s v="409"/>
    <s v="Blocked"/>
    <s v="Rejected"/>
    <s v="Ali Lafhel"/>
    <s v="Morocco"/>
    <n v="46580"/>
    <n v="0.02"/>
    <n v="2282420"/>
    <n v="2329000"/>
    <s v="Rihab Zayani"/>
    <s v="Marrfa Discovery Real Estate L.L.C"/>
    <s v="a03NM00000N5lih"/>
    <s v="-"/>
    <s v="Not Available on Finance Tracker"/>
    <s v="No Payment"/>
    <n v="0"/>
    <s v="N/A"/>
    <s v="Cancelled due to Non Payment"/>
    <s v="Booking-1212 - Booking Rejection Request"/>
    <x v="5"/>
    <x v="7"/>
  </r>
  <r>
    <s v="November"/>
    <d v="2025-11-24T00:00:00"/>
    <d v="2025-12-05T00:00:00"/>
    <s v="Booking-443"/>
    <s v="Rejected"/>
    <d v="2025-02-05T00:00:00"/>
    <n v="358"/>
    <s v="Laguna Residence"/>
    <s v="Tower A"/>
    <s v="Studio"/>
    <s v="A1914"/>
    <s v="Booked"/>
    <s v="Rejected"/>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x v="14"/>
  </r>
  <r>
    <s v="November"/>
    <d v="2025-11-24T00:00:00"/>
    <d v="2025-11-26T00:00:00"/>
    <s v="Booking-1153"/>
    <s v="Rejected"/>
    <d v="2025-11-07T00:00:00"/>
    <n v="83"/>
    <s v="Do Dubai Island"/>
    <s v="Tower 1"/>
    <s v="1 Bedroom"/>
    <s v="404"/>
    <s v="Booked"/>
    <s v="Rejected"/>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x v="7"/>
  </r>
  <r>
    <s v="November"/>
    <d v="2025-11-19T00:00:00"/>
    <d v="2025-11-20T00:00:00"/>
    <s v="Booking-1014"/>
    <s v="Rejected"/>
    <d v="2025-09-25T00:00:00"/>
    <n v="126"/>
    <s v="Laguna Residence"/>
    <s v="Tower A"/>
    <s v="2 Bedroom"/>
    <s v="A4205"/>
    <s v="Blocked"/>
    <s v="Rejected"/>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x v="7"/>
  </r>
  <r>
    <s v="November"/>
    <d v="2025-11-19T00:00:00"/>
    <d v="2025-11-20T00:00:00"/>
    <s v="Booking-1010"/>
    <s v="Rejected"/>
    <d v="2025-09-24T00:00:00"/>
    <n v="127"/>
    <s v="Laguna Residence"/>
    <s v="Tower A"/>
    <s v="Studio"/>
    <s v="A1014"/>
    <s v="Booked"/>
    <s v="Rejected"/>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x v="7"/>
  </r>
  <r>
    <s v="November"/>
    <d v="2025-11-19T00:00:00"/>
    <d v="2025-11-20T00:00:00"/>
    <s v="Booking-987"/>
    <s v="Rejected"/>
    <d v="2025-09-12T00:00:00"/>
    <n v="139"/>
    <s v="Laguna Residence"/>
    <s v="Tower B"/>
    <s v="Studio"/>
    <s v="B2812"/>
    <s v="Available"/>
    <s v="Rejected"/>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x v="7"/>
  </r>
  <r>
    <s v="November"/>
    <d v="2025-11-19T00:00:00"/>
    <d v="2025-11-20T00:00:00"/>
    <s v="Booking-1020"/>
    <s v="Rejected"/>
    <d v="2025-09-30T00:00:00"/>
    <n v="121"/>
    <s v="Laguna Residence"/>
    <s v="Tower A"/>
    <s v="1 Bedroom"/>
    <s v="A2807"/>
    <s v="Blocked"/>
    <s v="Rejected"/>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x v="7"/>
  </r>
  <r>
    <s v="November"/>
    <d v="2025-11-19T00:00:00"/>
    <d v="2025-11-20T00:00:00"/>
    <s v="Booking-1044"/>
    <s v="Rejected"/>
    <d v="2025-10-06T00:00:00"/>
    <n v="115"/>
    <s v="Laguna Residence"/>
    <s v="Tower B"/>
    <s v="Studio"/>
    <s v="B1219"/>
    <s v="Booked"/>
    <s v="Rejected"/>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x v="7"/>
  </r>
  <r>
    <s v="November"/>
    <d v="2025-11-19T00:00:00"/>
    <d v="2025-11-21T00:00:00"/>
    <s v="Booking-594"/>
    <s v="Rejected"/>
    <d v="2025-04-15T00:00:00"/>
    <n v="289"/>
    <s v="Laguna Residence"/>
    <s v="Tower B"/>
    <s v="1 Bedroom"/>
    <s v="B402"/>
    <s v="Blocked"/>
    <s v="Rejected"/>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x v="7"/>
  </r>
  <r>
    <s v="November"/>
    <d v="2025-11-19T00:00:00"/>
    <d v="2025-11-20T00:00:00"/>
    <s v="Booking-1000"/>
    <s v="Rejected"/>
    <d v="2025-09-19T00:00:00"/>
    <n v="132"/>
    <s v="Laguna Residence"/>
    <s v="Tower A"/>
    <s v="Studio"/>
    <s v="A2014"/>
    <s v="SPA Executed"/>
    <s v="Rejected"/>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x v="7"/>
  </r>
  <r>
    <s v="November"/>
    <d v="2025-11-19T00:00:00"/>
    <d v="2025-11-20T00:00:00"/>
    <s v="Booking-988"/>
    <s v="Rejected"/>
    <d v="2025-09-12T00:00:00"/>
    <n v="139"/>
    <s v="Laguna Residence"/>
    <s v="Tower A"/>
    <s v="Studio"/>
    <s v="A2712"/>
    <s v="Blocked"/>
    <s v="Rejected"/>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x v="7"/>
  </r>
  <r>
    <s v="November"/>
    <d v="2025-11-19T00:00:00"/>
    <d v="2025-11-20T00:00:00"/>
    <s v="Booking-970"/>
    <s v="Rejected"/>
    <d v="2025-09-04T00:00:00"/>
    <n v="147"/>
    <s v="Laguna Residence"/>
    <s v="Tower A"/>
    <s v="Studio"/>
    <s v="A1716"/>
    <s v="Blocked"/>
    <s v="Rejected"/>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x v="7"/>
  </r>
  <r>
    <s v="November"/>
    <d v="2025-11-19T00:00:00"/>
    <d v="2025-11-20T00:00:00"/>
    <s v="Booking-1166"/>
    <s v="Rejected"/>
    <d v="2025-11-11T00:00:00"/>
    <n v="79"/>
    <s v="Do Dubai Island"/>
    <s v="Tower 1"/>
    <s v="1 Bedroom"/>
    <s v="516"/>
    <s v="Blocked"/>
    <s v="Rejected"/>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x v="15"/>
  </r>
  <r>
    <s v="November"/>
    <d v="2025-11-19T00:00:00"/>
    <d v="2025-11-20T00:00:00"/>
    <s v="Booking-1127"/>
    <s v="Rejected"/>
    <d v="2025-10-31T00:00:00"/>
    <n v="90"/>
    <s v="Laguna Residence"/>
    <s v="Tower B"/>
    <s v="Studio"/>
    <s v="B614"/>
    <s v="Blocked"/>
    <s v="Rejected"/>
    <s v="Argishti Darbinyan"/>
    <s v="Armenia"/>
    <n v="0"/>
    <n v="0"/>
    <n v="838000"/>
    <n v="838000"/>
    <s v="Zarina Avdalian"/>
    <s v="ALBINA MKRTCHYAN REAL ESTATE"/>
    <s v="a03J600000FmbmR"/>
    <s v="-"/>
    <s v="Not Available on Finance Tracker"/>
    <s v="No Payment"/>
    <n v="0"/>
    <s v="No"/>
    <s v="Customer requested to cancel"/>
    <s v="Booking-1127 - Booking Rejection Request"/>
    <x v="1"/>
    <x v="16"/>
  </r>
  <r>
    <s v="November"/>
    <d v="2025-11-17T00:00:00"/>
    <d v="2025-11-17T00:00:00"/>
    <s v="Booking-1174"/>
    <s v="Rejected"/>
    <d v="2025-11-12T00:00:00"/>
    <n v="78"/>
    <s v="Do New Cairo"/>
    <s v="Hotel Apartments"/>
    <s v="1 BR"/>
    <s v="DNC-HA-401"/>
    <s v="Booked"/>
    <s v="Rejected"/>
    <s v="hossam saeed abdel fattah"/>
    <s v="-"/>
    <n v="0"/>
    <n v="0"/>
    <n v="25416300"/>
    <n v="25416300"/>
    <s v="Ahmed Arafat"/>
    <s v=""/>
    <s v="a03NM00000MpNh3"/>
    <s v="-"/>
    <s v="Not Available on Finance Tracker"/>
    <s v="No Payment"/>
    <n v="0"/>
    <s v="N/A"/>
    <s v="Cancelled due to Repricing"/>
    <s v="Booking-1174 - Booking Rejection Request"/>
    <x v="10"/>
    <x v="17"/>
  </r>
  <r>
    <s v="November"/>
    <d v="2025-11-17T00:00:00"/>
    <d v="2025-11-17T00:00:00"/>
    <s v="Booking-1173"/>
    <s v="Rejected"/>
    <d v="2025-11-12T00:00:00"/>
    <n v="78"/>
    <s v="Do New Cairo"/>
    <s v="Offices"/>
    <s v="-"/>
    <s v="DNC-O3-312"/>
    <s v="Booked"/>
    <s v="Rejected"/>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x v="17"/>
  </r>
  <r>
    <s v="November"/>
    <d v="2025-11-14T00:00:00"/>
    <d v="2025-11-20T00:00:00"/>
    <s v="Booking-1167"/>
    <s v="Rejected"/>
    <d v="2025-11-11T00:00:00"/>
    <n v="79"/>
    <s v="Laguna Residence"/>
    <s v="Tower A"/>
    <s v="Studio"/>
    <s v="A2108"/>
    <s v="Blocked"/>
    <s v="Rejected"/>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x v="18"/>
  </r>
  <r>
    <s v="November"/>
    <d v="2025-11-10T00:00:00"/>
    <d v="2025-11-11T00:00:00"/>
    <s v="Booking-1025"/>
    <s v="Rejected"/>
    <d v="2025-09-30T00:00:00"/>
    <n v="121"/>
    <s v="Do Dubai Island"/>
    <s v="Tower 1"/>
    <s v="Studio"/>
    <s v="110"/>
    <s v="SPA Executed"/>
    <s v="Rejected"/>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x v="19"/>
  </r>
  <r>
    <s v="November"/>
    <d v="2025-11-10T00:00:00"/>
    <d v="2025-11-11T00:00:00"/>
    <s v="Booking-1114"/>
    <s v="Rejected"/>
    <d v="2025-10-31T00:00:00"/>
    <n v="90"/>
    <s v="Laguna Residence"/>
    <s v="Tower B"/>
    <s v="Studio"/>
    <s v="B714"/>
    <s v="Booked"/>
    <s v="Rejected"/>
    <s v="Albina Mkrtchyan"/>
    <s v="Armenia"/>
    <n v="0"/>
    <n v="0"/>
    <n v="832000"/>
    <n v="832000"/>
    <s v="Zarina Avdalian"/>
    <s v="ALBINA MKRTCHYAN REAL ESTATE"/>
    <s v="a03J600000FmbGz"/>
    <s v="-"/>
    <s v="Not Available on Finance Tracker"/>
    <s v="No Payment"/>
    <n v="0"/>
    <s v="N/A"/>
    <s v="Customer requested to cancel"/>
    <s v="Booking-1114 - Booking Rejection Request"/>
    <x v="1"/>
    <x v="1"/>
  </r>
  <r>
    <s v="November"/>
    <d v="2025-11-10T00:00:00"/>
    <d v="2025-11-11T00:00:00"/>
    <s v="Booking-1110"/>
    <s v="Rejected"/>
    <d v="2025-10-31T00:00:00"/>
    <n v="90"/>
    <s v="Laguna Residence"/>
    <s v="Tower B"/>
    <s v="Studio"/>
    <s v="B911"/>
    <s v="Blocked"/>
    <s v="Rejected"/>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x v="1"/>
  </r>
  <r>
    <s v="November"/>
    <d v="2025-11-05T00:00:00"/>
    <d v="2025-11-07T00:00:00"/>
    <s v="Booking-1133"/>
    <s v="Rejected"/>
    <d v="2025-10-31T00:00:00"/>
    <n v="90"/>
    <s v="Laguna Residence"/>
    <s v="Tower B"/>
    <s v="Studio"/>
    <s v="B412"/>
    <s v="Blocked"/>
    <s v="Rejected"/>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x v="1"/>
  </r>
  <r>
    <s v="Novemeber"/>
    <d v="2025-11-04T00:00:00"/>
    <d v="2025-11-07T00:00:00"/>
    <s v="Booking-1129"/>
    <s v="Rejected"/>
    <d v="2025-10-31T00:00:00"/>
    <n v="90"/>
    <s v="Laguna Residence"/>
    <s v="Tower A"/>
    <s v="Studio"/>
    <s v="A1619"/>
    <s v="Blocked"/>
    <s v="Rejected"/>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x v="20"/>
  </r>
  <r>
    <s v="November"/>
    <d v="2025-11-03T00:00:00"/>
    <d v="2025-11-05T00:00:00"/>
    <s v="Booking-1147"/>
    <s v="Rejected"/>
    <d v="2025-11-03T00:00:00"/>
    <n v="87"/>
    <s v="Laguna Residence"/>
    <s v="Tower B"/>
    <s v="Studio"/>
    <s v="B1312"/>
    <s v="Booked"/>
    <s v="Rejected"/>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x v="21"/>
  </r>
  <r>
    <s v="November"/>
    <d v="2025-11-03T00:00:00"/>
    <d v="2025-11-07T00:00:00"/>
    <s v="Booking-1112"/>
    <s v="Rejected"/>
    <d v="2025-10-31T00:00:00"/>
    <n v="90"/>
    <s v="Laguna Residence"/>
    <s v="Tower B"/>
    <s v="Studio"/>
    <s v="B1912"/>
    <s v="Blocked"/>
    <s v="Rejected"/>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x v="22"/>
  </r>
  <r>
    <s v="November"/>
    <d v="2025-11-01T00:00:00"/>
    <d v="2025-11-03T00:00:00"/>
    <s v="Booking-1028"/>
    <s v="Rejected"/>
    <d v="2025-10-01T00:00:00"/>
    <n v="120"/>
    <s v="Laguna Residence"/>
    <s v="Tower A"/>
    <s v="Studio"/>
    <s v="A418"/>
    <s v="SPA Executed"/>
    <s v="Rejected"/>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x v="12"/>
  </r>
  <r>
    <s v="October"/>
    <d v="2025-10-31T00:00:00"/>
    <d v="2025-11-07T00:00:00"/>
    <s v="Booking-1108"/>
    <s v="Rejected"/>
    <d v="2025-10-31T00:00:00"/>
    <n v="90"/>
    <s v="Laguna Residence"/>
    <s v="Tower B"/>
    <s v="Studio"/>
    <s v="B2714"/>
    <s v="Blocked"/>
    <s v="Rejected"/>
    <s v="Hagop Karapetjan"/>
    <s v="Netherlands"/>
    <n v="0"/>
    <n v="0"/>
    <n v="894800"/>
    <n v="894800"/>
    <s v="Jude Kwakye"/>
    <s v=""/>
    <s v="a03J600000FmaPA"/>
    <s v="-"/>
    <s v="Not Available on Finance Tracker"/>
    <s v="No Payment"/>
    <n v="0"/>
    <s v="No"/>
    <s v="Cancelled as unit is not part of promotional offer list"/>
    <s v="Booking-1108 - Booking Rejection Request"/>
    <x v="14"/>
    <x v="23"/>
  </r>
  <r>
    <s v="October"/>
    <d v="2025-10-30T00:00:00"/>
    <d v="2025-10-31T00:00:00"/>
    <s v="Booking-1078"/>
    <s v="Rejected"/>
    <d v="2025-10-24T00:00:00"/>
    <n v="97"/>
    <s v="Laguna Residence"/>
    <s v="Tower B"/>
    <s v="Studio"/>
    <s v="B1311"/>
    <s v="Blocked"/>
    <s v="Rejected"/>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x v="24"/>
  </r>
  <r>
    <s v="October"/>
    <d v="2025-10-28T00:00:00"/>
    <d v="2025-10-29T00:00:00"/>
    <s v="Booking-1084"/>
    <s v="Rejected"/>
    <d v="2025-10-27T00:00:00"/>
    <n v="94"/>
    <s v="Laguna Residence"/>
    <s v="Tower A"/>
    <s v="Studio"/>
    <s v="A1812"/>
    <s v="Booked"/>
    <s v="Rejected"/>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x v="25"/>
  </r>
  <r>
    <s v="October"/>
    <d v="2025-10-27T00:00:00"/>
    <d v="2025-10-28T00:00:00"/>
    <s v="Booking-776"/>
    <s v="Rejected"/>
    <d v="2025-06-17T00:00:00"/>
    <n v="226"/>
    <s v="Laguna Residence"/>
    <s v="Tower B"/>
    <s v="1 Bedroom"/>
    <s v="B403"/>
    <s v="Booked"/>
    <s v="Rejected"/>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x v="12"/>
  </r>
  <r>
    <s v="October"/>
    <d v="2025-10-21T00:00:00"/>
    <d v="2025-10-21T00:00:00"/>
    <s v="Booking-1023"/>
    <s v="Rejected"/>
    <d v="2025-09-30T00:00:00"/>
    <n v="121"/>
    <s v="Laguna Residence"/>
    <s v="Tower B"/>
    <s v="2 Bedroom"/>
    <s v="B1208"/>
    <s v="Booked"/>
    <s v="Rejected"/>
    <s v="Aashish Bindra"/>
    <s v="India"/>
    <n v="0"/>
    <n v="0"/>
    <n v="1770000"/>
    <n v="1770000"/>
    <s v="Sumeet Mehta"/>
    <s v="ANCHORMAN REAL ESTATE L.L.C"/>
    <s v="a03J600000Bth5b"/>
    <s v="-"/>
    <s v="Not Available on Finance Tracker"/>
    <s v="No Payment"/>
    <n v="0"/>
    <s v="N/A"/>
    <s v="Cancelled due to Non Payment"/>
    <s v="Booking-1023 - Booking Rejection Request"/>
    <x v="5"/>
    <x v="7"/>
  </r>
  <r>
    <s v="October"/>
    <d v="2025-10-21T00:00:00"/>
    <d v="2025-10-21T00:00:00"/>
    <s v="Booking-1019"/>
    <s v="Rejected"/>
    <d v="2025-09-29T00:00:00"/>
    <n v="122"/>
    <s v="Laguna Residence"/>
    <s v="Tower B"/>
    <s v="Studio"/>
    <s v="B2503"/>
    <s v="SPA Executed"/>
    <s v="Rejected"/>
    <s v="Achal Gupta"/>
    <s v="India"/>
    <n v="44300"/>
    <n v="0.05"/>
    <n v="841700"/>
    <n v="886000"/>
    <s v="Sumeet Mehta"/>
    <s v="ANCHORMAN REAL ESTATE L.L.C"/>
    <s v="a03J600000Btbev"/>
    <s v="-"/>
    <s v="Not Available on Finance Tracker"/>
    <s v="No Payment"/>
    <n v="0"/>
    <s v="N/A"/>
    <s v="Cancelled due to Non Payment"/>
    <s v="Booking-1019 - Booking Rejection Request"/>
    <x v="5"/>
    <x v="7"/>
  </r>
  <r>
    <s v="October"/>
    <d v="2025-10-21T00:00:00"/>
    <d v="2025-10-21T00:00:00"/>
    <s v="Booking-989"/>
    <s v="Rejected"/>
    <d v="2025-09-12T00:00:00"/>
    <n v="139"/>
    <s v="Laguna Residence"/>
    <s v="Tower A"/>
    <s v="3 Bedroom"/>
    <s v="A107"/>
    <s v="Blocked"/>
    <s v="Rejected"/>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x v="7"/>
  </r>
  <r>
    <s v="October"/>
    <d v="2025-10-21T00:00:00"/>
    <d v="2025-10-21T00:00:00"/>
    <s v="Booking-986"/>
    <s v="Rejected"/>
    <d v="2025-09-12T00:00:00"/>
    <n v="139"/>
    <s v="Laguna Residence"/>
    <s v="Tower A"/>
    <s v="2 Bedroom"/>
    <s v="A2122"/>
    <s v="Booked"/>
    <s v="Rejected"/>
    <s v="Sharbel Chehade"/>
    <s v="Australia"/>
    <n v="132550"/>
    <n v="0.05"/>
    <n v="2518450"/>
    <n v="2651000"/>
    <s v="Fadwa Belkaid"/>
    <s v="SYKON PROPERTIES L.L.C"/>
    <s v="a03J600000BsZmC"/>
    <s v="-"/>
    <s v="Not Available on Finance Tracker"/>
    <s v="No Payment"/>
    <n v="0"/>
    <s v="N/A"/>
    <s v="Cancelled due to Non Payment"/>
    <s v="Booking-986 - Booking Rejection Request"/>
    <x v="5"/>
    <x v="7"/>
  </r>
  <r>
    <s v="October"/>
    <d v="2025-10-13T00:00:00"/>
    <d v="2025-10-15T00:00:00"/>
    <s v="Booking-966"/>
    <s v="Rejected"/>
    <d v="2025-09-03T00:00:00"/>
    <n v="148"/>
    <s v="Laguna Residence"/>
    <s v="Tower A"/>
    <s v="2 Bedroom"/>
    <s v="A801"/>
    <s v="Blocked"/>
    <s v="Rejected"/>
    <s v="Joseph Mallekkattu"/>
    <s v="India"/>
    <n v="0"/>
    <n v="0"/>
    <n v="2526000"/>
    <n v="2526000"/>
    <s v="Yasmin Bahader"/>
    <s v="Poseidon Real Estate LLC"/>
    <s v="a03J600000Bs0mh"/>
    <s v="-"/>
    <s v="Not Available on Finance Tracker"/>
    <s v="No Payment"/>
    <n v="0"/>
    <s v="N/A"/>
    <s v="Cancelled due to Non Payment"/>
    <s v="Booking-966 - Booking Rejection Request"/>
    <x v="5"/>
    <x v="7"/>
  </r>
  <r>
    <s v="October"/>
    <d v="2025-10-13T00:00:00"/>
    <d v="2025-10-15T00:00:00"/>
    <s v="Booking-1017"/>
    <s v="Rejected"/>
    <d v="2025-09-26T00:00:00"/>
    <n v="125"/>
    <s v="Laguna Residence"/>
    <s v="Tower A"/>
    <s v="2 Bedroom"/>
    <s v="A2618"/>
    <s v="Available"/>
    <s v="Rejected"/>
    <s v="Chidinma Joyce Odiaka"/>
    <s v="Nigeria"/>
    <n v="0"/>
    <n v="0"/>
    <n v="2706000"/>
    <n v="2706000"/>
    <s v="Hocem Amouri"/>
    <s v="SKYRAN REAL ESTATE L.L.C"/>
    <s v="a03J600000BtW0H"/>
    <s v="-"/>
    <s v="Not Available on Finance Tracker"/>
    <s v="No Payment"/>
    <n v="0"/>
    <s v="N/A"/>
    <s v="Cancelled due to Non Payment"/>
    <s v="Booking-1017 - Booking Rejection Request"/>
    <x v="5"/>
    <x v="5"/>
  </r>
  <r>
    <s v="October"/>
    <d v="2025-10-13T00:00:00"/>
    <d v="2025-10-15T00:00:00"/>
    <s v="Booking-1016"/>
    <s v="Rejected"/>
    <d v="2025-09-25T00:00:00"/>
    <n v="126"/>
    <s v="Laguna Residence"/>
    <s v="Tower A"/>
    <s v="2 Bedroom"/>
    <s v="A2718"/>
    <s v="Available"/>
    <s v="Rejected"/>
    <s v="Abubakar Salihu Sadiq"/>
    <s v="Nigeria"/>
    <n v="0"/>
    <n v="0"/>
    <n v="2675000"/>
    <n v="2675000"/>
    <s v="Hocem Amouri"/>
    <s v="SKYRAN REAL ESTATE L.L.C"/>
    <s v="a03J600000BtSoj"/>
    <s v="-"/>
    <s v="Not Available on Finance Tracker"/>
    <s v="No Payment"/>
    <n v="0"/>
    <s v="N/A"/>
    <s v="Cancelled due to Non Payment"/>
    <s v="Booking-1016 - Booking Rejection Request"/>
    <x v="5"/>
    <x v="5"/>
  </r>
  <r>
    <s v="October"/>
    <d v="2025-10-13T00:00:00"/>
    <d v="2025-10-15T00:00:00"/>
    <s v="Booking-1015"/>
    <s v="Rejected"/>
    <d v="2025-09-25T00:00:00"/>
    <n v="126"/>
    <s v="Laguna Residence"/>
    <s v="Tower A"/>
    <s v="2 Bedroom"/>
    <s v="A3118"/>
    <s v="Available"/>
    <s v="Rejected"/>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x v="5"/>
  </r>
  <r>
    <s v="October"/>
    <d v="2025-10-08T00:00:00"/>
    <d v="2025-10-08T00:00:00"/>
    <s v="Booking-1050"/>
    <s v="Rejected"/>
    <d v="2025-10-07T00:00:00"/>
    <n v="114"/>
    <s v="Laguna Residence"/>
    <s v="Tower B"/>
    <s v="Studio"/>
    <s v="B1205"/>
    <s v="SPA Executed"/>
    <s v="Rejected"/>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x v="20"/>
  </r>
  <r>
    <s v="October"/>
    <d v="2025-10-07T00:00:00"/>
    <d v="2025-10-09T00:00:00"/>
    <s v="Booking-1040"/>
    <s v="Rejected"/>
    <d v="2025-10-06T00:00:00"/>
    <n v="115"/>
    <s v="Laguna Residence"/>
    <s v="Tower B"/>
    <s v="1 Bedroom"/>
    <s v="B1103"/>
    <s v="Available"/>
    <s v="Rejected"/>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x v="1"/>
  </r>
  <r>
    <s v="October"/>
    <d v="2025-10-06T00:00:00"/>
    <d v="2025-10-09T00:00:00"/>
    <s v="Booking-1022"/>
    <s v="Rejected"/>
    <d v="2025-09-30T00:00:00"/>
    <n v="121"/>
    <s v="Do Dubai Island"/>
    <s v="Tower 1"/>
    <s v="1 Bedroom"/>
    <s v="316"/>
    <s v="Blocked"/>
    <s v="Rejected"/>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x v="5"/>
  </r>
  <r>
    <s v="October"/>
    <d v="2025-10-06T00:00:00"/>
    <d v="2025-10-09T00:00:00"/>
    <s v="Booking-1021"/>
    <s v="Rejected"/>
    <d v="2025-09-30T00:00:00"/>
    <n v="121"/>
    <s v="Laguna Residence"/>
    <s v="Tower A"/>
    <s v="2 Bedroom"/>
    <s v="A2107"/>
    <s v="Booked"/>
    <s v="Rejected"/>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x v="5"/>
  </r>
  <r>
    <s v="October"/>
    <d v="2025-10-04T00:00:00"/>
    <d v="2025-10-07T00:00:00"/>
    <s v="Booking-1002"/>
    <s v="Rejected"/>
    <d v="2025-09-19T00:00:00"/>
    <n v="132"/>
    <s v="Laguna Residence"/>
    <s v="Tower A"/>
    <s v="2 Bedroom"/>
    <s v="A4005"/>
    <s v="Blocked"/>
    <s v="Rejected"/>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x v="26"/>
  </r>
  <r>
    <s v="October"/>
    <d v="2025-10-04T00:00:00"/>
    <d v="2025-10-07T00:00:00"/>
    <s v="Booking-1001"/>
    <s v="Rejected"/>
    <d v="2025-09-19T00:00:00"/>
    <n v="132"/>
    <s v="Laguna Residence"/>
    <s v="Tower A"/>
    <s v="2 Bedroom"/>
    <s v="A4105"/>
    <s v="Blocked"/>
    <s v="Rejected"/>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x v="27"/>
  </r>
  <r>
    <s v="October"/>
    <d v="2025-10-03T00:00:00"/>
    <d v="2025-10-06T00:00:00"/>
    <s v="Booking-1030"/>
    <s v="Rejected"/>
    <d v="2025-10-03T00:00:00"/>
    <n v="118"/>
    <s v="Laguna Residence"/>
    <s v="Tower B"/>
    <s v="2 Bedroom"/>
    <s v="B2402"/>
    <s v="Booked"/>
    <s v="Rejected"/>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x v="28"/>
  </r>
  <r>
    <s v="September"/>
    <d v="2025-09-30T00:00:00"/>
    <d v="2025-09-30T00:00:00"/>
    <s v="Booking-956"/>
    <s v="Rejected"/>
    <d v="2025-08-28T00:00:00"/>
    <n v="154"/>
    <s v="Do Dubai Island"/>
    <s v="Tower 1"/>
    <s v="Studio"/>
    <s v="110"/>
    <s v="SPA Executed"/>
    <s v="Rejected"/>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x v="7"/>
  </r>
  <r>
    <s v="September"/>
    <d v="2025-09-30T00:00:00"/>
    <d v="2025-10-09T00:00:00"/>
    <s v="Booking-980"/>
    <s v="Rejected"/>
    <d v="2025-09-09T00:00:00"/>
    <n v="142"/>
    <s v="Laguna Residence"/>
    <s v="Tower A"/>
    <s v="Studio"/>
    <s v="A2112"/>
    <s v="Blocked"/>
    <s v="Rejected"/>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x v="12"/>
  </r>
  <r>
    <s v="September"/>
    <d v="2025-09-29T00:00:00"/>
    <d v="2025-10-09T00:00:00"/>
    <s v="Booking-701"/>
    <s v="Rejected"/>
    <d v="2025-05-30T00:00:00"/>
    <n v="244"/>
    <s v="Laguna Residence"/>
    <s v="Tower B"/>
    <s v="Studio"/>
    <s v="B2006"/>
    <s v="SPA Executed"/>
    <s v="Rejected"/>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x v="29"/>
  </r>
  <r>
    <s v="September"/>
    <d v="2025-09-29T00:00:00"/>
    <d v="2025-10-09T00:00:00"/>
    <s v="Booking-700"/>
    <s v="Rejected"/>
    <d v="2025-05-30T00:00:00"/>
    <n v="244"/>
    <s v="Laguna Residence"/>
    <s v="Tower B"/>
    <s v="Studio"/>
    <s v="B1906"/>
    <s v="SPA Executed"/>
    <s v="Rejected"/>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x v="30"/>
  </r>
  <r>
    <s v="September"/>
    <d v="2025-09-29T00:00:00"/>
    <d v="2025-09-29T00:00:00"/>
    <s v="Booking-851"/>
    <s v="Rejected"/>
    <d v="2025-07-26T00:00:00"/>
    <n v="187"/>
    <s v="Laguna Residence"/>
    <s v="Tower A"/>
    <s v="Studio"/>
    <s v="A419"/>
    <s v="Booked"/>
    <s v="Rejected"/>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x v="7"/>
  </r>
  <r>
    <s v="September"/>
    <d v="2025-09-29T00:00:00"/>
    <d v="2025-09-29T00:00:00"/>
    <s v="Booking-683"/>
    <s v="Rejected"/>
    <d v="2025-05-23T00:00:00"/>
    <n v="251"/>
    <s v="Laguna Residence"/>
    <s v="Tower B"/>
    <s v="Studio"/>
    <s v="B1306"/>
    <s v="SPA Executed"/>
    <s v="Rejected"/>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x v="7"/>
  </r>
  <r>
    <s v="September"/>
    <d v="2025-09-24T00:00:00"/>
    <d v="2025-09-24T00:00:00"/>
    <s v="Booking-957"/>
    <s v="Rejected"/>
    <d v="2025-08-28T00:00:00"/>
    <n v="154"/>
    <s v="Do Dubai Island"/>
    <s v="Tower 1"/>
    <s v="Studio"/>
    <s v="112"/>
    <s v="SPA Executed"/>
    <s v="Rejected"/>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x v="7"/>
  </r>
  <r>
    <s v="September"/>
    <d v="2025-09-23T00:00:00"/>
    <d v="2025-09-24T00:00:00"/>
    <s v="Booking-916"/>
    <s v="Rejected"/>
    <d v="2025-08-18T00:00:00"/>
    <n v="164"/>
    <s v="Do Dubai Island"/>
    <s v="Tower 1"/>
    <s v="Studio"/>
    <s v="318"/>
    <s v="SPA Executed"/>
    <s v="Rejected"/>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x v="7"/>
  </r>
  <r>
    <s v="September"/>
    <d v="2025-09-22T00:00:00"/>
    <d v="2025-09-24T00:00:00"/>
    <s v="Booking-982"/>
    <s v="Rejected"/>
    <d v="2025-09-09T00:00:00"/>
    <n v="142"/>
    <s v="Laguna Residence"/>
    <s v="Tower A"/>
    <s v="Studio"/>
    <s v="A1014"/>
    <s v="Booked"/>
    <s v="Rejected"/>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x v="7"/>
  </r>
  <r>
    <s v="September"/>
    <d v="2025-09-18T00:00:00"/>
    <d v="2025-09-18T00:00:00"/>
    <s v="Booking-774"/>
    <s v="Rejected"/>
    <d v="2025-06-17T00:00:00"/>
    <n v="226"/>
    <s v="Laguna Residence"/>
    <s v="Tower B"/>
    <s v="Studio"/>
    <s v="B405"/>
    <s v="SPA Executed"/>
    <s v="Rejected"/>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x v="31"/>
  </r>
  <r>
    <s v="September"/>
    <d v="2025-09-17T00:00:00"/>
    <d v="2025-09-18T00:00:00"/>
    <s v="Booking-783"/>
    <s v="Rejected"/>
    <d v="2025-06-20T00:00:00"/>
    <n v="223"/>
    <s v="Laguna Residence"/>
    <s v="Tower A"/>
    <s v="Studio"/>
    <s v="A2115"/>
    <s v="SPA Executed"/>
    <s v="Rejected"/>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x v="7"/>
  </r>
  <r>
    <s v="September"/>
    <d v="2025-09-16T00:00:00"/>
    <d v="2025-09-22T00:00:00"/>
    <s v="Booking-711"/>
    <s v="Rejected"/>
    <d v="2025-06-07T00:00:00"/>
    <n v="236"/>
    <s v="Laguna Residence"/>
    <s v="Tower B"/>
    <s v="1 Bedroom"/>
    <s v="B323"/>
    <s v="SPA Executed"/>
    <s v="Rejected"/>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x v="7"/>
  </r>
  <r>
    <s v="September"/>
    <d v="2025-09-16T00:00:00"/>
    <d v="2025-09-22T00:00:00"/>
    <s v="Booking-657"/>
    <s v="Rejected"/>
    <d v="2025-05-10T00:00:00"/>
    <n v="264"/>
    <s v="Laguna Residence"/>
    <s v="Tower A"/>
    <s v="Studio"/>
    <s v="A1311"/>
    <s v="Booked"/>
    <s v="Rejected"/>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x v="7"/>
  </r>
  <r>
    <s v="September"/>
    <d v="2025-09-15T00:00:00"/>
    <d v="2025-09-18T00:00:00"/>
    <s v="Booking-971"/>
    <s v="Rejected"/>
    <d v="2025-09-04T00:00:00"/>
    <n v="147"/>
    <s v="Laguna Residence"/>
    <s v="Tower B"/>
    <s v="Studio"/>
    <s v="B3103"/>
    <s v="Blocked"/>
    <s v="Rejected"/>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x v="32"/>
  </r>
  <r>
    <s v="September"/>
    <d v="2025-09-15T00:00:00"/>
    <d v="2025-09-16T00:00:00"/>
    <s v="Booking-935"/>
    <s v="Rejected"/>
    <d v="2025-08-21T00:00:00"/>
    <n v="161"/>
    <s v="Do Dubai Island"/>
    <s v="Tower 1"/>
    <s v="Studio"/>
    <s v="107"/>
    <s v="SPA Executed"/>
    <s v="Rejected"/>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x v="33"/>
  </r>
  <r>
    <s v="September"/>
    <d v="2025-09-15T00:00:00"/>
    <d v="2025-09-15T00:00:00"/>
    <s v="Booking-884"/>
    <s v="Rejected"/>
    <d v="2025-08-09T00:00:00"/>
    <n v="173"/>
    <s v="Laguna Residence"/>
    <s v="Tower B"/>
    <s v="2 Bedroom"/>
    <s v="B308"/>
    <s v="Blocked"/>
    <s v="Rejected"/>
    <s v="Touria Agallouch"/>
    <s v="Morocco"/>
    <n v="151363.5"/>
    <n v="8.9300000000000004E-2"/>
    <n v="1543636.5"/>
    <n v="1695000"/>
    <s v="Mohamed El Shimy"/>
    <s v=""/>
    <s v="a03J600000BqiQg"/>
    <s v="-"/>
    <s v="Not Available on Finance Tracker"/>
    <m/>
    <n v="0"/>
    <m/>
    <s v="As per the system, cancellation reason _x000a_'Management Cancelation Request'"/>
    <s v="No Email"/>
    <x v="11"/>
    <x v="34"/>
  </r>
  <r>
    <s v="September"/>
    <d v="2025-09-11T00:00:00"/>
    <d v="2025-09-11T00:00:00"/>
    <s v="Booking-879"/>
    <s v="Rejected"/>
    <d v="2025-08-08T00:00:00"/>
    <n v="174"/>
    <s v="Laguna Residence"/>
    <s v="Tower A"/>
    <s v="2 Bedroom"/>
    <s v="A106"/>
    <s v="Booked"/>
    <s v="Rejected"/>
    <s v="Daniel Phinn"/>
    <s v="United Kingdom"/>
    <n v="119350"/>
    <n v="0.05"/>
    <n v="2267650"/>
    <n v="2387000"/>
    <s v="Claire Moussa"/>
    <s v="Paul Anthony Smith"/>
    <s v="a03J600000Bqgbk"/>
    <s v="-"/>
    <s v="Not Available on Finance Tracker"/>
    <s v="No Payment"/>
    <s v="N/A"/>
    <s v="N/A"/>
    <s v="Cancelled due to Non Payment"/>
    <s v="Booking-879 - Booking Rejection Request"/>
    <x v="5"/>
    <x v="7"/>
  </r>
  <r>
    <s v="September"/>
    <d v="2025-09-11T00:00:00"/>
    <d v="2025-09-12T00:00:00"/>
    <s v="Booking-882"/>
    <s v="Rejected"/>
    <d v="2025-08-09T00:00:00"/>
    <n v="173"/>
    <s v="Laguna Residence"/>
    <s v="Tower B"/>
    <s v="2 Bedroom"/>
    <s v="B917"/>
    <s v="Blocked"/>
    <s v="Rejected"/>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x v="35"/>
  </r>
  <r>
    <s v="September"/>
    <d v="2025-09-11T00:00:00"/>
    <d v="2025-09-22T00:00:00"/>
    <s v="Booking-505"/>
    <s v="Rejected"/>
    <d v="2025-03-15T00:00:00"/>
    <n v="320"/>
    <s v="Laguna Residence"/>
    <s v="Tower A"/>
    <s v="2 Bedroom"/>
    <s v="A103"/>
    <s v="Available"/>
    <s v="Rejected"/>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x v="7"/>
  </r>
  <r>
    <s v="September"/>
    <d v="2025-09-09T00:00:00"/>
    <d v="2025-09-09T00:00:00"/>
    <s v="Booking-972"/>
    <s v="Rejected"/>
    <d v="2025-09-04T00:00:00"/>
    <n v="147"/>
    <s v="Laguna Residence"/>
    <s v="Tower A"/>
    <s v="2 Bedroom"/>
    <s v="A1801"/>
    <s v="SPA Executed"/>
    <s v="Rejected"/>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x v="36"/>
  </r>
  <r>
    <s v="September"/>
    <d v="2025-09-08T00:00:00"/>
    <d v="2025-09-11T00:00:00"/>
    <s v="Booking-968"/>
    <s v="Rejected"/>
    <d v="2025-09-03T00:00:00"/>
    <n v="148"/>
    <s v="Laguna Residence"/>
    <s v="Tower A"/>
    <s v="Studio"/>
    <s v="A3103"/>
    <s v="SPA Executed"/>
    <s v="Rejected"/>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x v="37"/>
  </r>
  <r>
    <s v="September"/>
    <d v="2025-09-03T00:00:00"/>
    <d v="2025-09-04T00:00:00"/>
    <s v="Booking-964"/>
    <s v="Rejected"/>
    <d v="2025-09-02T00:00:00"/>
    <n v="149"/>
    <s v="Do Dubai Island"/>
    <s v="Tower 1"/>
    <s v="1 Bedroom"/>
    <s v="403"/>
    <s v="SPA Executed"/>
    <s v="Rejected"/>
    <s v="Sriram Rajagopalan Rajagopalan"/>
    <s v="India"/>
    <n v="0"/>
    <n v="0"/>
    <n v="2646000"/>
    <n v="2646000"/>
    <s v="Ramy Abdelsalam"/>
    <s v="Gwt real estate agent"/>
    <s v="a03J600000BrxUQ"/>
    <s v="-"/>
    <s v="Not Available on Finance Tracker"/>
    <s v="No Payment"/>
    <s v="N/A"/>
    <s v="N/A"/>
    <s v="As per the system, customer requested to cancel"/>
    <s v="No Email"/>
    <x v="3"/>
    <x v="38"/>
  </r>
  <r>
    <s v="August"/>
    <d v="2025-08-29T00:00:00"/>
    <d v="2025-09-01T00:00:00"/>
    <s v="Booking-874"/>
    <s v="Rejected"/>
    <d v="2025-08-06T00:00:00"/>
    <n v="176"/>
    <s v="Do Dubai Island"/>
    <s v="Tower 1"/>
    <s v="Studio"/>
    <s v="211"/>
    <s v="SPA Executed"/>
    <s v="Rejected"/>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x v="12"/>
  </r>
  <r>
    <s v="August"/>
    <d v="2025-08-26T00:00:00"/>
    <d v="2025-08-26T00:00:00"/>
    <s v="Booking-945"/>
    <s v="Rejected"/>
    <d v="2025-08-26T00:00:00"/>
    <n v="156"/>
    <s v="Laguna Residence"/>
    <s v="Tower A"/>
    <s v="1 Bedroom"/>
    <s v="A322"/>
    <s v="SPA Executed"/>
    <s v="Rejected"/>
    <s v="Batuhan Nuri Melek"/>
    <s v="Turkey"/>
    <n v="0"/>
    <n v="0"/>
    <n v="1342000"/>
    <n v="1342000"/>
    <s v="Mohamed El Shimy"/>
    <s v="PREMIA LIVINGS REAL ESTATE L.L.C"/>
    <s v="a03J600000BrZYd"/>
    <s v="-"/>
    <s v="Not Available on Finance Tracker"/>
    <s v="No Payment"/>
    <s v="N/A"/>
    <s v="N/A"/>
    <s v="Error in Booking"/>
    <s v="No Email"/>
    <x v="16"/>
    <x v="39"/>
  </r>
  <r>
    <s v="August"/>
    <d v="2025-08-26T00:00:00"/>
    <d v="2025-08-26T00:00:00"/>
    <s v="Booking-944"/>
    <s v="Rejected"/>
    <d v="2025-08-26T00:00:00"/>
    <n v="156"/>
    <s v="Laguna Residence"/>
    <s v="Tower A"/>
    <s v="Studio"/>
    <s v="A2514"/>
    <s v="SPA Executed"/>
    <s v="Rejected"/>
    <s v="Shon Philip Koshy"/>
    <s v="India"/>
    <n v="0"/>
    <n v="0"/>
    <n v="787000"/>
    <n v="787000"/>
    <s v="Mohamed El Shimy"/>
    <s v="PREMIA LIVINGS REAL ESTATE L.L.C"/>
    <s v="a03J600000BrYy2"/>
    <s v="-"/>
    <s v="Not Available on Finance Tracker"/>
    <s v="No Payment"/>
    <s v="N/A"/>
    <s v="N/A"/>
    <s v="Error in Booking"/>
    <s v="No Email"/>
    <x v="16"/>
    <x v="39"/>
  </r>
  <r>
    <s v="August"/>
    <d v="2025-08-26T00:00:00"/>
    <d v="2025-08-26T00:00:00"/>
    <s v="Booking-853"/>
    <s v="Rejected"/>
    <d v="2025-07-31T00:00:00"/>
    <n v="182"/>
    <s v="Laguna Residence"/>
    <s v="Tower A"/>
    <s v="1 Bedroom"/>
    <s v="A322"/>
    <s v="SPA Executed"/>
    <s v="Rejected"/>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x v="40"/>
  </r>
  <r>
    <s v="August"/>
    <d v="2025-08-25T00:00:00"/>
    <d v="2025-08-26T00:00:00"/>
    <s v="Booking-836"/>
    <s v="Rejected"/>
    <d v="2025-07-18T00:00:00"/>
    <n v="195"/>
    <s v="Laguna Residence"/>
    <s v="Tower A"/>
    <s v="Studio"/>
    <s v="A2514"/>
    <s v="SPA Executed"/>
    <s v="Rejected"/>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x v="41"/>
  </r>
  <r>
    <s v="August"/>
    <d v="2025-08-25T00:00:00"/>
    <d v="2025-09-03T00:00:00"/>
    <s v="Booking-587"/>
    <s v="Rejected"/>
    <d v="2025-04-09T00:00:00"/>
    <n v="295"/>
    <s v="Laguna Residence"/>
    <s v="Tower B"/>
    <s v="Studio"/>
    <s v="B1720"/>
    <s v="SPA Executed"/>
    <s v="Rejected"/>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x v="42"/>
  </r>
  <r>
    <s v="August"/>
    <d v="2025-08-25T00:00:00"/>
    <d v="2025-09-04T00:00:00"/>
    <s v="Booking-726"/>
    <s v="Rejected"/>
    <d v="2025-06-10T00:00:00"/>
    <n v="233"/>
    <s v="Do Dubai Island"/>
    <s v="Tower 1"/>
    <s v="2 Bedroom"/>
    <s v="601"/>
    <s v="Blocked"/>
    <s v="Rejected"/>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x v="43"/>
  </r>
  <r>
    <s v="August"/>
    <d v="2025-08-25T00:00:00"/>
    <d v="2025-09-04T00:00:00"/>
    <s v="Booking-865"/>
    <s v="Rejected"/>
    <d v="2025-08-03T00:00:00"/>
    <n v="179"/>
    <s v="Do Dubai Island"/>
    <s v="Tower 1"/>
    <s v="Studio"/>
    <s v="314"/>
    <s v="SPA Executed"/>
    <s v="Rejected"/>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x v="44"/>
  </r>
  <r>
    <s v="August"/>
    <d v="2025-08-04T00:00:00"/>
    <d v="2025-08-07T00:00:00"/>
    <s v="Booking-844"/>
    <s v="Rejected"/>
    <d v="2025-07-21T00:00:00"/>
    <n v="192"/>
    <s v="Laguna Residence"/>
    <s v="Tower A"/>
    <s v="2 Bedroom"/>
    <s v="A417"/>
    <s v="Booked"/>
    <s v="Rejected"/>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x v="1"/>
  </r>
  <r>
    <s v="July"/>
    <d v="2025-07-15T00:00:00"/>
    <d v="2025-07-21T00:00:00"/>
    <s v="Booking-806"/>
    <s v="Rejected"/>
    <d v="2025-07-05T00:00:00"/>
    <n v="208"/>
    <s v="Do Dubai Island"/>
    <s v="Tower 1"/>
    <s v="Studio"/>
    <s v="107"/>
    <s v="SPA Executed"/>
    <s v="Rejected"/>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x v="45"/>
  </r>
  <r>
    <s v="July"/>
    <d v="2025-07-15T00:00:00"/>
    <d v="2025-07-21T00:00:00"/>
    <s v="Booking-804"/>
    <s v="Rejected"/>
    <d v="2025-07-05T00:00:00"/>
    <n v="208"/>
    <s v="Do Dubai Island"/>
    <s v="Tower 1"/>
    <s v="1 Bedroom"/>
    <s v="216"/>
    <s v="Available"/>
    <s v="Rejected"/>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x v="45"/>
  </r>
  <r>
    <s v="July"/>
    <d v="2025-07-15T00:00:00"/>
    <d v="2025-07-21T00:00:00"/>
    <s v="Booking-795"/>
    <s v="Rejected"/>
    <d v="2025-06-29T00:00:00"/>
    <n v="214"/>
    <s v="Laguna Residence"/>
    <s v="Tower A"/>
    <s v="Studio"/>
    <s v="A2110"/>
    <s v="Booked"/>
    <s v="Rejected"/>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x v="1"/>
  </r>
  <r>
    <s v="July"/>
    <d v="2025-07-15T00:00:00"/>
    <d v="2025-07-21T00:00:00"/>
    <s v="Booking-786"/>
    <s v="Rejected"/>
    <d v="2025-06-25T00:00:00"/>
    <n v="218"/>
    <s v="Do Dubai Island"/>
    <s v="Tower 1"/>
    <s v="Studio"/>
    <s v="618"/>
    <s v="SPA Executed"/>
    <s v="Rejected"/>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x v="19"/>
  </r>
  <r>
    <s v="July"/>
    <d v="2025-07-15T00:00:00"/>
    <d v="2025-07-21T00:00:00"/>
    <s v="Booking-735"/>
    <s v="Rejected"/>
    <d v="2025-06-10T00:00:00"/>
    <n v="233"/>
    <s v="Do Dubai Island"/>
    <s v="Tower 1"/>
    <s v="1 Bedroom"/>
    <s v="509"/>
    <s v="SPA Executed"/>
    <s v="Rejected"/>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x v="7"/>
  </r>
  <r>
    <s v="July"/>
    <d v="2025-07-15T00:00:00"/>
    <d v="2025-07-21T00:00:00"/>
    <s v="Booking-734"/>
    <s v="Rejected"/>
    <d v="2025-06-10T00:00:00"/>
    <n v="233"/>
    <s v="Do Dubai Island"/>
    <s v="Tower 1"/>
    <s v="Studio"/>
    <s v="612"/>
    <s v="SPA Executed"/>
    <s v="Rejected"/>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x v="7"/>
  </r>
  <r>
    <s v="July"/>
    <d v="2025-07-15T00:00:00"/>
    <d v="2025-07-17T00:00:00"/>
    <s v="Booking-722"/>
    <s v="Rejected"/>
    <d v="2025-06-09T00:00:00"/>
    <n v="234"/>
    <s v="Do Dubai Island"/>
    <s v="Tower 1"/>
    <s v="1 Bedroom"/>
    <s v="502"/>
    <s v="SPA Executed"/>
    <s v="Rejected"/>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x v="46"/>
  </r>
  <r>
    <s v="July"/>
    <d v="2025-07-15T00:00:00"/>
    <d v="2025-07-21T00:00:00"/>
    <s v="Booking-541"/>
    <s v="Rejected"/>
    <d v="2025-03-24T00:00:00"/>
    <n v="311"/>
    <s v="Laguna Residence"/>
    <s v="Tower A"/>
    <s v="Studio"/>
    <s v="A918"/>
    <s v="Booked"/>
    <s v="Rejected"/>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x v="7"/>
  </r>
  <r>
    <s v="July"/>
    <d v="2025-07-15T00:00:00"/>
    <d v="2025-07-21T00:00:00"/>
    <s v="Booking-208"/>
    <s v="Rejected"/>
    <d v="2024-12-04T00:00:00"/>
    <n v="421"/>
    <s v="Laguna Residence"/>
    <s v="Tower A"/>
    <s v="3 Bedroom"/>
    <s v="A4001"/>
    <s v="Blocked"/>
    <s v="Rejected"/>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20EC8D-09E3-482E-89B6-D1707285C2F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ooking Status">
  <location ref="B15:C18" firstHeaderRow="1" firstDataRow="1" firstDataCol="1"/>
  <pivotFields count="30">
    <pivotField showAll="0"/>
    <pivotField showAll="0"/>
    <pivotField dataField="1" showAll="0"/>
    <pivotField showAll="0"/>
    <pivotField numFmtId="14" showAll="0"/>
    <pivotField showAll="0"/>
    <pivotField showAll="0"/>
    <pivotField showAll="0"/>
    <pivotField showAll="0"/>
    <pivotField showAll="0"/>
    <pivotField showAll="0"/>
    <pivotField axis="axisRow" showAll="0" sortType="descending">
      <items count="7">
        <item m="1" x="3"/>
        <item x="0"/>
        <item x="1"/>
        <item m="1" x="5"/>
        <item m="1" x="2"/>
        <item m="1" x="4"/>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showAll="0" sortType="descending">
      <autoSortScope>
        <pivotArea dataOnly="0" outline="0" fieldPosition="0">
          <references count="1">
            <reference field="4294967294" count="1" selected="0">
              <x v="0"/>
            </reference>
          </references>
        </pivotArea>
      </autoSortScope>
    </pivotField>
  </pivotFields>
  <rowFields count="1">
    <field x="11"/>
  </rowFields>
  <rowItems count="3">
    <i>
      <x v="2"/>
    </i>
    <i>
      <x v="1"/>
    </i>
    <i t="grand">
      <x/>
    </i>
  </rowItems>
  <colItems count="1">
    <i/>
  </colItems>
  <dataFields count="1">
    <dataField name="Count" fld="2" subtotal="count" baseField="0" baseItem="0"/>
  </dataFields>
  <formats count="45">
    <format dxfId="51">
      <pivotArea type="all" dataOnly="0" outline="0" fieldPosition="0"/>
    </format>
    <format dxfId="50">
      <pivotArea outline="0" collapsedLevelsAreSubtotals="1" fieldPosition="0"/>
    </format>
    <format dxfId="49">
      <pivotArea field="28" type="button" dataOnly="0" labelOnly="1" outline="0"/>
    </format>
    <format dxfId="48">
      <pivotArea dataOnly="0" labelOnly="1" grandRow="1" outline="0" fieldPosition="0"/>
    </format>
    <format dxfId="47">
      <pivotArea dataOnly="0" labelOnly="1" outline="0" axis="axisValues" fieldPosition="0"/>
    </format>
    <format dxfId="46">
      <pivotArea field="28" type="button" dataOnly="0" labelOnly="1" outline="0"/>
    </format>
    <format dxfId="45">
      <pivotArea grandRow="1" outline="0" collapsedLevelsAreSubtotals="1" fieldPosition="0"/>
    </format>
    <format dxfId="44">
      <pivotArea dataOnly="0" labelOnly="1" grandRow="1" outline="0" fieldPosition="0"/>
    </format>
    <format dxfId="43">
      <pivotArea outline="0" collapsedLevelsAreSubtotals="1" fieldPosition="0"/>
    </format>
    <format dxfId="42">
      <pivotArea dataOnly="0" labelOnly="1" outline="0" axis="axisValues" fieldPosition="0"/>
    </format>
    <format dxfId="41">
      <pivotArea field="28" type="button" dataOnly="0" labelOnly="1" outline="0"/>
    </format>
    <format dxfId="40">
      <pivotArea dataOnly="0" labelOnly="1" outline="0" axis="axisValues" fieldPosition="0"/>
    </format>
    <format dxfId="39">
      <pivotArea grandRow="1" outline="0" collapsedLevelsAreSubtotals="1" fieldPosition="0"/>
    </format>
    <format dxfId="38">
      <pivotArea dataOnly="0" labelOnly="1" grandRow="1" outline="0" fieldPosition="0"/>
    </format>
    <format dxfId="37">
      <pivotArea field="28" type="button" dataOnly="0" labelOnly="1" outline="0"/>
    </format>
    <format dxfId="36">
      <pivotArea dataOnly="0" labelOnly="1" outline="0" axis="axisValues" fieldPosition="0"/>
    </format>
    <format dxfId="35">
      <pivotArea grandRow="1" outline="0" collapsedLevelsAreSubtotals="1" fieldPosition="0"/>
    </format>
    <format dxfId="34">
      <pivotArea dataOnly="0" labelOnly="1" grandRow="1" outline="0" fieldPosition="0"/>
    </format>
    <format dxfId="33">
      <pivotArea field="28" type="button" dataOnly="0" labelOnly="1" outline="0"/>
    </format>
    <format dxfId="32">
      <pivotArea dataOnly="0" labelOnly="1" outline="0" axis="axisValues" fieldPosition="0"/>
    </format>
    <format dxfId="31">
      <pivotArea grandRow="1" outline="0" collapsedLevelsAreSubtotals="1" fieldPosition="0"/>
    </format>
    <format dxfId="30">
      <pivotArea dataOnly="0" labelOnly="1" grandRow="1" outline="0" fieldPosition="0"/>
    </format>
    <format dxfId="29">
      <pivotArea field="28" type="button" dataOnly="0" labelOnly="1" outline="0"/>
    </format>
    <format dxfId="28">
      <pivotArea grandRow="1" outline="0" collapsedLevelsAreSubtotals="1" fieldPosition="0"/>
    </format>
    <format dxfId="27">
      <pivotArea dataOnly="0" labelOnly="1" grandRow="1" outline="0" fieldPosition="0"/>
    </format>
    <format dxfId="26">
      <pivotArea field="11" type="button" dataOnly="0" labelOnly="1" outline="0" axis="axisRow" fieldPosition="0"/>
    </format>
    <format dxfId="25">
      <pivotArea dataOnly="0" labelOnly="1" outline="0" axis="axisValues" fieldPosition="0"/>
    </format>
    <format dxfId="24">
      <pivotArea field="11" type="button" dataOnly="0" labelOnly="1" outline="0" axis="axisRow" fieldPosition="0"/>
    </format>
    <format dxfId="23">
      <pivotArea dataOnly="0" labelOnly="1" outline="0" axis="axisValues" fieldPosition="0"/>
    </format>
    <format dxfId="22">
      <pivotArea field="11" type="button" dataOnly="0" labelOnly="1" outline="0" axis="axisRow" fieldPosition="0"/>
    </format>
    <format dxfId="21">
      <pivotArea type="all" dataOnly="0" outline="0" fieldPosition="0"/>
    </format>
    <format dxfId="20">
      <pivotArea outline="0" collapsedLevelsAreSubtotals="1" fieldPosition="0"/>
    </format>
    <format dxfId="19">
      <pivotArea field="11" type="button" dataOnly="0" labelOnly="1" outline="0" axis="axisRow" fieldPosition="0"/>
    </format>
    <format dxfId="18">
      <pivotArea dataOnly="0" labelOnly="1" fieldPosition="0">
        <references count="1">
          <reference field="11" count="0"/>
        </references>
      </pivotArea>
    </format>
    <format dxfId="17">
      <pivotArea dataOnly="0" labelOnly="1" grandRow="1" outline="0" fieldPosition="0"/>
    </format>
    <format dxfId="16">
      <pivotArea dataOnly="0" labelOnly="1" outline="0" axis="axisValues" fieldPosition="0"/>
    </format>
    <format dxfId="15">
      <pivotArea type="all" dataOnly="0" outline="0" fieldPosition="0"/>
    </format>
    <format dxfId="14">
      <pivotArea outline="0" collapsedLevelsAreSubtotals="1" fieldPosition="0"/>
    </format>
    <format dxfId="13">
      <pivotArea field="11" type="button" dataOnly="0" labelOnly="1" outline="0" axis="axisRow" fieldPosition="0"/>
    </format>
    <format dxfId="12">
      <pivotArea dataOnly="0" labelOnly="1" fieldPosition="0">
        <references count="1">
          <reference field="11" count="0"/>
        </references>
      </pivotArea>
    </format>
    <format dxfId="11">
      <pivotArea dataOnly="0" labelOnly="1" grandRow="1" outline="0" fieldPosition="0"/>
    </format>
    <format dxfId="10">
      <pivotArea dataOnly="0" labelOnly="1" outline="0" axis="axisValues" fieldPosition="0"/>
    </format>
    <format dxfId="9">
      <pivotArea dataOnly="0" labelOnly="1" fieldPosition="0">
        <references count="1">
          <reference field="11" count="0"/>
        </references>
      </pivotArea>
    </format>
    <format dxfId="8">
      <pivotArea grandRow="1" outline="0" collapsedLevelsAreSubtotals="1" fieldPosition="0"/>
    </format>
    <format dxfId="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C6CE48-8C55-4CA7-B40C-5064F4A29E3E}"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mmary">
  <location ref="E3:F70" firstHeaderRow="1" firstDataRow="1" firstDataCol="1"/>
  <pivotFields count="31">
    <pivotField showAll="0"/>
    <pivotField showAll="0"/>
    <pivotField showAll="0"/>
    <pivotField dataField="1" showAll="0"/>
    <pivotField showAll="0"/>
    <pivotField numFmtId="14" showAll="0"/>
    <pivotField showAll="0"/>
    <pivotField showAll="0"/>
    <pivotField showAll="0"/>
    <pivotField showAll="0"/>
    <pivotField showAll="0"/>
    <pivotField showAll="0"/>
    <pivotField showAll="0"/>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axis="axisRow" showAll="0" sortType="descending">
      <items count="52">
        <item x="19"/>
        <item x="7"/>
        <item x="44"/>
        <item x="1"/>
        <item x="43"/>
        <item x="46"/>
        <item x="12"/>
        <item x="45"/>
        <item x="42"/>
        <item x="29"/>
        <item x="30"/>
        <item x="36"/>
        <item x="41"/>
        <item x="33"/>
        <item x="34"/>
        <item x="37"/>
        <item x="38"/>
        <item x="40"/>
        <item x="47"/>
        <item x="32"/>
        <item x="35"/>
        <item x="5"/>
        <item x="20"/>
        <item x="26"/>
        <item x="27"/>
        <item x="31"/>
        <item m="1" x="49"/>
        <item x="28"/>
        <item x="25"/>
        <item x="24"/>
        <item x="22"/>
        <item m="1" x="50"/>
        <item x="21"/>
        <item x="23"/>
        <item m="1" x="48"/>
        <item x="18"/>
        <item x="15"/>
        <item x="16"/>
        <item x="17"/>
        <item x="14"/>
        <item x="13"/>
        <item x="10"/>
        <item x="0"/>
        <item x="6"/>
        <item x="8"/>
        <item x="9"/>
        <item x="11"/>
        <item x="2"/>
        <item x="3"/>
        <item x="4"/>
        <item x="39"/>
        <item t="default"/>
      </items>
      <autoSortScope>
        <pivotArea dataOnly="0" outline="0" fieldPosition="0">
          <references count="1">
            <reference field="4294967294" count="1" selected="0">
              <x v="0"/>
            </reference>
          </references>
        </pivotArea>
      </autoSortScope>
    </pivotField>
  </pivotFields>
  <rowFields count="2">
    <field x="29"/>
    <field x="30"/>
  </rowFields>
  <rowItems count="67">
    <i>
      <x v="1"/>
    </i>
    <i r="1">
      <x v="1"/>
    </i>
    <i r="1">
      <x v="21"/>
    </i>
    <i r="1">
      <x v="41"/>
    </i>
    <i r="1">
      <x v="2"/>
    </i>
    <i>
      <x v="3"/>
    </i>
    <i r="1">
      <x v="3"/>
    </i>
    <i r="1">
      <x v="6"/>
    </i>
    <i r="1">
      <x v="7"/>
    </i>
    <i r="1">
      <x v="37"/>
    </i>
    <i r="1">
      <x v="15"/>
    </i>
    <i r="1">
      <x v="4"/>
    </i>
    <i r="1">
      <x v="5"/>
    </i>
    <i>
      <x v="14"/>
    </i>
    <i r="1">
      <x v="42"/>
    </i>
    <i>
      <x v="4"/>
    </i>
    <i r="1">
      <x v="16"/>
    </i>
    <i r="1">
      <x v="36"/>
    </i>
    <i r="1">
      <x v="30"/>
    </i>
    <i r="1">
      <x v="17"/>
    </i>
    <i r="1">
      <x v="45"/>
    </i>
    <i r="1">
      <x v="18"/>
    </i>
    <i r="1">
      <x v="29"/>
    </i>
    <i r="1">
      <x v="19"/>
    </i>
    <i r="1">
      <x v="35"/>
    </i>
    <i r="1">
      <x v="20"/>
    </i>
    <i r="1">
      <x v="43"/>
    </i>
    <i r="1">
      <x v="23"/>
    </i>
    <i r="1">
      <x v="48"/>
    </i>
    <i r="1">
      <x v="24"/>
    </i>
    <i r="1">
      <x v="28"/>
    </i>
    <i>
      <x v="2"/>
    </i>
    <i r="1">
      <x v="39"/>
    </i>
    <i r="1">
      <x v="13"/>
    </i>
    <i r="1">
      <x v="12"/>
    </i>
    <i r="1">
      <x v="9"/>
    </i>
    <i r="1">
      <x v="25"/>
    </i>
    <i r="1">
      <x v="10"/>
    </i>
    <i r="1">
      <x v="8"/>
    </i>
    <i r="1">
      <x v="11"/>
    </i>
    <i>
      <x v="13"/>
    </i>
    <i r="1">
      <x v="40"/>
    </i>
    <i>
      <x/>
    </i>
    <i r="1">
      <x/>
    </i>
    <i r="1">
      <x v="14"/>
    </i>
    <i>
      <x v="12"/>
    </i>
    <i r="1">
      <x v="38"/>
    </i>
    <i>
      <x v="16"/>
    </i>
    <i r="1">
      <x v="49"/>
    </i>
    <i r="1">
      <x v="46"/>
    </i>
    <i>
      <x v="18"/>
    </i>
    <i r="1">
      <x v="46"/>
    </i>
    <i>
      <x v="5"/>
    </i>
    <i r="1">
      <x v="22"/>
    </i>
    <i>
      <x v="7"/>
    </i>
    <i r="1">
      <x v="50"/>
    </i>
    <i>
      <x v="17"/>
    </i>
    <i r="1">
      <x v="47"/>
    </i>
    <i>
      <x v="10"/>
    </i>
    <i r="1">
      <x v="33"/>
    </i>
    <i>
      <x v="6"/>
    </i>
    <i r="1">
      <x v="27"/>
    </i>
    <i>
      <x v="15"/>
    </i>
    <i r="1">
      <x v="44"/>
    </i>
    <i>
      <x v="9"/>
    </i>
    <i r="1">
      <x v="32"/>
    </i>
    <i t="grand">
      <x/>
    </i>
  </rowItems>
  <colItems count="1">
    <i/>
  </colItems>
  <dataFields count="1">
    <dataField name="Count" fld="3" subtotal="count" baseField="0" baseItem="0"/>
  </dataFields>
  <formats count="64">
    <format dxfId="115">
      <pivotArea type="all" dataOnly="0" outline="0" fieldPosition="0"/>
    </format>
    <format dxfId="114">
      <pivotArea outline="0" collapsedLevelsAreSubtotals="1" fieldPosition="0"/>
    </format>
    <format dxfId="113">
      <pivotArea field="29" type="button" dataOnly="0" labelOnly="1" outline="0" axis="axisRow" fieldPosition="0"/>
    </format>
    <format dxfId="112">
      <pivotArea dataOnly="0" labelOnly="1" fieldPosition="0">
        <references count="1">
          <reference field="29" count="0"/>
        </references>
      </pivotArea>
    </format>
    <format dxfId="111">
      <pivotArea dataOnly="0" labelOnly="1" grandRow="1" outline="0" fieldPosition="0"/>
    </format>
    <format dxfId="110">
      <pivotArea dataOnly="0" labelOnly="1" fieldPosition="0">
        <references count="2">
          <reference field="29" count="1" selected="0">
            <x v="1"/>
          </reference>
          <reference field="30" count="2">
            <x v="1"/>
            <x v="2"/>
          </reference>
        </references>
      </pivotArea>
    </format>
    <format dxfId="109">
      <pivotArea dataOnly="0" labelOnly="1" fieldPosition="0">
        <references count="2">
          <reference field="29" count="1" selected="0">
            <x v="3"/>
          </reference>
          <reference field="30" count="6">
            <x v="3"/>
            <x v="4"/>
            <x v="5"/>
            <x v="6"/>
            <x v="7"/>
            <x v="15"/>
          </reference>
        </references>
      </pivotArea>
    </format>
    <format dxfId="108">
      <pivotArea dataOnly="0" labelOnly="1" fieldPosition="0">
        <references count="2">
          <reference field="29" count="1" selected="0">
            <x v="2"/>
          </reference>
          <reference field="30" count="6">
            <x v="8"/>
            <x v="9"/>
            <x v="10"/>
            <x v="11"/>
            <x v="12"/>
            <x v="13"/>
          </reference>
        </references>
      </pivotArea>
    </format>
    <format dxfId="107">
      <pivotArea dataOnly="0" labelOnly="1" fieldPosition="0">
        <references count="2">
          <reference field="29" count="1" selected="0">
            <x v="4"/>
          </reference>
          <reference field="30" count="5">
            <x v="16"/>
            <x v="17"/>
            <x v="18"/>
            <x v="19"/>
            <x v="20"/>
          </reference>
        </references>
      </pivotArea>
    </format>
    <format dxfId="106">
      <pivotArea dataOnly="0" labelOnly="1" fieldPosition="0">
        <references count="2">
          <reference field="29" count="1" selected="0">
            <x v="0"/>
          </reference>
          <reference field="30" count="2">
            <x v="0"/>
            <x v="14"/>
          </reference>
        </references>
      </pivotArea>
    </format>
    <format dxfId="105">
      <pivotArea dataOnly="0" labelOnly="1" outline="0" axis="axisValues" fieldPosition="0"/>
    </format>
    <format dxfId="104">
      <pivotArea field="29" type="button" dataOnly="0" labelOnly="1" outline="0" axis="axisRow" fieldPosition="0"/>
    </format>
    <format dxfId="103">
      <pivotArea grandRow="1" outline="0" collapsedLevelsAreSubtotals="1" fieldPosition="0"/>
    </format>
    <format dxfId="102">
      <pivotArea dataOnly="0" labelOnly="1" grandRow="1" outline="0" fieldPosition="0"/>
    </format>
    <format dxfId="101">
      <pivotArea outline="0" collapsedLevelsAreSubtotals="1" fieldPosition="0"/>
    </format>
    <format dxfId="100">
      <pivotArea dataOnly="0" labelOnly="1" outline="0" axis="axisValues" fieldPosition="0"/>
    </format>
    <format dxfId="99">
      <pivotArea field="29" type="button" dataOnly="0" labelOnly="1" outline="0" axis="axisRow" fieldPosition="0"/>
    </format>
    <format dxfId="98">
      <pivotArea dataOnly="0" labelOnly="1" outline="0" axis="axisValues" fieldPosition="0"/>
    </format>
    <format dxfId="97">
      <pivotArea grandRow="1" outline="0" collapsedLevelsAreSubtotals="1" fieldPosition="0"/>
    </format>
    <format dxfId="96">
      <pivotArea dataOnly="0" labelOnly="1" grandRow="1" outline="0" fieldPosition="0"/>
    </format>
    <format dxfId="95">
      <pivotArea field="29" type="button" dataOnly="0" labelOnly="1" outline="0" axis="axisRow" fieldPosition="0"/>
    </format>
    <format dxfId="94">
      <pivotArea dataOnly="0" labelOnly="1" outline="0" axis="axisValues" fieldPosition="0"/>
    </format>
    <format dxfId="93">
      <pivotArea grandRow="1" outline="0" collapsedLevelsAreSubtotals="1" fieldPosition="0"/>
    </format>
    <format dxfId="92">
      <pivotArea dataOnly="0" labelOnly="1" grandRow="1" outline="0" fieldPosition="0"/>
    </format>
    <format dxfId="91">
      <pivotArea field="29" type="button" dataOnly="0" labelOnly="1" outline="0" axis="axisRow" fieldPosition="0"/>
    </format>
    <format dxfId="90">
      <pivotArea dataOnly="0" labelOnly="1" outline="0" axis="axisValues" fieldPosition="0"/>
    </format>
    <format dxfId="89">
      <pivotArea grandRow="1" outline="0" collapsedLevelsAreSubtotals="1" fieldPosition="0"/>
    </format>
    <format dxfId="88">
      <pivotArea dataOnly="0" labelOnly="1" grandRow="1" outline="0" fieldPosition="0"/>
    </format>
    <format dxfId="87">
      <pivotArea field="29" type="button" dataOnly="0" labelOnly="1" outline="0" axis="axisRow" fieldPosition="0"/>
    </format>
    <format dxfId="86">
      <pivotArea dataOnly="0" labelOnly="1" outline="0" axis="axisValues" fieldPosition="0"/>
    </format>
    <format dxfId="85">
      <pivotArea grandRow="1" outline="0" collapsedLevelsAreSubtotals="1" fieldPosition="0"/>
    </format>
    <format dxfId="84">
      <pivotArea dataOnly="0" labelOnly="1" grandRow="1" outline="0" fieldPosition="0"/>
    </format>
    <format dxfId="83">
      <pivotArea type="all" dataOnly="0" outline="0" fieldPosition="0"/>
    </format>
    <format dxfId="82">
      <pivotArea outline="0" collapsedLevelsAreSubtotals="1" fieldPosition="0"/>
    </format>
    <format dxfId="81">
      <pivotArea field="29" type="button" dataOnly="0" labelOnly="1" outline="0" axis="axisRow" fieldPosition="0"/>
    </format>
    <format dxfId="80">
      <pivotArea dataOnly="0" labelOnly="1" fieldPosition="0">
        <references count="1">
          <reference field="29" count="0"/>
        </references>
      </pivotArea>
    </format>
    <format dxfId="79">
      <pivotArea dataOnly="0" labelOnly="1" grandRow="1" outline="0" fieldPosition="0"/>
    </format>
    <format dxfId="78">
      <pivotArea dataOnly="0" labelOnly="1" fieldPosition="0">
        <references count="2">
          <reference field="29" count="1" selected="0">
            <x v="1"/>
          </reference>
          <reference field="30" count="2">
            <x v="1"/>
            <x v="2"/>
          </reference>
        </references>
      </pivotArea>
    </format>
    <format dxfId="77">
      <pivotArea dataOnly="0" labelOnly="1" fieldPosition="0">
        <references count="2">
          <reference field="29" count="1" selected="0">
            <x v="3"/>
          </reference>
          <reference field="30" count="6">
            <x v="3"/>
            <x v="4"/>
            <x v="5"/>
            <x v="6"/>
            <x v="7"/>
            <x v="15"/>
          </reference>
        </references>
      </pivotArea>
    </format>
    <format dxfId="76">
      <pivotArea dataOnly="0" labelOnly="1" fieldPosition="0">
        <references count="2">
          <reference field="29" count="1" selected="0">
            <x v="2"/>
          </reference>
          <reference field="30" count="6">
            <x v="8"/>
            <x v="9"/>
            <x v="10"/>
            <x v="11"/>
            <x v="12"/>
            <x v="13"/>
          </reference>
        </references>
      </pivotArea>
    </format>
    <format dxfId="75">
      <pivotArea dataOnly="0" labelOnly="1" fieldPosition="0">
        <references count="2">
          <reference field="29" count="1" selected="0">
            <x v="4"/>
          </reference>
          <reference field="30" count="5">
            <x v="16"/>
            <x v="17"/>
            <x v="18"/>
            <x v="19"/>
            <x v="20"/>
          </reference>
        </references>
      </pivotArea>
    </format>
    <format dxfId="74">
      <pivotArea dataOnly="0" labelOnly="1" fieldPosition="0">
        <references count="2">
          <reference field="29" count="1" selected="0">
            <x v="0"/>
          </reference>
          <reference field="30" count="2">
            <x v="0"/>
            <x v="14"/>
          </reference>
        </references>
      </pivotArea>
    </format>
    <format dxfId="73">
      <pivotArea dataOnly="0" labelOnly="1" outline="0" axis="axisValues" fieldPosition="0"/>
    </format>
    <format dxfId="72">
      <pivotArea type="all" dataOnly="0" outline="0" fieldPosition="0"/>
    </format>
    <format dxfId="71">
      <pivotArea outline="0" collapsedLevelsAreSubtotals="1" fieldPosition="0"/>
    </format>
    <format dxfId="70">
      <pivotArea field="29" type="button" dataOnly="0" labelOnly="1" outline="0" axis="axisRow" fieldPosition="0"/>
    </format>
    <format dxfId="69">
      <pivotArea dataOnly="0" labelOnly="1" fieldPosition="0">
        <references count="1">
          <reference field="29" count="0"/>
        </references>
      </pivotArea>
    </format>
    <format dxfId="68">
      <pivotArea dataOnly="0" labelOnly="1" grandRow="1" outline="0" fieldPosition="0"/>
    </format>
    <format dxfId="67">
      <pivotArea dataOnly="0" labelOnly="1" fieldPosition="0">
        <references count="2">
          <reference field="29" count="1" selected="0">
            <x v="1"/>
          </reference>
          <reference field="30" count="2">
            <x v="1"/>
            <x v="2"/>
          </reference>
        </references>
      </pivotArea>
    </format>
    <format dxfId="66">
      <pivotArea dataOnly="0" labelOnly="1" fieldPosition="0">
        <references count="2">
          <reference field="29" count="1" selected="0">
            <x v="3"/>
          </reference>
          <reference field="30" count="6">
            <x v="3"/>
            <x v="4"/>
            <x v="5"/>
            <x v="6"/>
            <x v="7"/>
            <x v="15"/>
          </reference>
        </references>
      </pivotArea>
    </format>
    <format dxfId="65">
      <pivotArea dataOnly="0" labelOnly="1" fieldPosition="0">
        <references count="2">
          <reference field="29" count="1" selected="0">
            <x v="2"/>
          </reference>
          <reference field="30" count="6">
            <x v="8"/>
            <x v="9"/>
            <x v="10"/>
            <x v="11"/>
            <x v="12"/>
            <x v="13"/>
          </reference>
        </references>
      </pivotArea>
    </format>
    <format dxfId="64">
      <pivotArea dataOnly="0" labelOnly="1" fieldPosition="0">
        <references count="2">
          <reference field="29" count="1" selected="0">
            <x v="4"/>
          </reference>
          <reference field="30" count="5">
            <x v="16"/>
            <x v="17"/>
            <x v="18"/>
            <x v="19"/>
            <x v="20"/>
          </reference>
        </references>
      </pivotArea>
    </format>
    <format dxfId="63">
      <pivotArea dataOnly="0" labelOnly="1" fieldPosition="0">
        <references count="2">
          <reference field="29" count="1" selected="0">
            <x v="0"/>
          </reference>
          <reference field="30" count="2">
            <x v="0"/>
            <x v="14"/>
          </reference>
        </references>
      </pivotArea>
    </format>
    <format dxfId="62">
      <pivotArea dataOnly="0" labelOnly="1" outline="0" axis="axisValues" fieldPosition="0"/>
    </format>
    <format dxfId="61">
      <pivotArea field="29" type="button" dataOnly="0" labelOnly="1" outline="0" axis="axisRow" fieldPosition="0"/>
    </format>
    <format dxfId="60">
      <pivotArea dataOnly="0" labelOnly="1" fieldPosition="0">
        <references count="1">
          <reference field="30" count="0"/>
        </references>
      </pivotArea>
    </format>
    <format dxfId="59">
      <pivotArea collapsedLevelsAreSubtotals="1" fieldPosition="0">
        <references count="2">
          <reference field="29" count="1" selected="0">
            <x v="1"/>
          </reference>
          <reference field="30" count="1">
            <x v="1"/>
          </reference>
        </references>
      </pivotArea>
    </format>
    <format dxfId="58">
      <pivotArea collapsedLevelsAreSubtotals="1" fieldPosition="0">
        <references count="2">
          <reference field="29" count="1" selected="0">
            <x v="1"/>
          </reference>
          <reference field="30" count="1">
            <x v="21"/>
          </reference>
        </references>
      </pivotArea>
    </format>
    <format dxfId="57">
      <pivotArea collapsedLevelsAreSubtotals="1" fieldPosition="0">
        <references count="2">
          <reference field="29" count="1" selected="0">
            <x v="1"/>
          </reference>
          <reference field="30" count="1">
            <x v="2"/>
          </reference>
        </references>
      </pivotArea>
    </format>
    <format dxfId="56">
      <pivotArea collapsedLevelsAreSubtotals="1" fieldPosition="0">
        <references count="2">
          <reference field="29" count="1" selected="0">
            <x v="3"/>
          </reference>
          <reference field="30" count="6">
            <x v="3"/>
            <x v="4"/>
            <x v="5"/>
            <x v="6"/>
            <x v="7"/>
            <x v="15"/>
          </reference>
        </references>
      </pivotArea>
    </format>
    <format dxfId="55">
      <pivotArea collapsedLevelsAreSubtotals="1" fieldPosition="0">
        <references count="2">
          <reference field="29" count="1" selected="0">
            <x v="4"/>
          </reference>
          <reference field="30" count="7">
            <x v="16"/>
            <x v="17"/>
            <x v="18"/>
            <x v="19"/>
            <x v="20"/>
            <x v="23"/>
            <x v="24"/>
          </reference>
        </references>
      </pivotArea>
    </format>
    <format dxfId="54">
      <pivotArea collapsedLevelsAreSubtotals="1" fieldPosition="0">
        <references count="2">
          <reference field="29" count="1" selected="0">
            <x v="2"/>
          </reference>
          <reference field="30" count="6">
            <x v="8"/>
            <x v="9"/>
            <x v="10"/>
            <x v="11"/>
            <x v="12"/>
            <x v="13"/>
          </reference>
        </references>
      </pivotArea>
    </format>
    <format dxfId="53">
      <pivotArea collapsedLevelsAreSubtotals="1" fieldPosition="0">
        <references count="2">
          <reference field="29" count="1" selected="0">
            <x v="0"/>
          </reference>
          <reference field="30" count="2">
            <x v="0"/>
            <x v="14"/>
          </reference>
        </references>
      </pivotArea>
    </format>
    <format dxfId="52">
      <pivotArea collapsedLevelsAreSubtotals="1" fieldPosition="0">
        <references count="2">
          <reference field="29" count="1" selected="0">
            <x v="5"/>
          </reference>
          <reference field="30" count="1">
            <x v="2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file:///C:\Users\Norton%20Araujo\OneDrive%20-%20ONE%20Development\Desktop\Norton-Local\Requests\Rejected%20Bookings\Booking-1133%20-%20Booking%20Rejection%20Request.pdf" TargetMode="External"/><Relationship Id="rId21" Type="http://schemas.openxmlformats.org/officeDocument/2006/relationships/hyperlink" Target="file:///C:\Users\Norton%20Araujo\OneDrive%20-%20ONE%20Development\Desktop\Norton-Local\Requests\Rejected%20Bookings\Booking-795%20-%20Booking%20Rejection%20Request.msg" TargetMode="External"/><Relationship Id="rId42" Type="http://schemas.openxmlformats.org/officeDocument/2006/relationships/hyperlink" Target="file:///C:\Users\Norton%20Araujo\OneDrive%20-%20ONE%20Development\Desktop\Norton-Local\Requests\Rejected%20Bookings\Booking-982%20-%20Booking%20Rejection%20Request.msg" TargetMode="External"/><Relationship Id="rId63" Type="http://schemas.openxmlformats.org/officeDocument/2006/relationships/hyperlink" Target="file:///C:\Users\Norton%20Araujo\OneDrive%20-%20ONE%20Development\Desktop\Norton-Local\Requests\Rejected%20Bookings\Booking-1330%20-%20Booking%20Rejection%20Request.msg" TargetMode="External"/><Relationship Id="rId84" Type="http://schemas.openxmlformats.org/officeDocument/2006/relationships/hyperlink" Target="file:///C:\Users\Norton%20Araujo\OneDrive%20-%20ONE%20Development\Desktop\Norton-Local\Requests\Rejected%20Bookings\Booking-1054%20-%20Booking%20Rejection%20Request.msg" TargetMode="External"/><Relationship Id="rId138" Type="http://schemas.openxmlformats.org/officeDocument/2006/relationships/hyperlink" Target="file:///C:\Users\Norton%20Araujo\OneDrive%20-%20ONE%20Development\Desktop\Norton-Local\Requests\Rejected%20Bookings\Booking-1165%20-%20Booking%20Rejection%20Request.msg" TargetMode="External"/><Relationship Id="rId107" Type="http://schemas.openxmlformats.org/officeDocument/2006/relationships/hyperlink" Target="file:///C:\Users\Norton%20Araujo\OneDrive%20-%20ONE%20Development\Desktop\Norton-Local\Requests\Rejected%20Bookings\Booking-1019%20-%20Booking%20Rejection%20Request.msg" TargetMode="External"/><Relationship Id="rId11" Type="http://schemas.openxmlformats.org/officeDocument/2006/relationships/hyperlink" Target="file:///C:\Users\Norton%20Araujo\OneDrive%20-%20ONE%20Development\Desktop\Norton-Local\Requests\Rejected%20Bookings\Booking-1474%20-%20Booking%20Rejection%20Request.msg" TargetMode="External"/><Relationship Id="rId32" Type="http://schemas.openxmlformats.org/officeDocument/2006/relationships/hyperlink" Target="file:///C:\Users\Norton%20Araujo\OneDrive%20-%20ONE%20Development\Desktop\Norton-Local\Requests\Rejected%20Bookings\Booking-972%20-%20Booking%20Rejection%20Request.msg" TargetMode="External"/><Relationship Id="rId53" Type="http://schemas.openxmlformats.org/officeDocument/2006/relationships/hyperlink" Target="file:///C:\Users\Norton%20Araujo\OneDrive%20-%20ONE%20Development\Desktop\Norton-Local\Requests\Rejected%20Bookings\Booking-1489%20-%20Booking%20Rejection%20Request.msg" TargetMode="External"/><Relationship Id="rId74" Type="http://schemas.openxmlformats.org/officeDocument/2006/relationships/hyperlink" Target="file:///C:\Users\Norton%20Araujo\OneDrive%20-%20ONE%20Development\Desktop\Norton-Local\Requests\Rejected%20Bookings\Booking-800%20-%20Booking%20Rejection%20Request.msg" TargetMode="External"/><Relationship Id="rId128" Type="http://schemas.openxmlformats.org/officeDocument/2006/relationships/hyperlink" Target="file:///C:\Users\Norton%20Araujo\OneDrive%20-%20ONE%20Development\Desktop\Norton-Local\Requests\Rejected%20Bookings\Booking-1000%20-%20Booking%20Rejection%20Request.msg" TargetMode="External"/><Relationship Id="rId149" Type="http://schemas.openxmlformats.org/officeDocument/2006/relationships/comments" Target="../comments1.xml"/><Relationship Id="rId5" Type="http://schemas.openxmlformats.org/officeDocument/2006/relationships/hyperlink" Target="https://power-speed-215.lightning.force.com/lightning/r/04iJ6000000lNgTIAU/view" TargetMode="External"/><Relationship Id="rId95" Type="http://schemas.openxmlformats.org/officeDocument/2006/relationships/hyperlink" Target="file:///C:\Users\Norton%20Araujo\OneDrive%20-%20ONE%20Development\Desktop\Norton-Local\Requests\Rejected%20Bookings\Booking-1001%20-%20Booking%20Rejection%20Request.msg" TargetMode="External"/><Relationship Id="rId22" Type="http://schemas.openxmlformats.org/officeDocument/2006/relationships/hyperlink" Target="file:///C:\Users\Norton%20Araujo\OneDrive%20-%20ONE%20Development\Desktop\Norton-Local\Requests\Rejected%20Bookings\Booking-804%20&amp;%20Booking-806%20-%20Booking%20Rejection%20Request.msg" TargetMode="External"/><Relationship Id="rId27" Type="http://schemas.openxmlformats.org/officeDocument/2006/relationships/hyperlink" Target="file:///C:\Users\Norton%20Araujo\OneDrive%20-%20ONE%20Development\Desktop\Norton-Local\Requests\Rejected%20Bookings\Booking-587%20-%20Booking%20Rejection%20Request.msg" TargetMode="External"/><Relationship Id="rId43" Type="http://schemas.openxmlformats.org/officeDocument/2006/relationships/hyperlink" Target="file:///C:\Users\Norton%20Araujo\OneDrive%20-%20ONE%20Development\Desktop\Norton-Local\Requests\Rejected%20Bookings\Booking-916%20-%20Booking%20Rejection%20Request.msg" TargetMode="External"/><Relationship Id="rId48" Type="http://schemas.openxmlformats.org/officeDocument/2006/relationships/hyperlink" Target="file:///C:\Users\Norton%20Araujo\OneDrive%20-%20ONE%20Development\Desktop\Norton-Local\Requests\Rejected%20Bookings\Booking-700%20&amp;%20701%20-%20Booking%20Rejection%20Request%20(2).msg" TargetMode="External"/><Relationship Id="rId64" Type="http://schemas.openxmlformats.org/officeDocument/2006/relationships/hyperlink" Target="file:///C:\Users\Norton%20Araujo\OneDrive%20-%20ONE%20Development\Desktop\Norton-Local\Requests\Rejected%20Bookings\Booking-1423%20-%20Booking%20Rejection%20Request.msg" TargetMode="External"/><Relationship Id="rId69" Type="http://schemas.openxmlformats.org/officeDocument/2006/relationships/hyperlink" Target="file:///C:\Users\Norton%20Araujo\OneDrive%20-%20ONE%20Development\Desktop\Norton-Local\Requests\Rejected%20Bookings\Booking-1443%20-%20Booking%20Rejection%20Request.msg" TargetMode="External"/><Relationship Id="rId113" Type="http://schemas.openxmlformats.org/officeDocument/2006/relationships/hyperlink" Target="file:///C:\Users\Norton%20Araujo\OneDrive%20-%20ONE%20Development\Desktop\Norton-Local\Requests\Rejected%20Bookings\Booking-1028%20-%20Booking%20Rejection%20Request.msg" TargetMode="External"/><Relationship Id="rId118" Type="http://schemas.openxmlformats.org/officeDocument/2006/relationships/hyperlink" Target="file:///C:\Users\Norton%20Araujo\OneDrive%20-%20ONE%20Development\Desktop\Norton-Local\Requests\Rejected%20Bookings\Booking-1110%20-%20Booking%20Rejection%20Request.pdf" TargetMode="External"/><Relationship Id="rId134" Type="http://schemas.openxmlformats.org/officeDocument/2006/relationships/hyperlink" Target="file:///C:\Users\Norton%20Araujo\OneDrive%20-%20ONE%20Development\Desktop\Norton-Local\Requests\Rejected%20Bookings\Booking-1014%20-%20Booking%20Rejection%20Request.msg" TargetMode="External"/><Relationship Id="rId139" Type="http://schemas.openxmlformats.org/officeDocument/2006/relationships/hyperlink" Target="file:///C:\Users\Norton%20Araujo\OneDrive%20-%20ONE%20Development\Desktop\Norton-Local\Requests\Rejected%20Bookings\Booking-949%20-%20Booking%20Rejection%20Request.msg" TargetMode="External"/><Relationship Id="rId80" Type="http://schemas.openxmlformats.org/officeDocument/2006/relationships/hyperlink" Target="file:///C:\Users\Norton%20Araujo\OneDrive%20-%20ONE%20Development\Desktop\Norton-Local\Requests\Rejected%20Bookings\Booking-1224%20-%20Booking%20Rejection%20Request.pdf" TargetMode="External"/><Relationship Id="rId85" Type="http://schemas.openxmlformats.org/officeDocument/2006/relationships/hyperlink" Target="file:///C:\Users\Norton%20Araujo\OneDrive%20-%20ONE%20Development\Desktop\Norton-Local\Requests\Rejected%20Bookings\Booking-1029%20-%20Booking%20Rejection%20Request.msg" TargetMode="External"/><Relationship Id="rId12" Type="http://schemas.openxmlformats.org/officeDocument/2006/relationships/hyperlink" Target="file:///C:\Users\Norton%20Araujo\OneDrive%20-%20ONE%20Development\Desktop\Norton-Local\Requests\Rejected%20Bookings\Booking-1437%20-%20Booking%20Rejection%20Request.msg" TargetMode="External"/><Relationship Id="rId17" Type="http://schemas.openxmlformats.org/officeDocument/2006/relationships/hyperlink" Target="file:///C:\Users\Norton%20Araujo\OneDrive%20-%20ONE%20Development\Desktop\Norton-Local\Requests\Rejected%20Bookings\Booking-722%20-%20Booking%20Rejection%20Request.msg" TargetMode="External"/><Relationship Id="rId33" Type="http://schemas.openxmlformats.org/officeDocument/2006/relationships/hyperlink" Target="file:///C:\Users\Norton%20Araujo\OneDrive%20-%20ONE%20Development\Desktop\Norton-Local\Requests\Rejected%20Bookings\Booking-505%20-%20Booking%20Rejection%20Request.msg" TargetMode="External"/><Relationship Id="rId38" Type="http://schemas.openxmlformats.org/officeDocument/2006/relationships/hyperlink" Target="file:///C:\Users\Norton%20Araujo\OneDrive%20-%20ONE%20Development\Desktop\Norton-Local\Requests\Rejected%20Bookings\Booking-657%20-%20Booking%20Rejection%20Request.msg" TargetMode="External"/><Relationship Id="rId59" Type="http://schemas.openxmlformats.org/officeDocument/2006/relationships/hyperlink" Target="file:///C:\Users\Norton%20Araujo\OneDrive%20-%20ONE%20Development\Desktop\Norton-Local\Requests\Rejected%20Bookings\Booking-1394%20-%20Booking%20Rejection%20Request.msg" TargetMode="External"/><Relationship Id="rId103" Type="http://schemas.openxmlformats.org/officeDocument/2006/relationships/hyperlink" Target="file:///C:\Users\Norton%20Araujo\OneDrive%20-%20ONE%20Development\Desktop\Norton-Local\Requests\Rejected%20Bookings\Booking-1017%20-%20Booking%20Rejection%20Request.pdf" TargetMode="External"/><Relationship Id="rId108" Type="http://schemas.openxmlformats.org/officeDocument/2006/relationships/hyperlink" Target="file:///C:\Users\Norton%20Araujo\OneDrive%20-%20ONE%20Development\Desktop\Norton-Local\Requests\Rejected%20Bookings\Booking-1023%20-%20Booking%20Rejection%20Request.msg" TargetMode="External"/><Relationship Id="rId124" Type="http://schemas.openxmlformats.org/officeDocument/2006/relationships/hyperlink" Target="file:///C:\Users\Norton%20Araujo\OneDrive%20-%20ONE%20Development\Desktop\Norton-Local\Requests\Rejected%20Bookings\Booking-1127%20-%20Booking%20Rejection%20Request.pdf" TargetMode="External"/><Relationship Id="rId129" Type="http://schemas.openxmlformats.org/officeDocument/2006/relationships/hyperlink" Target="file:///C:\Users\Norton%20Araujo\OneDrive%20-%20ONE%20Development\Desktop\Norton-Local\Requests\Rejected%20Bookings\Booking-594%20-%20Booking%20Rejection%20Request.msg" TargetMode="External"/><Relationship Id="rId54" Type="http://schemas.openxmlformats.org/officeDocument/2006/relationships/hyperlink" Target="file:///C:\Users\Norton%20Araujo\OneDrive%20-%20ONE%20Development\Desktop\Norton-Local\Requests\Rejected%20Bookings\Booking-1340%20-%20Booking%20Rejection%20Request.msg" TargetMode="External"/><Relationship Id="rId70" Type="http://schemas.openxmlformats.org/officeDocument/2006/relationships/hyperlink" Target="file:///C:\Users\Norton%20Araujo\OneDrive%20-%20ONE%20Development\Desktop\Norton-Local\Requests\Rejected%20Bookings\Booking-1392%20-%20Booking%20Rejection%20Request.msg" TargetMode="External"/><Relationship Id="rId75" Type="http://schemas.openxmlformats.org/officeDocument/2006/relationships/hyperlink" Target="file:///C:\Users\Norton%20Araujo\OneDrive%20-%20ONE%20Development\Desktop\Norton-Local\Requests\Rejected%20Bookings\Booking-1345%20-%20Booking%20Rejection%20Request.msg" TargetMode="External"/><Relationship Id="rId91" Type="http://schemas.openxmlformats.org/officeDocument/2006/relationships/hyperlink" Target="file:///C:\Users\Norton%20Araujo\OneDrive%20-%20ONE%20Development\Desktop\Norton-Local\Requests\Rejected%20Bookings\Booking-1180%20-%20Booking%20Rejection%20Request.msg" TargetMode="External"/><Relationship Id="rId96" Type="http://schemas.openxmlformats.org/officeDocument/2006/relationships/hyperlink" Target="file:///C:\Users\Norton%20Araujo\OneDrive%20-%20ONE%20Development\Desktop\Norton-Local\Requests\Rejected%20Bookings\Booking-1002%20-%20Booking%20Rejection%20Request.msg" TargetMode="External"/><Relationship Id="rId140" Type="http://schemas.openxmlformats.org/officeDocument/2006/relationships/hyperlink" Target="file:///C:\Users\Norton%20Araujo\OneDrive%20-%20ONE%20Development\Desktop\Norton-Local\Requests\Rejected%20Bookings\Booking-1011%20-%20Booking%20Rejection%20Request.msg" TargetMode="External"/><Relationship Id="rId145" Type="http://schemas.openxmlformats.org/officeDocument/2006/relationships/hyperlink" Target="file:///C:\Users\Norton%20Araujo\OneDrive%20-%20ONE%20Development\Desktop\Norton-Local\Requests\Rejected%20Bookings\Booking-1467%20-%20Booking%20Rejection%20Request.msg" TargetMode="External"/><Relationship Id="rId1" Type="http://schemas.openxmlformats.org/officeDocument/2006/relationships/hyperlink" Target="https://power-speed-215.lightning.force.com/lightning/r/04iJ6000000lO3mIAE/view" TargetMode="External"/><Relationship Id="rId6" Type="http://schemas.openxmlformats.org/officeDocument/2006/relationships/hyperlink" Target="https://power-speed-215.lightning.force.com/lightning/r/04iJ6000000lNDgIAM/view" TargetMode="External"/><Relationship Id="rId23" Type="http://schemas.openxmlformats.org/officeDocument/2006/relationships/hyperlink" Target="file:///C:\Users\Norton%20Araujo\OneDrive%20-%20ONE%20Development\Desktop\Norton-Local\Requests\Rejected%20Bookings\Booking-804%20&amp;%20Booking-806%20-%20Booking%20Rejection%20Request.msg" TargetMode="External"/><Relationship Id="rId28" Type="http://schemas.openxmlformats.org/officeDocument/2006/relationships/hyperlink" Target="file:///C:\Users\Norton%20Araujo\OneDrive%20-%20ONE%20Development\Desktop\Norton-Local\Requests\Rejected%20Bookings\Booking-836%20-%20Booking%20Rejection%20Request.msg" TargetMode="External"/><Relationship Id="rId49" Type="http://schemas.openxmlformats.org/officeDocument/2006/relationships/hyperlink" Target="file:///C:\Users\Norton%20Araujo\OneDrive%20-%20ONE%20Development\Desktop\Norton-Local\Requests\Rejected%20Bookings\Booking-980%20-%20Booking%20Rejection%20Request.msg" TargetMode="External"/><Relationship Id="rId114" Type="http://schemas.openxmlformats.org/officeDocument/2006/relationships/hyperlink" Target="file:///C:\Users\Norton%20Araujo\OneDrive%20-%20ONE%20Development\Desktop\Norton-Local\Requests\Rejected%20Bookings\Booking-1112%20-%20Booking%20Rejection%20Request.msg" TargetMode="External"/><Relationship Id="rId119" Type="http://schemas.openxmlformats.org/officeDocument/2006/relationships/hyperlink" Target="file:///C:\Users\Norton%20Araujo\OneDrive%20-%20ONE%20Development\Desktop\Norton-Local\Requests\Rejected%20Bookings\Booking-1114%20-Booking%20Rejection%20Request.pdf" TargetMode="External"/><Relationship Id="rId44" Type="http://schemas.openxmlformats.org/officeDocument/2006/relationships/hyperlink" Target="file:///C:\Users\Norton%20Araujo\OneDrive%20-%20ONE%20Development\Desktop\Norton-Local\Requests\Rejected%20Bookings\Booking-957%20-%20Booking%20Rejection%20Request.msg" TargetMode="External"/><Relationship Id="rId60" Type="http://schemas.openxmlformats.org/officeDocument/2006/relationships/hyperlink" Target="file:///C:\Users\Norton%20Araujo\OneDrive%20-%20ONE%20Development\Desktop\Norton-Local\Requests\Rejected%20Bookings\Booking-1424%20-%20Booking%20Rejection%20Request.msg" TargetMode="External"/><Relationship Id="rId65" Type="http://schemas.openxmlformats.org/officeDocument/2006/relationships/hyperlink" Target="file:///C:\Users\Norton%20Araujo\OneDrive%20-%20ONE%20Development\Desktop\Norton-Local\Requests\Rejected%20Bookings\Booking-1434%20-%20Booking%20Rejection%20Request.msg" TargetMode="External"/><Relationship Id="rId81" Type="http://schemas.openxmlformats.org/officeDocument/2006/relationships/hyperlink" Target="file:///C:\Users\Norton%20Araujo\OneDrive%20-%20ONE%20Development\Desktop\Norton-Local\Requests\Rejected%20Bookings\Booking-1101%20-%20Booking%20Rejection%20Request.pdf" TargetMode="External"/><Relationship Id="rId86" Type="http://schemas.openxmlformats.org/officeDocument/2006/relationships/hyperlink" Target="file:///C:\Users\Norton%20Araujo\OneDrive%20-%20ONE%20Development\Desktop\Norton-Local\Requests\Rejected%20Bookings\Booking-948%20-%20Booking%20Rejection%20Request.msg" TargetMode="External"/><Relationship Id="rId130" Type="http://schemas.openxmlformats.org/officeDocument/2006/relationships/hyperlink" Target="file:///C:\Users\Norton%20Araujo\OneDrive%20-%20ONE%20Development\Desktop\Norton-Local\Requests\Rejected%20Bookings\Booking-1044%20-%20Booking%20Rejection%20Request.msg" TargetMode="External"/><Relationship Id="rId135" Type="http://schemas.openxmlformats.org/officeDocument/2006/relationships/hyperlink" Target="file:///C:\Users\Norton%20Araujo\OneDrive%20-%20ONE%20Development\Desktop\Norton-Local\Requests\Rejected%20Bookings\Booking-1153%20-%20Booking%20Rejection%20Request.msg" TargetMode="External"/><Relationship Id="rId13" Type="http://schemas.openxmlformats.org/officeDocument/2006/relationships/hyperlink" Target="file:///C:\Users\Norton%20Araujo\OneDrive%20-%20ONE%20Development\Desktop\Norton-Local\Requests\Rejected%20Bookings\Booking-1480%20-%20Booking%20Rejection%20Request.msg" TargetMode="External"/><Relationship Id="rId18" Type="http://schemas.openxmlformats.org/officeDocument/2006/relationships/hyperlink" Target="file:///C:\Users\Norton%20Araujo\OneDrive%20-%20ONE%20Development\Desktop\Norton-Local\Requests\Rejected%20Bookings\Booking-734%20&amp;%20Booking-735%20-%20Booking%20Rejection%20Request.msg" TargetMode="External"/><Relationship Id="rId39" Type="http://schemas.openxmlformats.org/officeDocument/2006/relationships/hyperlink" Target="file:///C:\Users\Norton%20Araujo\OneDrive%20-%20ONE%20Development\Desktop\Norton-Local\Requests\Rejected%20Bookings\Booking-711%20-%20Booking%20Rejection%20Request.msg" TargetMode="External"/><Relationship Id="rId109" Type="http://schemas.openxmlformats.org/officeDocument/2006/relationships/hyperlink" Target="file:///C:\Users\Norton%20Araujo\OneDrive%20-%20ONE%20Development\Desktop\Norton-Local\Requests\Rejected%20Bookings\Booking-776%20-%20Booking%20Rejection%20Request.msg" TargetMode="External"/><Relationship Id="rId34" Type="http://schemas.openxmlformats.org/officeDocument/2006/relationships/hyperlink" Target="file:///C:\Users\Norton%20Araujo\OneDrive%20-%20ONE%20Development\Desktop\Norton-Local\Requests\Rejected%20Bookings\Booking-882%20-%20Booking%20Rejection%20Request.msg" TargetMode="External"/><Relationship Id="rId50" Type="http://schemas.openxmlformats.org/officeDocument/2006/relationships/hyperlink" Target="file:///C:\Users\Norton%20Araujo\OneDrive%20-%20ONE%20Development\Desktop\Norton-Local\Requests\Rejected%20Bookings\Booking-956%20-%20Booking%20Rejection%20Request.msg" TargetMode="External"/><Relationship Id="rId55" Type="http://schemas.openxmlformats.org/officeDocument/2006/relationships/hyperlink" Target="file:///C:\Users\Norton%20Araujo\OneDrive%20-%20ONE%20Development\Desktop\Norton-Local\Requests\Rejected%20Bookings\Booking-1477%20-%20Booking%20Rejection%20Request.msg" TargetMode="External"/><Relationship Id="rId76" Type="http://schemas.openxmlformats.org/officeDocument/2006/relationships/hyperlink" Target="file:///C:\Users\Norton%20Araujo\OneDrive%20-%20ONE%20Development\Desktop\Norton-Local\Requests\Rejected%20Bookings\Booking-1085%20-%20Booking%20Rejection%20Request.msg" TargetMode="External"/><Relationship Id="rId97" Type="http://schemas.openxmlformats.org/officeDocument/2006/relationships/hyperlink" Target="file:///C:\Users\Norton%20Araujo\OneDrive%20-%20ONE%20Development\Desktop\Norton-Local\Requests\Rejected%20Bookings\Booking-1021%20&amp;%20Booking-1022%20-%20Booking%20Rejection%20Request.msg" TargetMode="External"/><Relationship Id="rId104" Type="http://schemas.openxmlformats.org/officeDocument/2006/relationships/hyperlink" Target="file:///C:\Users\Norton%20Araujo\OneDrive%20-%20ONE%20Development\Desktop\Norton-Local\Requests\Rejected%20Bookings\Booking-966%20-%20Booking%20Rejection%20Request.msg" TargetMode="External"/><Relationship Id="rId120" Type="http://schemas.openxmlformats.org/officeDocument/2006/relationships/hyperlink" Target="file:///C:\Users\Norton%20Araujo\OneDrive%20-%20ONE%20Development\Desktop\Norton-Local\Requests\Rejected%20Bookings\Booking-1025%20-%20Booking%20Rejection%20Request.pdf" TargetMode="External"/><Relationship Id="rId125" Type="http://schemas.openxmlformats.org/officeDocument/2006/relationships/hyperlink" Target="file:///C:\Users\Norton%20Araujo\OneDrive%20-%20ONE%20Development\Desktop\Norton-Local\Requests\Rejected%20Bookings\Booking-1166%20-%20Booking%20Rejection%20Request.pdf" TargetMode="External"/><Relationship Id="rId141" Type="http://schemas.openxmlformats.org/officeDocument/2006/relationships/hyperlink" Target="file:///C:\Users\Norton%20Araujo\OneDrive%20-%20ONE%20Development\Desktop\Norton-Local\Requests\Rejected%20Bookings\Booking-1352%20-%20Booking%20Rejection%20Request.msg" TargetMode="External"/><Relationship Id="rId146" Type="http://schemas.openxmlformats.org/officeDocument/2006/relationships/printerSettings" Target="../printerSettings/printerSettings1.bin"/><Relationship Id="rId7" Type="http://schemas.openxmlformats.org/officeDocument/2006/relationships/hyperlink" Target="https://power-speed-215.lightning.force.com/lightning/r/04iJ6000000lNDMIA2/view" TargetMode="External"/><Relationship Id="rId71" Type="http://schemas.openxmlformats.org/officeDocument/2006/relationships/hyperlink" Target="file:///C:\Users\Norton%20Araujo\OneDrive%20-%20ONE%20Development\Desktop\Norton-Local\Requests\Rejected%20Bookings\Booking-1451%20-%20Booking%20Rejection%20Request.msg" TargetMode="External"/><Relationship Id="rId92" Type="http://schemas.openxmlformats.org/officeDocument/2006/relationships/hyperlink" Target="file:///C:\Users\Norton%20Araujo\OneDrive%20-%20ONE%20Development\Desktop\Norton-Local\Requests\Rejected%20Bookings\Booking-1192%20-%20Booking%20Rejection%20Request.msg" TargetMode="External"/><Relationship Id="rId2" Type="http://schemas.openxmlformats.org/officeDocument/2006/relationships/hyperlink" Target="https://power-speed-215.lightning.force.com/lightning/r/04iJ6000000lO3hIAE/view" TargetMode="External"/><Relationship Id="rId29" Type="http://schemas.openxmlformats.org/officeDocument/2006/relationships/hyperlink" Target="file:///C:\Users\Norton%20Araujo\OneDrive%20-%20ONE%20Development\Desktop\Norton-Local\Requests\Rejected%20Bookings\Booking-853%20-%20Booking%20Rejection%20Request.msg" TargetMode="External"/><Relationship Id="rId24" Type="http://schemas.openxmlformats.org/officeDocument/2006/relationships/hyperlink" Target="file:///C:\Users\Norton%20Araujo\OneDrive%20-%20ONE%20Development\Desktop\Norton-Local\Requests\Rejected%20Bookings\Booking-844%20-%20Booking%20Rejection%20Request.msg" TargetMode="External"/><Relationship Id="rId40" Type="http://schemas.openxmlformats.org/officeDocument/2006/relationships/hyperlink" Target="file:///C:\Users\Norton%20Araujo\OneDrive%20-%20ONE%20Development\Desktop\Norton-Local\Requests\Rejected%20Bookings\Booking-783%20-%20Booking%20Rejection%20Request.msg" TargetMode="External"/><Relationship Id="rId45" Type="http://schemas.openxmlformats.org/officeDocument/2006/relationships/hyperlink" Target="file:///C:\Users\Norton%20Araujo\OneDrive%20-%20ONE%20Development\Desktop\Norton-Local\Requests\Rejected%20Bookings\Booking-683%20-%20Booking%20Rejection%20Request.msg" TargetMode="External"/><Relationship Id="rId66" Type="http://schemas.openxmlformats.org/officeDocument/2006/relationships/hyperlink" Target="file:///C:\Users\Norton%20Araujo\OneDrive%20-%20ONE%20Development\Desktop\Norton-Local\Requests\Rejected%20Bookings\Booking-1254%20-%20Booking%20Rejection%20Request.msg" TargetMode="External"/><Relationship Id="rId87" Type="http://schemas.openxmlformats.org/officeDocument/2006/relationships/hyperlink" Target="file:///C:\Users\Norton%20Araujo\OneDrive%20-%20ONE%20Development\Desktop\Norton-Local\Requests\Rejected%20Bookings\Booking-950%20-%20Booking%20Rejection%20Request.msg" TargetMode="External"/><Relationship Id="rId110" Type="http://schemas.openxmlformats.org/officeDocument/2006/relationships/hyperlink" Target="file:///C:\Users\Norton%20Araujo\OneDrive%20-%20ONE%20Development\Desktop\Norton-Local\Requests\Rejected%20Bookings\Booking-1084%20-%20Booking%20Rejection%20Request.msg" TargetMode="External"/><Relationship Id="rId115" Type="http://schemas.openxmlformats.org/officeDocument/2006/relationships/hyperlink" Target="file:///C:\Users\Norton%20Araujo\OneDrive%20-%20ONE%20Development\Desktop\Norton-Local\Requests\Rejected%20Bookings\Booking-1147%20-%20Booking%20Rejection%20Request.msg" TargetMode="External"/><Relationship Id="rId131" Type="http://schemas.openxmlformats.org/officeDocument/2006/relationships/hyperlink" Target="file:///C:\Users\Norton%20Araujo\OneDrive%20-%20ONE%20Development\Desktop\Norton-Local\Requests\Rejected%20Bookings\Booking-1020%20-%20Booking%20Rejection%20Request.msg" TargetMode="External"/><Relationship Id="rId136" Type="http://schemas.openxmlformats.org/officeDocument/2006/relationships/hyperlink" Target="file:///C:\Users\Norton%20Araujo\OneDrive%20-%20ONE%20Development\Desktop\Norton-Local\Requests\Rejected%20Bookings\Booking-443%20-%20Booking%20Rejection%20Request.msg" TargetMode="External"/><Relationship Id="rId61" Type="http://schemas.openxmlformats.org/officeDocument/2006/relationships/hyperlink" Target="file:///C:\Users\Norton%20Araujo\OneDrive%20-%20ONE%20Development\Desktop\Norton-Local\Requests\Rejected%20Bookings\Booking-1420%20-%20Booking%20Rejection%20Request.msg" TargetMode="External"/><Relationship Id="rId82" Type="http://schemas.openxmlformats.org/officeDocument/2006/relationships/hyperlink" Target="file:///C:\Users\Norton%20Araujo\OneDrive%20-%20ONE%20Development\Desktop\Norton-Local\Requests\Rejected%20Bookings\Booking-1231%20-%20Booking%20Rejection%20Request.pdf" TargetMode="External"/><Relationship Id="rId19" Type="http://schemas.openxmlformats.org/officeDocument/2006/relationships/hyperlink" Target="file:///C:\Users\Norton%20Araujo\OneDrive%20-%20ONE%20Development\Desktop\Norton-Local\Requests\Rejected%20Bookings\Booking-734%20&amp;%20Booking-735%20-%20Booking%20Rejection%20Request.msg" TargetMode="External"/><Relationship Id="rId14" Type="http://schemas.openxmlformats.org/officeDocument/2006/relationships/hyperlink" Target="file:///C:\Users\Norton%20Araujo\OneDrive%20-%20ONE%20Development\Desktop\Norton-Local\Requests\Rejected%20Bookings\Booking-1428%20-%20Booking%20Rejection%20Request.msg" TargetMode="External"/><Relationship Id="rId30" Type="http://schemas.openxmlformats.org/officeDocument/2006/relationships/hyperlink" Target="file:///C:\Users\Norton%20Araujo\OneDrive%20-%20ONE%20Development\Desktop\Norton-Local\Requests\Rejected%20Bookings\Booking-874%20-%20Booking%20Rejection%20Request.msg" TargetMode="External"/><Relationship Id="rId35" Type="http://schemas.openxmlformats.org/officeDocument/2006/relationships/hyperlink" Target="file:///C:\Users\Norton%20Araujo\OneDrive%20-%20ONE%20Development\Desktop\Norton-Local\Requests\Rejected%20Bookings\Booking-879%20-%20Booking%20Rejection%20Request.msg" TargetMode="External"/><Relationship Id="rId56" Type="http://schemas.openxmlformats.org/officeDocument/2006/relationships/hyperlink" Target="file:///C:\Users\Norton%20Araujo\OneDrive%20-%20ONE%20Development\Desktop\Norton-Local\Requests\Rejected%20Bookings\Booking-1425%20-%20Booking%20Rejection%20Request.msg" TargetMode="External"/><Relationship Id="rId77" Type="http://schemas.openxmlformats.org/officeDocument/2006/relationships/hyperlink" Target="file:///C:\Users\Norton%20Araujo\OneDrive%20-%20ONE%20Development\Desktop\Norton-Local\Requests\Rejected%20Bookings\Booking-1111%20-%20Booking%20Rejection%20Request.msg" TargetMode="External"/><Relationship Id="rId100" Type="http://schemas.openxmlformats.org/officeDocument/2006/relationships/hyperlink" Target="file:///C:\Users\Norton%20Araujo\OneDrive%20-%20ONE%20Development\Desktop\Norton-Local\Requests\Rejected%20Bookings\Booking-1050%20-%20Booking%20Rejection%20Request.msg" TargetMode="External"/><Relationship Id="rId105" Type="http://schemas.openxmlformats.org/officeDocument/2006/relationships/hyperlink" Target="file:///C:\Users\Norton%20Araujo\OneDrive%20-%20ONE%20Development\Desktop\Norton-Local\Requests\Rejected%20Bookings\Booking-986%20-%20Booking%20Rejection%20Request.msg" TargetMode="External"/><Relationship Id="rId126" Type="http://schemas.openxmlformats.org/officeDocument/2006/relationships/hyperlink" Target="file:///C:\Users\Norton%20Araujo\OneDrive%20-%20ONE%20Development\Desktop\Norton-Local\Requests\Rejected%20Bookings\Booking-970%20-%20Booking%20Rejection%20Request.msg" TargetMode="External"/><Relationship Id="rId147" Type="http://schemas.openxmlformats.org/officeDocument/2006/relationships/drawing" Target="../drawings/drawing1.xml"/><Relationship Id="rId8" Type="http://schemas.openxmlformats.org/officeDocument/2006/relationships/hyperlink" Target="https://power-speed-215.lightning.force.com/lightning/r/04iJ6000000lMpFIAU/view" TargetMode="External"/><Relationship Id="rId51" Type="http://schemas.openxmlformats.org/officeDocument/2006/relationships/hyperlink" Target="file:///C:\Users\Norton%20Araujo\OneDrive%20-%20ONE%20Development\Desktop\Norton-Local\Requests\Rejected%20Bookings\Booking-1030%20-%20Booking%20Rejection%20Request.msg" TargetMode="External"/><Relationship Id="rId72" Type="http://schemas.openxmlformats.org/officeDocument/2006/relationships/hyperlink" Target="file:///C:\Users\Norton%20Araujo\OneDrive%20-%20ONE%20Development\Desktop\Norton-Local\Requests\Rejected%20Bookings\Booking-1406%20-%20Booking%20Rejection%20Request.msg" TargetMode="External"/><Relationship Id="rId93" Type="http://schemas.openxmlformats.org/officeDocument/2006/relationships/hyperlink" Target="file:///C:\Users\Norton%20Araujo\OneDrive%20-%20ONE%20Development\Desktop\Norton-Local\Requests\Rejected%20Bookings\Booking-1181%20-%20Booking%20Rejection%20Request.msg" TargetMode="External"/><Relationship Id="rId98" Type="http://schemas.openxmlformats.org/officeDocument/2006/relationships/hyperlink" Target="file:///C:\Users\Norton%20Araujo\OneDrive%20-%20ONE%20Development\Desktop\Norton-Local\Requests\Rejected%20Bookings\Booking-1021%20&amp;%20Booking-1022%20-%20Booking%20Rejection%20Request.msg" TargetMode="External"/><Relationship Id="rId121" Type="http://schemas.openxmlformats.org/officeDocument/2006/relationships/hyperlink" Target="file:///C:\Users\Norton%20Araujo\OneDrive%20-%20ONE%20Development\Desktop\Norton-Local\Requests\Rejected%20Bookings\Booking-1167%20-%20Booking%20Rejection%20Request.pdf" TargetMode="External"/><Relationship Id="rId142" Type="http://schemas.openxmlformats.org/officeDocument/2006/relationships/hyperlink" Target="file:///C:\Users\Norton%20Araujo\OneDrive%20-%20ONE%20Development\Desktop\Norton-Local\Requests\Rejected%20Bookings\Booking-1255%20-%20Booking%20Rejection%20Request.pdf" TargetMode="External"/><Relationship Id="rId3" Type="http://schemas.openxmlformats.org/officeDocument/2006/relationships/hyperlink" Target="https://power-speed-215.lightning.force.com/lightning/r/04iJ6000000lNgnIAE/view" TargetMode="External"/><Relationship Id="rId25" Type="http://schemas.openxmlformats.org/officeDocument/2006/relationships/hyperlink" Target="file:///C:\Users\Norton%20Araujo\OneDrive%20-%20ONE%20Development\Desktop\Norton-Local\Requests\Rejected%20Bookings\Booking-865%20-%20Booking%20Rejection%20Request.msg" TargetMode="External"/><Relationship Id="rId46" Type="http://schemas.openxmlformats.org/officeDocument/2006/relationships/hyperlink" Target="file:///C:\Users\Norton%20Araujo\OneDrive%20-%20ONE%20Development\Desktop\Norton-Local\Requests\Rejected%20Bookings\Booking-851%20-%20Booking%20Rejection%20Request.msg" TargetMode="External"/><Relationship Id="rId67" Type="http://schemas.openxmlformats.org/officeDocument/2006/relationships/hyperlink" Target="file:///C:\Users\Norton%20Araujo\OneDrive%20-%20ONE%20Development\Desktop\Norton-Local\Requests\Rejected%20Bookings\Booking-1253%20-%20Booking%20Rejection%20Request.msg" TargetMode="External"/><Relationship Id="rId116" Type="http://schemas.openxmlformats.org/officeDocument/2006/relationships/hyperlink" Target="file:///C:\Users\Norton%20Araujo\OneDrive%20-%20ONE%20Development\Desktop\Norton-Local\Requests\Rejected%20Bookings\Booking-1129%20-%20Booking%20Rejection%20Request.msg" TargetMode="External"/><Relationship Id="rId137" Type="http://schemas.openxmlformats.org/officeDocument/2006/relationships/hyperlink" Target="file:///C:\Users\Norton%20Araujo\OneDrive%20-%20ONE%20Development\Desktop\Norton-Local\Requests\Rejected%20Bookings\Booking-1212%20-%20Booking%20Rejection%20Request.msg" TargetMode="External"/><Relationship Id="rId20" Type="http://schemas.openxmlformats.org/officeDocument/2006/relationships/hyperlink" Target="file:///C:\Users\Norton%20Araujo\OneDrive%20-%20ONE%20Development\Desktop\Norton-Local\Requests\Rejected%20Bookings\Booking-786%20-%20Booking%20Rejection%20Request.msg" TargetMode="External"/><Relationship Id="rId41" Type="http://schemas.openxmlformats.org/officeDocument/2006/relationships/hyperlink" Target="file:///C:\Users\Norton%20Araujo\OneDrive%20-%20ONE%20Development\Desktop\Norton-Local\Requests\Rejected%20Bookings\Booking-774%20-%20Booking%20Rejection%20Request.msg" TargetMode="External"/><Relationship Id="rId62" Type="http://schemas.openxmlformats.org/officeDocument/2006/relationships/hyperlink" Target="file:///C:\Users\Norton%20Araujo\OneDrive%20-%20ONE%20Development\Desktop\Norton-Local\Requests\Rejected%20Bookings\Booking-1462%20-%20Booking%20Rejection%20Request.msg" TargetMode="External"/><Relationship Id="rId83" Type="http://schemas.openxmlformats.org/officeDocument/2006/relationships/hyperlink" Target="file:///C:\Users\Norton%20Araujo\OneDrive%20-%20ONE%20Development\Desktop\Norton-Local\Requests\Rejected%20Bookings\Booking-864%20-%20Booking%20Rejection%20Request.pdf" TargetMode="External"/><Relationship Id="rId88" Type="http://schemas.openxmlformats.org/officeDocument/2006/relationships/hyperlink" Target="file:///C:\Users\Norton%20Araujo\OneDrive%20-%20ONE%20Development\Desktop\Norton-Local\Requests\Rejected%20Bookings\Booking-1100%20-%20Booking%20Rejection%20Request.msg" TargetMode="External"/><Relationship Id="rId111" Type="http://schemas.openxmlformats.org/officeDocument/2006/relationships/hyperlink" Target="file:///C:\Users\Norton%20Araujo\OneDrive%20-%20ONE%20Development\Desktop\Norton-Local\Requests\Rejected%20Bookings\Booking-1078%20-%20Booking%20Rejection%20Request.pdf" TargetMode="External"/><Relationship Id="rId132" Type="http://schemas.openxmlformats.org/officeDocument/2006/relationships/hyperlink" Target="file:///C:\Users\Norton%20Araujo\OneDrive%20-%20ONE%20Development\Desktop\Norton-Local\Requests\Rejected%20Bookings\Booking-987%20-%20Booking%20Rejection%20Request.msg" TargetMode="External"/><Relationship Id="rId15" Type="http://schemas.openxmlformats.org/officeDocument/2006/relationships/hyperlink" Target="file:///C:\Users\Norton%20Araujo\OneDrive%20-%20ONE%20Development\Desktop\Norton-Local\Requests\Rejected%20Bookings\Booking-208%20-%20Booking%20Rejection%20Request.msg" TargetMode="External"/><Relationship Id="rId36" Type="http://schemas.openxmlformats.org/officeDocument/2006/relationships/hyperlink" Target="file:///C:\Users\Norton%20Araujo\OneDrive%20-%20ONE%20Development\Desktop\Norton-Local\Requests\Rejected%20Bookings\Booking-935%20-%20Booking%20Rejection%20Request.msg" TargetMode="External"/><Relationship Id="rId57" Type="http://schemas.openxmlformats.org/officeDocument/2006/relationships/hyperlink" Target="file:///C:\Users\Norton%20Araujo\OneDrive%20-%20ONE%20Development\Desktop\Norton-Local\Requests\Rejected%20Bookings\Booking-1250%20-%20Booking%20Rejection%20Request.msg" TargetMode="External"/><Relationship Id="rId106" Type="http://schemas.openxmlformats.org/officeDocument/2006/relationships/hyperlink" Target="file:///C:\Users\Norton%20Araujo\OneDrive%20-%20ONE%20Development\Desktop\Norton-Local\Requests\Rejected%20Bookings\Booking-989%20-%20Booking%20Rejection%20Request.msg" TargetMode="External"/><Relationship Id="rId127" Type="http://schemas.openxmlformats.org/officeDocument/2006/relationships/hyperlink" Target="file:///C:\Users\Norton%20Araujo\OneDrive%20-%20ONE%20Development\Desktop\Norton-Local\Requests\Rejected%20Bookings\Booking-988%20-%20Booking%20Rejection%20Request.msg" TargetMode="External"/><Relationship Id="rId10" Type="http://schemas.openxmlformats.org/officeDocument/2006/relationships/hyperlink" Target="https://power-speed-215.lightning.force.com/lightning/r/04iJ6000000lNDWIA2/view" TargetMode="External"/><Relationship Id="rId31" Type="http://schemas.openxmlformats.org/officeDocument/2006/relationships/hyperlink" Target="file:///C:\Users\Norton%20Araujo\OneDrive%20-%20ONE%20Development\Desktop\Norton-Local\Requests\Rejected%20Bookings\Booking-968%20-%20Booking%20Rejection%20Request.msg" TargetMode="External"/><Relationship Id="rId52" Type="http://schemas.openxmlformats.org/officeDocument/2006/relationships/hyperlink" Target="file:///C:\Users\Norton%20Araujo\OneDrive%20-%20ONE%20Development\Desktop\Norton-Local\Requests\Rejected%20Bookings\Booking-1491%20-%20Booking%20Rejection%20Request.msg" TargetMode="External"/><Relationship Id="rId73" Type="http://schemas.openxmlformats.org/officeDocument/2006/relationships/hyperlink" Target="file:///C:\Users\Norton%20Araujo\OneDrive%20-%20ONE%20Development\Desktop\Norton-Local\Requests\Rejected%20Bookings\Booking-1446%20-%20Booking%20Rejection%20Request.msg" TargetMode="External"/><Relationship Id="rId78" Type="http://schemas.openxmlformats.org/officeDocument/2006/relationships/hyperlink" Target="file:///C:\Users\Norton%20Araujo\OneDrive%20-%20ONE%20Development\Desktop\Norton-Local\Requests\Rejected%20Bookings\Booking-1226%20-%20Booking%20Rejection%20Request.pdf" TargetMode="External"/><Relationship Id="rId94" Type="http://schemas.openxmlformats.org/officeDocument/2006/relationships/hyperlink" Target="file:///C:\Users\Norton%20Araujo\OneDrive%20-%20ONE%20Development\Desktop\Norton-Local\Requests\Rejected%20Bookings\Booking%20973%20-%20Booking%20Rejection%20Request.msg" TargetMode="External"/><Relationship Id="rId99" Type="http://schemas.openxmlformats.org/officeDocument/2006/relationships/hyperlink" Target="file:///C:\Users\Norton%20Araujo\OneDrive%20-%20ONE%20Development\Desktop\Norton-Local\Requests\Rejected%20Bookings\Booking-1040%20-%20Booking%20Rejection%20Request.msg" TargetMode="External"/><Relationship Id="rId101" Type="http://schemas.openxmlformats.org/officeDocument/2006/relationships/hyperlink" Target="file:///C:\Users\Norton%20Araujo\OneDrive%20-%20ONE%20Development\Desktop\Norton-Local\Requests\Rejected%20Bookings\Booking-1015%20-%20Booking%20Rejection%20Request.pdf" TargetMode="External"/><Relationship Id="rId122" Type="http://schemas.openxmlformats.org/officeDocument/2006/relationships/hyperlink" Target="file:///C:\Users\Norton%20Araujo\OneDrive%20-%20ONE%20Development\Desktop\Norton-Local\Requests\Rejected%20Bookings\Booking-1173%20-%20Booking%20Rejection%20Request.msg" TargetMode="External"/><Relationship Id="rId143" Type="http://schemas.openxmlformats.org/officeDocument/2006/relationships/hyperlink" Target="file:///C:\Users\Norton%20Araujo\OneDrive%20-%20ONE%20Development\Desktop\Norton-Local\Requests\Rejected%20Bookings\Booking-1502%20-%20Booking%20Rejection%20Request.msg" TargetMode="External"/><Relationship Id="rId148" Type="http://schemas.openxmlformats.org/officeDocument/2006/relationships/vmlDrawing" Target="../drawings/vmlDrawing1.vml"/><Relationship Id="rId4" Type="http://schemas.openxmlformats.org/officeDocument/2006/relationships/hyperlink" Target="https://power-speed-215.lightning.force.com/lightning/r/04iJ6000000lNgiIAE/view" TargetMode="External"/><Relationship Id="rId9" Type="http://schemas.openxmlformats.org/officeDocument/2006/relationships/hyperlink" Target="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TargetMode="External"/><Relationship Id="rId26" Type="http://schemas.openxmlformats.org/officeDocument/2006/relationships/hyperlink" Target="file:///C:\Users\Norton%20Araujo\OneDrive%20-%20ONE%20Development\Desktop\Norton-Local\Requests\Rejected%20Bookings\Booking-726%20-%20Booking%20Rejection%20Request.msg" TargetMode="External"/><Relationship Id="rId47" Type="http://schemas.openxmlformats.org/officeDocument/2006/relationships/hyperlink" Target="file:///C:\Users\Norton%20Araujo\OneDrive%20-%20ONE%20Development\Desktop\Norton-Local\Requests\Rejected%20Bookings\Booking-700%20&amp;%20701%20-%20Booking%20Rejection%20Request%20(1).msg" TargetMode="External"/><Relationship Id="rId68" Type="http://schemas.openxmlformats.org/officeDocument/2006/relationships/hyperlink" Target="file:///C:\Users\Norton%20Araujo\OneDrive%20-%20ONE%20Development\Desktop\Norton-Local\Requests\Rejected%20Bookings\Booking-1252%20-%20Booking%20Rejection%20Request.msg" TargetMode="External"/><Relationship Id="rId89" Type="http://schemas.openxmlformats.org/officeDocument/2006/relationships/hyperlink" Target="file:///C:\Users\Norton%20Araujo\OneDrive%20-%20ONE%20Development\Desktop\Norton-Local\Requests\Rejected%20Bookings\Booking-1162%20-%20Booking%20Rejection%20Request.msg" TargetMode="External"/><Relationship Id="rId112" Type="http://schemas.openxmlformats.org/officeDocument/2006/relationships/hyperlink" Target="file:///C:\Users\Norton%20Araujo\OneDrive%20-%20ONE%20Development\Desktop\Norton-Local\Requests\Rejected%20Bookings\Booking-1108%20-%20Booking%20Rejection%20Request.msg" TargetMode="External"/><Relationship Id="rId133" Type="http://schemas.openxmlformats.org/officeDocument/2006/relationships/hyperlink" Target="file:///C:\Users\Norton%20Araujo\OneDrive%20-%20ONE%20Development\Desktop\Norton-Local\Requests\Rejected%20Bookings\Booking-1010%20-%20Booking%20Rejection%20Request.msg" TargetMode="External"/><Relationship Id="rId16" Type="http://schemas.openxmlformats.org/officeDocument/2006/relationships/hyperlink" Target="file:///C:\Users\Norton%20Araujo\OneDrive%20-%20ONE%20Development\Desktop\Norton-Local\Requests\Rejected%20Bookings\Booking-541%20-%20Booking%20Rejection%20Request.msg" TargetMode="External"/><Relationship Id="rId37" Type="http://schemas.openxmlformats.org/officeDocument/2006/relationships/hyperlink" Target="file:///C:\Users\Norton%20Araujo\OneDrive%20-%20ONE%20Development\Desktop\Norton-Local\Requests\Rejected%20Bookings\Booking-971%20-%20Booking%20Rejection%20Request.msg" TargetMode="External"/><Relationship Id="rId58" Type="http://schemas.openxmlformats.org/officeDocument/2006/relationships/hyperlink" Target="file:///C:\Users\Norton%20Araujo\OneDrive%20-%20ONE%20Development\Desktop\Norton-Local\Requests\Rejected%20Bookings\Booking-1461%20-%20Booking%20Rejection%20Request.msg" TargetMode="External"/><Relationship Id="rId79" Type="http://schemas.openxmlformats.org/officeDocument/2006/relationships/hyperlink" Target="file:///C:\Users\Norton%20Araujo\OneDrive%20-%20ONE%20Development\Desktop\Norton-Local\Requests\Rejected%20Bookings\Booking-951%20-%20Booking%20Rejection%20Request.msg" TargetMode="External"/><Relationship Id="rId102" Type="http://schemas.openxmlformats.org/officeDocument/2006/relationships/hyperlink" Target="file:///C:\Users\Norton%20Araujo\OneDrive%20-%20ONE%20Development\Desktop\Norton-Local\Requests\Rejected%20Bookings\Booking-1016%20-%20Booking%20Rejection%20Request.pdf" TargetMode="External"/><Relationship Id="rId123" Type="http://schemas.openxmlformats.org/officeDocument/2006/relationships/hyperlink" Target="file:///C:\Users\Norton%20Araujo\OneDrive%20-%20ONE%20Development\Desktop\Norton-Local\Requests\Rejected%20Bookings\Booking-1174%20-%20Booking%20Rejection%20Request.msg" TargetMode="External"/><Relationship Id="rId144" Type="http://schemas.openxmlformats.org/officeDocument/2006/relationships/hyperlink" Target="file:///C:\Users\Norton%20Araujo\OneDrive%20-%20ONE%20Development\Desktop\Norton-Local\Requests\Rejected%20Bookings\Booking-1445%20-%20Booking%20Rejection%20Request.msg" TargetMode="External"/><Relationship Id="rId90" Type="http://schemas.openxmlformats.org/officeDocument/2006/relationships/hyperlink" Target="file:///C:\Users\Norton%20Araujo\OneDrive%20-%20ONE%20Development\Desktop\Norton-Local\Requests\Rejected%20Bookings\Booking-1171%20-%20Booking%20Rejection%20Request.msg" TargetMode="Externa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5F9FF-1D56-477D-ABC7-7B53BE9234C2}">
  <dimension ref="B1:AF140"/>
  <sheetViews>
    <sheetView showGridLines="0" tabSelected="1" zoomScale="85" zoomScaleNormal="85" workbookViewId="0">
      <selection activeCell="E6" sqref="E6"/>
    </sheetView>
  </sheetViews>
  <sheetFormatPr defaultRowHeight="16.5" x14ac:dyDescent="0.3"/>
  <cols>
    <col min="1" max="1" width="4.375" customWidth="1"/>
    <col min="2" max="2" width="14.875" bestFit="1" customWidth="1"/>
    <col min="3" max="3" width="17.75" bestFit="1" customWidth="1"/>
    <col min="4" max="4" width="17.75" customWidth="1"/>
    <col min="5" max="6" width="17.375" bestFit="1" customWidth="1"/>
    <col min="7" max="7" width="16.125" bestFit="1" customWidth="1"/>
    <col min="8" max="8" width="10.375" bestFit="1" customWidth="1"/>
    <col min="9" max="9" width="16" bestFit="1" customWidth="1"/>
    <col min="10" max="10" width="14.375" bestFit="1" customWidth="1"/>
    <col min="11" max="11" width="13.5" bestFit="1" customWidth="1"/>
    <col min="12" max="12" width="12.125" bestFit="1" customWidth="1"/>
    <col min="13" max="13" width="22.125" bestFit="1" customWidth="1"/>
    <col min="14" max="14" width="17.5" bestFit="1" customWidth="1"/>
    <col min="15" max="15" width="45.125" bestFit="1" customWidth="1"/>
    <col min="16" max="16" width="20" bestFit="1" customWidth="1"/>
    <col min="17" max="17" width="19.375" bestFit="1" customWidth="1"/>
    <col min="18" max="18" width="19.375" customWidth="1"/>
    <col min="19" max="19" width="29.625" bestFit="1" customWidth="1"/>
    <col min="20" max="20" width="20.75" bestFit="1" customWidth="1"/>
    <col min="21" max="21" width="21.75" bestFit="1" customWidth="1"/>
    <col min="22" max="22" width="75.125" bestFit="1" customWidth="1"/>
    <col min="23" max="23" width="15.875" bestFit="1" customWidth="1"/>
    <col min="24" max="24" width="12.375" bestFit="1" customWidth="1"/>
    <col min="25" max="25" width="26.125" bestFit="1" customWidth="1"/>
    <col min="26" max="26" width="17" bestFit="1" customWidth="1"/>
    <col min="27" max="27" width="7.125" bestFit="1" customWidth="1"/>
    <col min="28" max="28" width="11.25" bestFit="1" customWidth="1"/>
    <col min="29" max="29" width="64.375" bestFit="1" customWidth="1"/>
    <col min="30" max="30" width="37.25" bestFit="1" customWidth="1"/>
    <col min="31" max="31" width="68.125" bestFit="1" customWidth="1"/>
    <col min="32" max="32" width="66.625" bestFit="1" customWidth="1"/>
  </cols>
  <sheetData>
    <row r="1" spans="2:32" x14ac:dyDescent="0.3">
      <c r="B1" s="102" t="s">
        <v>222</v>
      </c>
      <c r="C1" s="102" t="s">
        <v>0</v>
      </c>
      <c r="D1" s="102" t="s">
        <v>272</v>
      </c>
      <c r="E1" s="103" t="s">
        <v>1</v>
      </c>
      <c r="F1" s="103" t="s">
        <v>2</v>
      </c>
      <c r="G1" s="103" t="s">
        <v>3</v>
      </c>
      <c r="H1" s="103" t="s">
        <v>4</v>
      </c>
      <c r="I1" s="103" t="s">
        <v>5</v>
      </c>
      <c r="J1" s="103" t="s">
        <v>6</v>
      </c>
      <c r="K1" s="103" t="s">
        <v>7</v>
      </c>
      <c r="L1" s="103" t="s">
        <v>8</v>
      </c>
      <c r="M1" s="103" t="s">
        <v>9</v>
      </c>
      <c r="N1" s="103" t="s">
        <v>10</v>
      </c>
      <c r="O1" s="103" t="s">
        <v>11</v>
      </c>
      <c r="P1" s="103" t="s">
        <v>12</v>
      </c>
      <c r="Q1" s="103" t="s">
        <v>13</v>
      </c>
      <c r="R1" s="103" t="s">
        <v>83</v>
      </c>
      <c r="S1" s="103" t="s">
        <v>14</v>
      </c>
      <c r="T1" s="103" t="s">
        <v>15</v>
      </c>
      <c r="U1" s="103" t="s">
        <v>16</v>
      </c>
      <c r="V1" s="103" t="s">
        <v>17</v>
      </c>
      <c r="W1" s="103" t="s">
        <v>18</v>
      </c>
      <c r="X1" s="103" t="s">
        <v>19</v>
      </c>
      <c r="Y1" s="103" t="s">
        <v>66</v>
      </c>
      <c r="Z1" s="102" t="s">
        <v>20</v>
      </c>
      <c r="AA1" s="102" t="s">
        <v>21</v>
      </c>
      <c r="AB1" s="102" t="s">
        <v>22</v>
      </c>
      <c r="AC1" s="102" t="s">
        <v>23</v>
      </c>
      <c r="AD1" s="102" t="s">
        <v>51</v>
      </c>
      <c r="AE1" s="102" t="s">
        <v>86</v>
      </c>
      <c r="AF1" s="102" t="s">
        <v>90</v>
      </c>
    </row>
    <row r="2" spans="2:32" ht="50.25" customHeight="1" x14ac:dyDescent="0.3">
      <c r="B2" s="106" t="s">
        <v>230</v>
      </c>
      <c r="C2" s="2">
        <v>46052</v>
      </c>
      <c r="D2" s="2">
        <f>_xlfn.XLOOKUP(E2,[1]!Bookings[Booking Name],[1]!Bookings[Rejected Date])</f>
        <v>0</v>
      </c>
      <c r="E2" s="112" t="s">
        <v>965</v>
      </c>
      <c r="F2" s="76" t="str">
        <f>_xlfn.XLOOKUP(E2,[1]!Bookings[Booking Name],[1]!Bookings[Booking Status])</f>
        <v>Draft</v>
      </c>
      <c r="G2" s="2">
        <f>_xlfn.XLOOKUP(E2,[1]!Bookings[Booking Name],[1]!Bookings[Booking Date])</f>
        <v>46042</v>
      </c>
      <c r="H2" s="3">
        <f>_xlfn.XLOOKUP(E2,[1]!Bookings[Booking Name],[1]!Bookings[Booking Aging])</f>
        <v>10</v>
      </c>
      <c r="I2" s="2" t="str">
        <f>_xlfn.XLOOKUP(E2,[1]!Bookings[Booking Name],[1]!Bookings[Project Name])</f>
        <v>One Residence</v>
      </c>
      <c r="J2" s="2" t="str">
        <f>_xlfn.XLOOKUP(E2,[1]!Bookings[Booking Name],[1]!Bookings[Building])</f>
        <v>Tower 1</v>
      </c>
      <c r="K2" s="2" t="str">
        <f>_xlfn.XLOOKUP(E2,[1]!Bookings[Booking Name],[1]!Bookings[Bedrooms])</f>
        <v>1 BR</v>
      </c>
      <c r="L2" s="2" t="str">
        <f>_xlfn.XLOOKUP(E2,[1]!Bookings[Booking Name],[1]!Bookings[Unit No.])</f>
        <v>OR-301</v>
      </c>
      <c r="M2" s="36" t="str">
        <f>_xlfn.XLOOKUP(E2,[1]!Bookings[Booking Name],[1]!Bookings[Inventory Unit Status])</f>
        <v>Booked</v>
      </c>
      <c r="N2" s="2" t="str">
        <f>_xlfn.XLOOKUP(E2,[1]!Bookings[Booking Name],[1]!Bookings[Booking Status])</f>
        <v>Draft</v>
      </c>
      <c r="O2" s="52" t="str">
        <f>_xlfn.XLOOKUP(E2,[1]!Bookings[Booking Name],[1]!Bookings[Customer Name])</f>
        <v>Suwaidan Saeed Khalfan Hdairem Alketbi</v>
      </c>
      <c r="P2" s="2" t="str">
        <f>_xlfn.XLOOKUP(E2,[1]!Bookings[Booking Name],[1]!Bookings[Nationality])</f>
        <v>United Arab Emirates</v>
      </c>
      <c r="Q2" s="4">
        <f>_xlfn.XLOOKUP(E2,[1]!Bookings[Booking Name],[1]!Bookings[Discount Amount])</f>
        <v>0</v>
      </c>
      <c r="R2" s="27">
        <f>_xlfn.XLOOKUP(E2,[1]!Bookings[Booking Name],[1]!Bookings[Discount Percentage])</f>
        <v>0</v>
      </c>
      <c r="S2" s="4">
        <f>_xlfn.XLOOKUP(E2,[1]!Bookings[Booking Name],[1]!Bookings[Final Sale Value After Discount])</f>
        <v>2201111</v>
      </c>
      <c r="T2" s="4">
        <f>_xlfn.XLOOKUP(E2,[1]!Bookings[Booking Name],[1]!Bookings[Inv Final Sale Value])</f>
        <v>2201111</v>
      </c>
      <c r="U2" s="34" t="str">
        <f>_xlfn.XLOOKUP(E2,[1]!Bookings[Booking Name],[1]!Bookings[Sales])</f>
        <v>Zarina Avdalian</v>
      </c>
      <c r="V2" s="34" t="str">
        <f>_xlfn.XLOOKUP(E2,[1]!Bookings[Booking Name],[1]!Bookings[Agency Name])</f>
        <v>SMART ADVISOR FOR REALESTATE LLC-SPC</v>
      </c>
      <c r="W2" s="34" t="str">
        <f>_xlfn.XLOOKUP(E2,[1]!Bookings[Booking Name],[1]!Bookings[Booking ID])</f>
        <v>a03NM00000TtH4L</v>
      </c>
      <c r="X2" s="34" t="str">
        <f>_xlfn.XLOOKUP(E2,[1]!Bookings[Booking Name],[1]!Bookings[Oracle Id])</f>
        <v>-</v>
      </c>
      <c r="Y2" s="34"/>
      <c r="Z2" s="5" t="s">
        <v>25</v>
      </c>
      <c r="AA2" s="6">
        <v>0</v>
      </c>
      <c r="AB2" s="81" t="s">
        <v>26</v>
      </c>
      <c r="AC2" s="12" t="s">
        <v>287</v>
      </c>
      <c r="AD2" s="107" t="s">
        <v>976</v>
      </c>
      <c r="AE2" s="105" t="s">
        <v>32</v>
      </c>
      <c r="AF2" s="29" t="s">
        <v>97</v>
      </c>
    </row>
    <row r="3" spans="2:32" ht="50.25" customHeight="1" x14ac:dyDescent="0.3">
      <c r="B3" s="106" t="s">
        <v>230</v>
      </c>
      <c r="C3" s="2">
        <v>46051</v>
      </c>
      <c r="D3" s="2">
        <f>_xlfn.XLOOKUP(E3,[1]!Bookings[Booking Name],[1]!Bookings[Rejected Date])</f>
        <v>46052</v>
      </c>
      <c r="E3" s="112" t="s">
        <v>963</v>
      </c>
      <c r="F3" s="76" t="str">
        <f>_xlfn.XLOOKUP(E3,[1]!Bookings[Booking Name],[1]!Bookings[Booking Status])</f>
        <v>Rejected</v>
      </c>
      <c r="G3" s="2">
        <f>_xlfn.XLOOKUP(E3,[1]!Bookings[Booking Name],[1]!Bookings[Booking Date])</f>
        <v>46035</v>
      </c>
      <c r="H3" s="3">
        <f>_xlfn.XLOOKUP(E3,[1]!Bookings[Booking Name],[1]!Bookings[Booking Aging])</f>
        <v>17</v>
      </c>
      <c r="I3" s="2" t="str">
        <f>_xlfn.XLOOKUP(E3,[1]!Bookings[Booking Name],[1]!Bookings[Project Name])</f>
        <v>One Residence</v>
      </c>
      <c r="J3" s="2" t="str">
        <f>_xlfn.XLOOKUP(E3,[1]!Bookings[Booking Name],[1]!Bookings[Building])</f>
        <v>Tower 1</v>
      </c>
      <c r="K3" s="2" t="str">
        <f>_xlfn.XLOOKUP(E3,[1]!Bookings[Booking Name],[1]!Bookings[Bedrooms])</f>
        <v>1 BR</v>
      </c>
      <c r="L3" s="2" t="str">
        <f>_xlfn.XLOOKUP(E3,[1]!Bookings[Booking Name],[1]!Bookings[Unit No.])</f>
        <v>OR-503</v>
      </c>
      <c r="M3" s="36" t="str">
        <f>_xlfn.XLOOKUP(E3,[1]!Bookings[Booking Name],[1]!Bookings[Inventory Unit Status])</f>
        <v>Booked</v>
      </c>
      <c r="N3" s="2" t="str">
        <f>_xlfn.XLOOKUP(E3,[1]!Bookings[Booking Name],[1]!Bookings[Booking Status])</f>
        <v>Rejected</v>
      </c>
      <c r="O3" s="52" t="str">
        <f>_xlfn.XLOOKUP(E3,[1]!Bookings[Booking Name],[1]!Bookings[Customer Name])</f>
        <v>Hussain Abdalla Hussain Mohamed Sajwani</v>
      </c>
      <c r="P3" s="2" t="str">
        <f>_xlfn.XLOOKUP(E3,[1]!Bookings[Booking Name],[1]!Bookings[Nationality])</f>
        <v>United Arab Emirates</v>
      </c>
      <c r="Q3" s="4">
        <f>_xlfn.XLOOKUP(E3,[1]!Bookings[Booking Name],[1]!Bookings[Discount Amount])</f>
        <v>82889</v>
      </c>
      <c r="R3" s="27">
        <f>_xlfn.XLOOKUP(E3,[1]!Bookings[Booking Name],[1]!Bookings[Discount Percentage])</f>
        <v>5.1805625000000001E-2</v>
      </c>
      <c r="S3" s="4">
        <f>_xlfn.XLOOKUP(E3,[1]!Bookings[Booking Name],[1]!Bookings[Final Sale Value After Discount])</f>
        <v>1517111</v>
      </c>
      <c r="T3" s="4">
        <f>_xlfn.XLOOKUP(E3,[1]!Bookings[Booking Name],[1]!Bookings[Inv Final Sale Value])</f>
        <v>1600000</v>
      </c>
      <c r="U3" s="34" t="str">
        <f>_xlfn.XLOOKUP(E3,[1]!Bookings[Booking Name],[1]!Bookings[Sales])</f>
        <v>Joudy Shaker</v>
      </c>
      <c r="V3" s="34" t="str">
        <f>_xlfn.XLOOKUP(E3,[1]!Bookings[Booking Name],[1]!Bookings[Agency Name])</f>
        <v>TOP OF THE TOP PROPERTIES  LLC - SPC</v>
      </c>
      <c r="W3" s="34" t="str">
        <f>_xlfn.XLOOKUP(E3,[1]!Bookings[Booking Name],[1]!Bookings[Booking ID])</f>
        <v>a03NM00000TBV4b</v>
      </c>
      <c r="X3" s="34" t="str">
        <f>_xlfn.XLOOKUP(E3,[1]!Bookings[Booking Name],[1]!Bookings[Oracle Id])</f>
        <v>-</v>
      </c>
      <c r="Y3" s="70"/>
      <c r="Z3" s="5" t="s">
        <v>25</v>
      </c>
      <c r="AA3" s="6">
        <v>0</v>
      </c>
      <c r="AB3" s="81" t="s">
        <v>26</v>
      </c>
      <c r="AC3" s="12" t="s">
        <v>191</v>
      </c>
      <c r="AD3" s="107" t="s">
        <v>975</v>
      </c>
      <c r="AE3" s="83" t="s">
        <v>246</v>
      </c>
      <c r="AF3" s="83" t="s">
        <v>246</v>
      </c>
    </row>
    <row r="4" spans="2:32" ht="50.25" customHeight="1" x14ac:dyDescent="0.3">
      <c r="B4" s="106" t="s">
        <v>230</v>
      </c>
      <c r="C4" s="2">
        <v>46051</v>
      </c>
      <c r="D4" s="2">
        <f>_xlfn.XLOOKUP(E4,[1]!Bookings[Booking Name],[1]!Bookings[Rejected Date])</f>
        <v>46051</v>
      </c>
      <c r="E4" s="106" t="s">
        <v>291</v>
      </c>
      <c r="F4" s="76" t="str">
        <f>_xlfn.XLOOKUP(E4,[1]!Bookings[Booking Name],[1]!Bookings[Booking Status])</f>
        <v>Rejected</v>
      </c>
      <c r="G4" s="2">
        <f>_xlfn.XLOOKUP(E4,[1]!Bookings[Booking Name],[1]!Bookings[Booking Date])</f>
        <v>46050</v>
      </c>
      <c r="H4" s="3">
        <f>_xlfn.XLOOKUP(E4,[1]!Bookings[Booking Name],[1]!Bookings[Booking Aging])</f>
        <v>2</v>
      </c>
      <c r="I4" s="2" t="str">
        <f>_xlfn.XLOOKUP(E4,[1]!Bookings[Booking Name],[1]!Bookings[Project Name])</f>
        <v>One Residence</v>
      </c>
      <c r="J4" s="2" t="str">
        <f>_xlfn.XLOOKUP(E4,[1]!Bookings[Booking Name],[1]!Bookings[Building])</f>
        <v>Tower 1</v>
      </c>
      <c r="K4" s="2" t="str">
        <f>_xlfn.XLOOKUP(E4,[1]!Bookings[Booking Name],[1]!Bookings[Bedrooms])</f>
        <v>2 BR</v>
      </c>
      <c r="L4" s="2" t="str">
        <f>_xlfn.XLOOKUP(E4,[1]!Bookings[Booking Name],[1]!Bookings[Unit No.])</f>
        <v>OR-2407</v>
      </c>
      <c r="M4" s="36" t="str">
        <f>_xlfn.XLOOKUP(E4,[1]!Bookings[Booking Name],[1]!Bookings[Inventory Unit Status])</f>
        <v>Booked</v>
      </c>
      <c r="N4" s="2" t="str">
        <f>_xlfn.XLOOKUP(E4,[1]!Bookings[Booking Name],[1]!Bookings[Booking Status])</f>
        <v>Rejected</v>
      </c>
      <c r="O4" s="52" t="str">
        <f>_xlfn.XLOOKUP(E4,[1]!Bookings[Booking Name],[1]!Bookings[Customer Name])</f>
        <v>JIANPING SU</v>
      </c>
      <c r="P4" s="2" t="str">
        <f>_xlfn.XLOOKUP(E4,[1]!Bookings[Booking Name],[1]!Bookings[Nationality])</f>
        <v>China</v>
      </c>
      <c r="Q4" s="4">
        <f>_xlfn.XLOOKUP(E4,[1]!Bookings[Booking Name],[1]!Bookings[Discount Amount])</f>
        <v>129889</v>
      </c>
      <c r="R4" s="27">
        <f>_xlfn.XLOOKUP(E4,[1]!Bookings[Booking Name],[1]!Bookings[Discount Percentage])</f>
        <v>5.1955599999999998E-2</v>
      </c>
      <c r="S4" s="4">
        <f>_xlfn.XLOOKUP(E4,[1]!Bookings[Booking Name],[1]!Bookings[Final Sale Value After Discount])</f>
        <v>2370111</v>
      </c>
      <c r="T4" s="4">
        <f>_xlfn.XLOOKUP(E4,[1]!Bookings[Booking Name],[1]!Bookings[Inv Final Sale Value])</f>
        <v>2500000</v>
      </c>
      <c r="U4" s="34" t="str">
        <f>_xlfn.XLOOKUP(E4,[1]!Bookings[Booking Name],[1]!Bookings[Sales])</f>
        <v>Tanveer Ansari</v>
      </c>
      <c r="V4" s="34" t="str">
        <f>_xlfn.XLOOKUP(E4,[1]!Bookings[Booking Name],[1]!Bookings[Agency Name])</f>
        <v>Dingsen Properties LLC</v>
      </c>
      <c r="W4" s="34" t="str">
        <f>_xlfn.XLOOKUP(E4,[1]!Bookings[Booking Name],[1]!Bookings[Booking ID])</f>
        <v>a03NM00000Ul7rC</v>
      </c>
      <c r="X4" s="34" t="str">
        <f>_xlfn.XLOOKUP(E4,[1]!Bookings[Booking Name],[1]!Bookings[Oracle Id])</f>
        <v>-</v>
      </c>
      <c r="Y4" s="70"/>
      <c r="Z4" s="5" t="s">
        <v>25</v>
      </c>
      <c r="AA4" s="6">
        <v>0</v>
      </c>
      <c r="AB4" s="81" t="s">
        <v>26</v>
      </c>
      <c r="AC4" s="12" t="s">
        <v>191</v>
      </c>
      <c r="AD4" s="107" t="s">
        <v>974</v>
      </c>
      <c r="AE4" s="83" t="s">
        <v>246</v>
      </c>
      <c r="AF4" s="83" t="s">
        <v>246</v>
      </c>
    </row>
    <row r="5" spans="2:32" ht="50.25" customHeight="1" x14ac:dyDescent="0.3">
      <c r="B5" s="106" t="s">
        <v>230</v>
      </c>
      <c r="C5" s="2">
        <v>46050</v>
      </c>
      <c r="D5" s="2">
        <f>_xlfn.XLOOKUP(E5,[1]!Bookings[Booking Name],[1]!Bookings[Rejected Date])</f>
        <v>46052</v>
      </c>
      <c r="E5" s="112" t="s">
        <v>967</v>
      </c>
      <c r="F5" s="76" t="str">
        <f>_xlfn.XLOOKUP(E5,[1]!Bookings[Booking Name],[1]!Bookings[Booking Status])</f>
        <v>Rejected</v>
      </c>
      <c r="G5" s="2">
        <f>_xlfn.XLOOKUP(E5,[1]!Bookings[Booking Name],[1]!Bookings[Booking Date])</f>
        <v>46004</v>
      </c>
      <c r="H5" s="3">
        <f>_xlfn.XLOOKUP(E5,[1]!Bookings[Booking Name],[1]!Bookings[Booking Aging])</f>
        <v>48</v>
      </c>
      <c r="I5" s="2" t="str">
        <f>_xlfn.XLOOKUP(E5,[1]!Bookings[Booking Name],[1]!Bookings[Project Name])</f>
        <v>Laguna Residence</v>
      </c>
      <c r="J5" s="2" t="str">
        <f>_xlfn.XLOOKUP(E5,[1]!Bookings[Booking Name],[1]!Bookings[Building])</f>
        <v>Tower A</v>
      </c>
      <c r="K5" s="2" t="str">
        <f>_xlfn.XLOOKUP(E5,[1]!Bookings[Booking Name],[1]!Bookings[Bedrooms])</f>
        <v>1 Bedroom</v>
      </c>
      <c r="L5" s="2" t="str">
        <f>_xlfn.XLOOKUP(E5,[1]!Bookings[Booking Name],[1]!Bookings[Unit No.])</f>
        <v>A2310</v>
      </c>
      <c r="M5" s="36" t="str">
        <f>_xlfn.XLOOKUP(E5,[1]!Bookings[Booking Name],[1]!Bookings[Inventory Unit Status])</f>
        <v>Blocked</v>
      </c>
      <c r="N5" s="2" t="str">
        <f>_xlfn.XLOOKUP(E5,[1]!Bookings[Booking Name],[1]!Bookings[Booking Status])</f>
        <v>Rejected</v>
      </c>
      <c r="O5" s="52" t="str">
        <f>_xlfn.XLOOKUP(E5,[1]!Bookings[Booking Name],[1]!Bookings[Customer Name])</f>
        <v>Andrey Serga</v>
      </c>
      <c r="P5" s="2" t="str">
        <f>_xlfn.XLOOKUP(E5,[1]!Bookings[Booking Name],[1]!Bookings[Nationality])</f>
        <v>Russia</v>
      </c>
      <c r="Q5" s="4">
        <f>_xlfn.XLOOKUP(E5,[1]!Bookings[Booking Name],[1]!Bookings[Discount Amount])</f>
        <v>0</v>
      </c>
      <c r="R5" s="27">
        <f>_xlfn.XLOOKUP(E5,[1]!Bookings[Booking Name],[1]!Bookings[Discount Percentage])</f>
        <v>0</v>
      </c>
      <c r="S5" s="4">
        <f>_xlfn.XLOOKUP(E5,[1]!Bookings[Booking Name],[1]!Bookings[Final Sale Value After Discount])</f>
        <v>1446000</v>
      </c>
      <c r="T5" s="4">
        <f>_xlfn.XLOOKUP(E5,[1]!Bookings[Booking Name],[1]!Bookings[Inv Final Sale Value])</f>
        <v>1446000</v>
      </c>
      <c r="U5" s="34" t="str">
        <f>_xlfn.XLOOKUP(E5,[1]!Bookings[Booking Name],[1]!Bookings[Sales])</f>
        <v>Vladyslav Parkhomchuk</v>
      </c>
      <c r="V5" s="34" t="str">
        <f>_xlfn.XLOOKUP(E5,[1]!Bookings[Booking Name],[1]!Bookings[Agency Name])</f>
        <v>Rich Property Real Estate Brokerages LLC</v>
      </c>
      <c r="W5" s="34" t="str">
        <f>_xlfn.XLOOKUP(E5,[1]!Bookings[Booking Name],[1]!Bookings[Booking ID])</f>
        <v>a03NM00000PS4bs</v>
      </c>
      <c r="X5" s="34" t="str">
        <f>_xlfn.XLOOKUP(E5,[1]!Bookings[Booking Name],[1]!Bookings[Oracle Id])</f>
        <v>-</v>
      </c>
      <c r="Y5" s="70"/>
      <c r="Z5" s="5" t="s">
        <v>25</v>
      </c>
      <c r="AA5" s="6">
        <v>0</v>
      </c>
      <c r="AB5" s="81" t="s">
        <v>26</v>
      </c>
      <c r="AC5" s="60" t="s">
        <v>93</v>
      </c>
      <c r="AD5" s="107" t="s">
        <v>973</v>
      </c>
      <c r="AE5" s="60" t="s">
        <v>93</v>
      </c>
      <c r="AF5" s="67" t="s">
        <v>139</v>
      </c>
    </row>
    <row r="6" spans="2:32" ht="50.25" customHeight="1" x14ac:dyDescent="0.3">
      <c r="B6" s="112" t="s">
        <v>230</v>
      </c>
      <c r="C6" s="2">
        <v>46050</v>
      </c>
      <c r="D6" s="2">
        <f>_xlfn.XLOOKUP(E6,[1]!Bookings[Booking Name],[1]!Bookings[Rejected Date])</f>
        <v>46051</v>
      </c>
      <c r="E6" s="112" t="s">
        <v>964</v>
      </c>
      <c r="F6" s="76" t="str">
        <f>_xlfn.XLOOKUP(E6,[1]!Bookings[Booking Name],[1]!Bookings[Booking Status])</f>
        <v>Rejected</v>
      </c>
      <c r="G6" s="2">
        <f>_xlfn.XLOOKUP(E6,[1]!Bookings[Booking Name],[1]!Bookings[Booking Date])</f>
        <v>46030</v>
      </c>
      <c r="H6" s="3">
        <f>_xlfn.XLOOKUP(E6,[1]!Bookings[Booking Name],[1]!Bookings[Booking Aging])</f>
        <v>22</v>
      </c>
      <c r="I6" s="2" t="str">
        <f>_xlfn.XLOOKUP(E6,[1]!Bookings[Booking Name],[1]!Bookings[Project Name])</f>
        <v>One Residence</v>
      </c>
      <c r="J6" s="2" t="str">
        <f>_xlfn.XLOOKUP(E6,[1]!Bookings[Booking Name],[1]!Bookings[Building])</f>
        <v>Tower 1</v>
      </c>
      <c r="K6" s="2" t="str">
        <f>_xlfn.XLOOKUP(E6,[1]!Bookings[Booking Name],[1]!Bookings[Bedrooms])</f>
        <v>1 BR</v>
      </c>
      <c r="L6" s="2" t="str">
        <f>_xlfn.XLOOKUP(E6,[1]!Bookings[Booking Name],[1]!Bookings[Unit No.])</f>
        <v>OR-406</v>
      </c>
      <c r="M6" s="36" t="str">
        <f>_xlfn.XLOOKUP(E6,[1]!Bookings[Booking Name],[1]!Bookings[Inventory Unit Status])</f>
        <v>Booked</v>
      </c>
      <c r="N6" s="2" t="str">
        <f>_xlfn.XLOOKUP(E6,[1]!Bookings[Booking Name],[1]!Bookings[Booking Status])</f>
        <v>Rejected</v>
      </c>
      <c r="O6" s="52" t="str">
        <f>_xlfn.XLOOKUP(E6,[1]!Bookings[Booking Name],[1]!Bookings[Customer Name])</f>
        <v>Saleh Naji Ali Gamil</v>
      </c>
      <c r="P6" s="2" t="str">
        <f>_xlfn.XLOOKUP(E6,[1]!Bookings[Booking Name],[1]!Bookings[Nationality])</f>
        <v>Yemen</v>
      </c>
      <c r="Q6" s="4">
        <f>_xlfn.XLOOKUP(E6,[1]!Bookings[Booking Name],[1]!Bookings[Discount Amount])</f>
        <v>0</v>
      </c>
      <c r="R6" s="27">
        <f>_xlfn.XLOOKUP(E6,[1]!Bookings[Booking Name],[1]!Bookings[Discount Percentage])</f>
        <v>0</v>
      </c>
      <c r="S6" s="4">
        <f>_xlfn.XLOOKUP(E6,[1]!Bookings[Booking Name],[1]!Bookings[Final Sale Value After Discount])</f>
        <v>1600000</v>
      </c>
      <c r="T6" s="4">
        <f>_xlfn.XLOOKUP(E6,[1]!Bookings[Booking Name],[1]!Bookings[Inv Final Sale Value])</f>
        <v>1600000</v>
      </c>
      <c r="U6" s="34" t="str">
        <f>_xlfn.XLOOKUP(E6,[1]!Bookings[Booking Name],[1]!Bookings[Sales])</f>
        <v>Mariam Shakuhi</v>
      </c>
      <c r="V6" s="34" t="str">
        <f>_xlfn.XLOOKUP(E6,[1]!Bookings[Booking Name],[1]!Bookings[Agency Name])</f>
        <v>ABC PROPERTIES BROKERAGE - SOLE PROPRIETORSHIP L.L.C</v>
      </c>
      <c r="W6" s="34" t="str">
        <f>_xlfn.XLOOKUP(E6,[1]!Bookings[Booking Name],[1]!Bookings[Booking ID])</f>
        <v>a03NM00000SjFVr</v>
      </c>
      <c r="X6" s="34" t="str">
        <f>_xlfn.XLOOKUP(E6,[1]!Bookings[Booking Name],[1]!Bookings[Oracle Id])</f>
        <v>-</v>
      </c>
      <c r="Y6" s="70"/>
      <c r="Z6" s="5" t="s">
        <v>25</v>
      </c>
      <c r="AA6" s="6">
        <v>0</v>
      </c>
      <c r="AB6" s="81" t="s">
        <v>26</v>
      </c>
      <c r="AC6" s="12" t="s">
        <v>970</v>
      </c>
      <c r="AD6" s="107" t="s">
        <v>972</v>
      </c>
      <c r="AE6" s="28" t="s">
        <v>87</v>
      </c>
      <c r="AF6" s="113" t="s">
        <v>971</v>
      </c>
    </row>
    <row r="7" spans="2:32" ht="50.25" customHeight="1" x14ac:dyDescent="0.3">
      <c r="B7" s="100" t="s">
        <v>230</v>
      </c>
      <c r="C7" s="2">
        <v>46050</v>
      </c>
      <c r="D7" s="2">
        <f>_xlfn.XLOOKUP(E7,[1]!Bookings[Booking Name],[1]!Bookings[Rejected Date])</f>
        <v>46050</v>
      </c>
      <c r="E7" s="98" t="s">
        <v>286</v>
      </c>
      <c r="F7" s="76" t="str">
        <f>_xlfn.XLOOKUP(E7,[1]!Bookings[Booking Name],[1]!Bookings[Booking Status])</f>
        <v>Rejected</v>
      </c>
      <c r="G7" s="2">
        <v>46043</v>
      </c>
      <c r="H7" s="3">
        <v>8</v>
      </c>
      <c r="I7" s="2" t="s">
        <v>423</v>
      </c>
      <c r="J7" s="2" t="s">
        <v>424</v>
      </c>
      <c r="K7" s="2" t="s">
        <v>425</v>
      </c>
      <c r="L7" s="2" t="s">
        <v>430</v>
      </c>
      <c r="M7" s="36" t="s">
        <v>431</v>
      </c>
      <c r="N7" s="2" t="s">
        <v>92</v>
      </c>
      <c r="O7" s="52" t="s">
        <v>432</v>
      </c>
      <c r="P7" s="2" t="s">
        <v>427</v>
      </c>
      <c r="Q7" s="4">
        <v>0</v>
      </c>
      <c r="R7" s="27">
        <v>0</v>
      </c>
      <c r="S7" s="4">
        <v>2404111</v>
      </c>
      <c r="T7" s="4">
        <v>2404111</v>
      </c>
      <c r="U7" s="34" t="s">
        <v>433</v>
      </c>
      <c r="V7" s="2" t="s">
        <v>434</v>
      </c>
      <c r="W7" s="82" t="s">
        <v>435</v>
      </c>
      <c r="X7" s="2" t="s">
        <v>429</v>
      </c>
      <c r="Y7" s="70"/>
      <c r="Z7" s="5" t="s">
        <v>25</v>
      </c>
      <c r="AA7" s="6">
        <v>0</v>
      </c>
      <c r="AB7" s="81" t="s">
        <v>26</v>
      </c>
      <c r="AC7" s="12" t="s">
        <v>287</v>
      </c>
      <c r="AD7" s="14" t="s">
        <v>292</v>
      </c>
      <c r="AE7" s="105" t="s">
        <v>32</v>
      </c>
      <c r="AF7" s="29" t="s">
        <v>97</v>
      </c>
    </row>
    <row r="8" spans="2:32" ht="50.25" customHeight="1" x14ac:dyDescent="0.3">
      <c r="B8" s="100" t="s">
        <v>230</v>
      </c>
      <c r="C8" s="2">
        <v>46049</v>
      </c>
      <c r="D8" s="2">
        <f>_xlfn.XLOOKUP(E8,[1]!Bookings[Booking Name],[1]!Bookings[Rejected Date])</f>
        <v>46050</v>
      </c>
      <c r="E8" s="98" t="s">
        <v>285</v>
      </c>
      <c r="F8" s="76" t="str">
        <f>_xlfn.XLOOKUP(E8,[1]!Bookings[Booking Name],[1]!Bookings[Booking Status])</f>
        <v>Rejected</v>
      </c>
      <c r="G8" s="2">
        <v>46034</v>
      </c>
      <c r="H8" s="3">
        <v>17</v>
      </c>
      <c r="I8" s="2" t="s">
        <v>423</v>
      </c>
      <c r="J8" s="2" t="s">
        <v>424</v>
      </c>
      <c r="K8" s="2" t="s">
        <v>425</v>
      </c>
      <c r="L8" s="2" t="s">
        <v>436</v>
      </c>
      <c r="M8" s="36" t="s">
        <v>426</v>
      </c>
      <c r="N8" s="2" t="s">
        <v>92</v>
      </c>
      <c r="O8" s="52" t="s">
        <v>437</v>
      </c>
      <c r="P8" s="2" t="s">
        <v>438</v>
      </c>
      <c r="Q8" s="4">
        <v>10000</v>
      </c>
      <c r="R8" s="27">
        <v>4.0816326530612249E-3</v>
      </c>
      <c r="S8" s="4">
        <v>2440000</v>
      </c>
      <c r="T8" s="4">
        <v>2450000</v>
      </c>
      <c r="U8" s="34" t="s">
        <v>439</v>
      </c>
      <c r="V8" s="2" t="s">
        <v>440</v>
      </c>
      <c r="W8" s="82" t="s">
        <v>441</v>
      </c>
      <c r="X8" s="2" t="s">
        <v>429</v>
      </c>
      <c r="Y8" s="70"/>
      <c r="Z8" s="5" t="s">
        <v>25</v>
      </c>
      <c r="AA8" s="6">
        <v>0</v>
      </c>
      <c r="AB8" s="81" t="s">
        <v>26</v>
      </c>
      <c r="AC8" s="12" t="s">
        <v>288</v>
      </c>
      <c r="AD8" s="107" t="s">
        <v>331</v>
      </c>
      <c r="AE8" s="105" t="s">
        <v>290</v>
      </c>
      <c r="AF8" s="105" t="s">
        <v>290</v>
      </c>
    </row>
    <row r="9" spans="2:32" ht="50.25" customHeight="1" x14ac:dyDescent="0.3">
      <c r="B9" s="100" t="s">
        <v>230</v>
      </c>
      <c r="C9" s="2">
        <v>46049</v>
      </c>
      <c r="D9" s="2">
        <f>_xlfn.XLOOKUP(E9,[1]!Bookings[Booking Name],[1]!Bookings[Rejected Date])</f>
        <v>46049</v>
      </c>
      <c r="E9" s="98" t="s">
        <v>281</v>
      </c>
      <c r="F9" s="76" t="str">
        <f>_xlfn.XLOOKUP(E9,[1]!Bookings[Booking Name],[1]!Bookings[Booking Status])</f>
        <v>Rejected</v>
      </c>
      <c r="G9" s="2">
        <v>46044</v>
      </c>
      <c r="H9" s="3">
        <v>7</v>
      </c>
      <c r="I9" s="2" t="s">
        <v>442</v>
      </c>
      <c r="J9" s="2" t="s">
        <v>443</v>
      </c>
      <c r="K9" s="2" t="s">
        <v>444</v>
      </c>
      <c r="L9" s="2" t="s">
        <v>445</v>
      </c>
      <c r="M9" s="36" t="s">
        <v>446</v>
      </c>
      <c r="N9" s="2" t="s">
        <v>92</v>
      </c>
      <c r="O9" s="52" t="s">
        <v>447</v>
      </c>
      <c r="P9" s="2" t="s">
        <v>448</v>
      </c>
      <c r="Q9" s="4">
        <v>40350</v>
      </c>
      <c r="R9" s="27">
        <v>0.05</v>
      </c>
      <c r="S9" s="4">
        <v>766650</v>
      </c>
      <c r="T9" s="4">
        <v>807000</v>
      </c>
      <c r="U9" s="34" t="s">
        <v>449</v>
      </c>
      <c r="V9" s="2" t="s">
        <v>450</v>
      </c>
      <c r="W9" s="82" t="s">
        <v>451</v>
      </c>
      <c r="X9" s="2" t="s">
        <v>429</v>
      </c>
      <c r="Y9" s="70"/>
      <c r="Z9" s="5" t="s">
        <v>25</v>
      </c>
      <c r="AA9" s="6">
        <v>0</v>
      </c>
      <c r="AB9" s="99" t="s">
        <v>37</v>
      </c>
      <c r="AC9" s="12" t="s">
        <v>283</v>
      </c>
      <c r="AD9" s="107" t="s">
        <v>332</v>
      </c>
      <c r="AE9" s="60" t="s">
        <v>88</v>
      </c>
      <c r="AF9" s="101" t="s">
        <v>284</v>
      </c>
    </row>
    <row r="10" spans="2:32" ht="50.25" customHeight="1" x14ac:dyDescent="0.3">
      <c r="B10" s="98" t="s">
        <v>230</v>
      </c>
      <c r="C10" s="2">
        <v>46049</v>
      </c>
      <c r="D10" s="2">
        <f>_xlfn.XLOOKUP(E10,[1]!Bookings[Booking Name],[1]!Bookings[Rejected Date])</f>
        <v>46049</v>
      </c>
      <c r="E10" s="97" t="s">
        <v>280</v>
      </c>
      <c r="F10" s="76" t="str">
        <f>_xlfn.XLOOKUP(E10,[1]!Bookings[Booking Name],[1]!Bookings[Booking Status])</f>
        <v>Rejected</v>
      </c>
      <c r="G10" s="2">
        <v>46031</v>
      </c>
      <c r="H10" s="3">
        <v>20</v>
      </c>
      <c r="I10" s="2" t="s">
        <v>423</v>
      </c>
      <c r="J10" s="2" t="s">
        <v>424</v>
      </c>
      <c r="K10" s="2" t="s">
        <v>425</v>
      </c>
      <c r="L10" s="2" t="s">
        <v>452</v>
      </c>
      <c r="M10" s="36" t="s">
        <v>426</v>
      </c>
      <c r="N10" s="2" t="s">
        <v>92</v>
      </c>
      <c r="O10" s="52" t="s">
        <v>453</v>
      </c>
      <c r="P10" s="2" t="s">
        <v>454</v>
      </c>
      <c r="Q10" s="4">
        <v>0</v>
      </c>
      <c r="R10" s="27">
        <v>0</v>
      </c>
      <c r="S10" s="4">
        <v>2550000</v>
      </c>
      <c r="T10" s="4">
        <v>2550000</v>
      </c>
      <c r="U10" s="34" t="s">
        <v>455</v>
      </c>
      <c r="V10" s="2" t="s">
        <v>456</v>
      </c>
      <c r="W10" s="82" t="s">
        <v>457</v>
      </c>
      <c r="X10" s="2" t="s">
        <v>429</v>
      </c>
      <c r="Y10" s="70"/>
      <c r="Z10" s="5" t="s">
        <v>25</v>
      </c>
      <c r="AA10" s="6">
        <v>0</v>
      </c>
      <c r="AB10" s="81" t="s">
        <v>26</v>
      </c>
      <c r="AC10" s="105" t="s">
        <v>289</v>
      </c>
      <c r="AD10" s="14" t="s">
        <v>333</v>
      </c>
      <c r="AE10" s="95" t="s">
        <v>276</v>
      </c>
      <c r="AF10" s="12" t="s">
        <v>282</v>
      </c>
    </row>
    <row r="11" spans="2:32" ht="50.25" customHeight="1" x14ac:dyDescent="0.3">
      <c r="B11" s="97" t="s">
        <v>230</v>
      </c>
      <c r="C11" s="2">
        <v>46048</v>
      </c>
      <c r="D11" s="2">
        <f>_xlfn.XLOOKUP(E11,[1]!Bookings[Booking Name],[1]!Bookings[Rejected Date])</f>
        <v>46049</v>
      </c>
      <c r="E11" s="97" t="s">
        <v>279</v>
      </c>
      <c r="F11" s="76" t="str">
        <f>_xlfn.XLOOKUP(E11,[1]!Bookings[Booking Name],[1]!Bookings[Booking Status])</f>
        <v>Rejected</v>
      </c>
      <c r="G11" s="2">
        <v>46045</v>
      </c>
      <c r="H11" s="3">
        <v>6</v>
      </c>
      <c r="I11" s="2" t="s">
        <v>423</v>
      </c>
      <c r="J11" s="2" t="s">
        <v>424</v>
      </c>
      <c r="K11" s="2" t="s">
        <v>425</v>
      </c>
      <c r="L11" s="2" t="s">
        <v>458</v>
      </c>
      <c r="M11" s="36" t="s">
        <v>426</v>
      </c>
      <c r="N11" s="2" t="s">
        <v>92</v>
      </c>
      <c r="O11" s="52" t="s">
        <v>459</v>
      </c>
      <c r="P11" s="2" t="s">
        <v>460</v>
      </c>
      <c r="Q11" s="4">
        <v>49422</v>
      </c>
      <c r="R11" s="27">
        <v>1.960775756556252E-2</v>
      </c>
      <c r="S11" s="4">
        <v>2471111</v>
      </c>
      <c r="T11" s="4">
        <v>2520533</v>
      </c>
      <c r="U11" s="34" t="s">
        <v>428</v>
      </c>
      <c r="V11" s="2" t="s">
        <v>461</v>
      </c>
      <c r="W11" s="82" t="s">
        <v>462</v>
      </c>
      <c r="X11" s="2" t="s">
        <v>429</v>
      </c>
      <c r="Y11" s="70"/>
      <c r="Z11" s="5" t="s">
        <v>25</v>
      </c>
      <c r="AA11" s="6">
        <v>0</v>
      </c>
      <c r="AB11" s="81" t="s">
        <v>26</v>
      </c>
      <c r="AC11" s="12" t="s">
        <v>191</v>
      </c>
      <c r="AD11" s="107" t="s">
        <v>330</v>
      </c>
      <c r="AE11" s="83" t="s">
        <v>246</v>
      </c>
      <c r="AF11" s="83" t="s">
        <v>246</v>
      </c>
    </row>
    <row r="12" spans="2:32" ht="50.25" customHeight="1" x14ac:dyDescent="0.3">
      <c r="B12" s="96" t="s">
        <v>230</v>
      </c>
      <c r="C12" s="2">
        <v>46048</v>
      </c>
      <c r="D12" s="2">
        <f>_xlfn.XLOOKUP(E12,[1]!Bookings[Booking Name],[1]!Bookings[Rejected Date])</f>
        <v>46048</v>
      </c>
      <c r="E12" s="96" t="s">
        <v>278</v>
      </c>
      <c r="F12" s="76" t="str">
        <f>_xlfn.XLOOKUP(E12,[1]!Bookings[Booking Name],[1]!Bookings[Booking Status])</f>
        <v>Rejected</v>
      </c>
      <c r="G12" s="2">
        <v>46045</v>
      </c>
      <c r="H12" s="3">
        <v>6</v>
      </c>
      <c r="I12" s="2" t="s">
        <v>423</v>
      </c>
      <c r="J12" s="2" t="s">
        <v>424</v>
      </c>
      <c r="K12" s="2" t="s">
        <v>425</v>
      </c>
      <c r="L12" s="2" t="s">
        <v>463</v>
      </c>
      <c r="M12" s="36" t="s">
        <v>426</v>
      </c>
      <c r="N12" s="2" t="s">
        <v>92</v>
      </c>
      <c r="O12" s="52" t="s">
        <v>464</v>
      </c>
      <c r="P12" s="2" t="s">
        <v>465</v>
      </c>
      <c r="Q12" s="4">
        <v>54142</v>
      </c>
      <c r="R12" s="27">
        <v>1.9607765025515589E-2</v>
      </c>
      <c r="S12" s="4">
        <v>2707111</v>
      </c>
      <c r="T12" s="4">
        <v>2761253</v>
      </c>
      <c r="U12" s="34" t="s">
        <v>449</v>
      </c>
      <c r="V12" s="2" t="s">
        <v>466</v>
      </c>
      <c r="W12" s="82" t="s">
        <v>467</v>
      </c>
      <c r="X12" s="2" t="s">
        <v>429</v>
      </c>
      <c r="Y12" s="70"/>
      <c r="Z12" s="5" t="s">
        <v>25</v>
      </c>
      <c r="AA12" s="6">
        <v>0</v>
      </c>
      <c r="AB12" s="81" t="s">
        <v>26</v>
      </c>
      <c r="AC12" s="12" t="s">
        <v>191</v>
      </c>
      <c r="AD12" s="107" t="s">
        <v>334</v>
      </c>
      <c r="AE12" s="83" t="s">
        <v>246</v>
      </c>
      <c r="AF12" s="83" t="s">
        <v>246</v>
      </c>
    </row>
    <row r="13" spans="2:32" ht="50.25" customHeight="1" x14ac:dyDescent="0.3">
      <c r="B13" s="91" t="s">
        <v>230</v>
      </c>
      <c r="C13" s="2">
        <v>46044</v>
      </c>
      <c r="D13" s="2">
        <f>_xlfn.XLOOKUP(E13,[1]!Bookings[Booking Name],[1]!Bookings[Rejected Date])</f>
        <v>46044</v>
      </c>
      <c r="E13" s="94" t="s">
        <v>275</v>
      </c>
      <c r="F13" s="76" t="str">
        <f>_xlfn.XLOOKUP(E13,[1]!Bookings[Booking Name],[1]!Bookings[Booking Status])</f>
        <v>Rejected</v>
      </c>
      <c r="G13" s="2">
        <v>46029</v>
      </c>
      <c r="H13" s="3">
        <v>22</v>
      </c>
      <c r="I13" s="2" t="s">
        <v>423</v>
      </c>
      <c r="J13" s="2" t="s">
        <v>424</v>
      </c>
      <c r="K13" s="2" t="s">
        <v>468</v>
      </c>
      <c r="L13" s="2" t="s">
        <v>469</v>
      </c>
      <c r="M13" s="36" t="s">
        <v>426</v>
      </c>
      <c r="N13" s="2" t="s">
        <v>92</v>
      </c>
      <c r="O13" s="52" t="s">
        <v>470</v>
      </c>
      <c r="P13" s="2" t="s">
        <v>471</v>
      </c>
      <c r="Q13" s="4">
        <v>11626</v>
      </c>
      <c r="R13" s="27">
        <v>7.2662500000000001E-3</v>
      </c>
      <c r="S13" s="4">
        <v>1588374</v>
      </c>
      <c r="T13" s="4">
        <v>1600000</v>
      </c>
      <c r="U13" s="34" t="s">
        <v>472</v>
      </c>
      <c r="V13" s="2" t="s">
        <v>473</v>
      </c>
      <c r="W13" s="82" t="s">
        <v>474</v>
      </c>
      <c r="X13" s="2" t="s">
        <v>429</v>
      </c>
      <c r="Y13" s="70"/>
      <c r="Z13" s="5" t="s">
        <v>25</v>
      </c>
      <c r="AA13" s="6">
        <v>0</v>
      </c>
      <c r="AB13" s="81" t="s">
        <v>26</v>
      </c>
      <c r="AC13" s="12" t="s">
        <v>966</v>
      </c>
      <c r="AD13" s="107" t="s">
        <v>335</v>
      </c>
      <c r="AE13" s="60" t="s">
        <v>32</v>
      </c>
      <c r="AF13" s="29" t="s">
        <v>97</v>
      </c>
    </row>
    <row r="14" spans="2:32" ht="50.25" customHeight="1" x14ac:dyDescent="0.3">
      <c r="B14" s="91" t="s">
        <v>230</v>
      </c>
      <c r="C14" s="2">
        <v>46044</v>
      </c>
      <c r="D14" s="2">
        <f>_xlfn.XLOOKUP(E14,[1]!Bookings[Booking Name],[1]!Bookings[Rejected Date])</f>
        <v>46044</v>
      </c>
      <c r="E14" s="94" t="s">
        <v>274</v>
      </c>
      <c r="F14" s="76" t="str">
        <f>_xlfn.XLOOKUP(E14,[1]!Bookings[Booking Name],[1]!Bookings[Booking Status])</f>
        <v>Rejected</v>
      </c>
      <c r="G14" s="2">
        <v>46043</v>
      </c>
      <c r="H14" s="3">
        <v>8</v>
      </c>
      <c r="I14" s="2" t="s">
        <v>423</v>
      </c>
      <c r="J14" s="2" t="s">
        <v>424</v>
      </c>
      <c r="K14" s="2" t="s">
        <v>468</v>
      </c>
      <c r="L14" s="2" t="s">
        <v>475</v>
      </c>
      <c r="M14" s="36" t="s">
        <v>426</v>
      </c>
      <c r="N14" s="2" t="s">
        <v>92</v>
      </c>
      <c r="O14" s="52" t="s">
        <v>476</v>
      </c>
      <c r="P14" s="2" t="s">
        <v>477</v>
      </c>
      <c r="Q14" s="4">
        <v>-50000</v>
      </c>
      <c r="R14" s="27">
        <v>-3.0674846625766871E-2</v>
      </c>
      <c r="S14" s="4">
        <v>1680000</v>
      </c>
      <c r="T14" s="4">
        <v>1630000</v>
      </c>
      <c r="U14" s="34" t="s">
        <v>439</v>
      </c>
      <c r="V14" s="2" t="s">
        <v>478</v>
      </c>
      <c r="W14" s="82" t="s">
        <v>479</v>
      </c>
      <c r="X14" s="2" t="s">
        <v>429</v>
      </c>
      <c r="Y14" s="70"/>
      <c r="Z14" s="5" t="s">
        <v>25</v>
      </c>
      <c r="AA14" s="6">
        <v>0</v>
      </c>
      <c r="AB14" s="81" t="s">
        <v>26</v>
      </c>
      <c r="AC14" s="12" t="s">
        <v>191</v>
      </c>
      <c r="AD14" s="107" t="s">
        <v>336</v>
      </c>
      <c r="AE14" s="83" t="s">
        <v>246</v>
      </c>
      <c r="AF14" s="83" t="s">
        <v>246</v>
      </c>
    </row>
    <row r="15" spans="2:32" ht="50.25" customHeight="1" x14ac:dyDescent="0.3">
      <c r="B15" s="91" t="s">
        <v>230</v>
      </c>
      <c r="C15" s="2">
        <v>46044</v>
      </c>
      <c r="D15" s="2">
        <f>_xlfn.XLOOKUP(E15,[1]!Bookings[Booking Name],[1]!Bookings[Rejected Date])</f>
        <v>46044</v>
      </c>
      <c r="E15" s="94" t="s">
        <v>273</v>
      </c>
      <c r="F15" s="76" t="str">
        <f>_xlfn.XLOOKUP(E15,[1]!Bookings[Booking Name],[1]!Bookings[Booking Status])</f>
        <v>Rejected</v>
      </c>
      <c r="G15" s="2">
        <v>46031</v>
      </c>
      <c r="H15" s="3">
        <v>20</v>
      </c>
      <c r="I15" s="2" t="s">
        <v>423</v>
      </c>
      <c r="J15" s="2" t="s">
        <v>424</v>
      </c>
      <c r="K15" s="2" t="s">
        <v>425</v>
      </c>
      <c r="L15" s="2" t="s">
        <v>480</v>
      </c>
      <c r="M15" s="36" t="s">
        <v>426</v>
      </c>
      <c r="N15" s="2" t="s">
        <v>92</v>
      </c>
      <c r="O15" s="52" t="s">
        <v>481</v>
      </c>
      <c r="P15" s="2" t="s">
        <v>477</v>
      </c>
      <c r="Q15" s="4">
        <v>10000</v>
      </c>
      <c r="R15" s="27">
        <v>4.048582995951417E-3</v>
      </c>
      <c r="S15" s="4">
        <v>2460000</v>
      </c>
      <c r="T15" s="4">
        <v>2470000</v>
      </c>
      <c r="U15" s="34" t="s">
        <v>455</v>
      </c>
      <c r="V15" s="2" t="s">
        <v>482</v>
      </c>
      <c r="W15" s="82" t="s">
        <v>483</v>
      </c>
      <c r="X15" s="2" t="s">
        <v>429</v>
      </c>
      <c r="Y15" s="70"/>
      <c r="Z15" s="5" t="s">
        <v>25</v>
      </c>
      <c r="AA15" s="6">
        <v>0</v>
      </c>
      <c r="AB15" s="81" t="s">
        <v>26</v>
      </c>
      <c r="AC15" s="12" t="s">
        <v>191</v>
      </c>
      <c r="AD15" s="107" t="s">
        <v>337</v>
      </c>
      <c r="AE15" s="83" t="s">
        <v>246</v>
      </c>
      <c r="AF15" s="83" t="s">
        <v>246</v>
      </c>
    </row>
    <row r="16" spans="2:32" ht="50.25" customHeight="1" x14ac:dyDescent="0.3">
      <c r="B16" s="91" t="s">
        <v>230</v>
      </c>
      <c r="C16" s="2">
        <v>46043</v>
      </c>
      <c r="D16" s="2">
        <f>_xlfn.XLOOKUP(E16,[1]!Bookings[Booking Name],[1]!Bookings[Rejected Date])</f>
        <v>46043</v>
      </c>
      <c r="E16" s="93" t="s">
        <v>271</v>
      </c>
      <c r="F16" s="76" t="str">
        <f>_xlfn.XLOOKUP(E16,[1]!Bookings[Booking Name],[1]!Bookings[Booking Status])</f>
        <v>Rejected</v>
      </c>
      <c r="G16" s="2">
        <v>46002</v>
      </c>
      <c r="H16" s="3">
        <v>49</v>
      </c>
      <c r="I16" s="2" t="s">
        <v>484</v>
      </c>
      <c r="J16" s="2" t="s">
        <v>424</v>
      </c>
      <c r="K16" s="2" t="s">
        <v>485</v>
      </c>
      <c r="L16" s="2" t="s">
        <v>486</v>
      </c>
      <c r="M16" s="36" t="s">
        <v>446</v>
      </c>
      <c r="N16" s="2" t="s">
        <v>92</v>
      </c>
      <c r="O16" s="52" t="s">
        <v>487</v>
      </c>
      <c r="P16" s="2" t="s">
        <v>488</v>
      </c>
      <c r="Q16" s="4">
        <v>0</v>
      </c>
      <c r="R16" s="27">
        <v>0</v>
      </c>
      <c r="S16" s="4">
        <v>2525000</v>
      </c>
      <c r="T16" s="4">
        <v>2525000</v>
      </c>
      <c r="U16" s="34" t="s">
        <v>489</v>
      </c>
      <c r="V16" s="2" t="s">
        <v>490</v>
      </c>
      <c r="W16" s="82" t="s">
        <v>491</v>
      </c>
      <c r="X16" s="2" t="s">
        <v>429</v>
      </c>
      <c r="Y16" s="70"/>
      <c r="Z16" s="5" t="s">
        <v>25</v>
      </c>
      <c r="AA16" s="6">
        <v>0</v>
      </c>
      <c r="AB16" s="81" t="s">
        <v>26</v>
      </c>
      <c r="AC16" s="60" t="s">
        <v>93</v>
      </c>
      <c r="AD16" s="14" t="s">
        <v>338</v>
      </c>
      <c r="AE16" s="60" t="s">
        <v>93</v>
      </c>
      <c r="AF16" s="95" t="s">
        <v>139</v>
      </c>
    </row>
    <row r="17" spans="2:32" ht="50.25" customHeight="1" x14ac:dyDescent="0.3">
      <c r="B17" s="91" t="s">
        <v>230</v>
      </c>
      <c r="C17" s="2">
        <v>46043</v>
      </c>
      <c r="D17" s="2">
        <f>_xlfn.XLOOKUP(E17,[1]!Bookings[Booking Name],[1]!Bookings[Rejected Date])</f>
        <v>46043</v>
      </c>
      <c r="E17" s="93" t="s">
        <v>270</v>
      </c>
      <c r="F17" s="76" t="str">
        <f>_xlfn.XLOOKUP(E17,[1]!Bookings[Booking Name],[1]!Bookings[Booking Status])</f>
        <v>Rejected</v>
      </c>
      <c r="G17" s="2">
        <v>46041</v>
      </c>
      <c r="H17" s="3">
        <v>10</v>
      </c>
      <c r="I17" s="2" t="s">
        <v>423</v>
      </c>
      <c r="J17" s="2" t="s">
        <v>424</v>
      </c>
      <c r="K17" s="2" t="s">
        <v>468</v>
      </c>
      <c r="L17" s="2" t="s">
        <v>475</v>
      </c>
      <c r="M17" s="36" t="s">
        <v>426</v>
      </c>
      <c r="N17" s="2" t="s">
        <v>92</v>
      </c>
      <c r="O17" s="52" t="s">
        <v>492</v>
      </c>
      <c r="P17" s="2" t="s">
        <v>477</v>
      </c>
      <c r="Q17" s="4">
        <v>-50000</v>
      </c>
      <c r="R17" s="27">
        <v>-3.0674846625766871E-2</v>
      </c>
      <c r="S17" s="4">
        <v>1680000</v>
      </c>
      <c r="T17" s="4">
        <v>1630000</v>
      </c>
      <c r="U17" s="34" t="s">
        <v>439</v>
      </c>
      <c r="V17" s="2" t="s">
        <v>478</v>
      </c>
      <c r="W17" s="82" t="s">
        <v>493</v>
      </c>
      <c r="X17" s="2" t="s">
        <v>429</v>
      </c>
      <c r="Y17" s="70"/>
      <c r="Z17" s="5" t="s">
        <v>25</v>
      </c>
      <c r="AA17" s="6">
        <v>0</v>
      </c>
      <c r="AB17" s="81" t="s">
        <v>26</v>
      </c>
      <c r="AC17" s="12" t="s">
        <v>191</v>
      </c>
      <c r="AD17" s="107" t="s">
        <v>339</v>
      </c>
      <c r="AE17" s="83" t="s">
        <v>246</v>
      </c>
      <c r="AF17" s="83" t="s">
        <v>246</v>
      </c>
    </row>
    <row r="18" spans="2:32" ht="50.25" customHeight="1" x14ac:dyDescent="0.3">
      <c r="B18" s="91" t="s">
        <v>230</v>
      </c>
      <c r="C18" s="2">
        <v>46043</v>
      </c>
      <c r="D18" s="2">
        <f>_xlfn.XLOOKUP(E18,[1]!Bookings[Booking Name],[1]!Bookings[Rejected Date])</f>
        <v>46043</v>
      </c>
      <c r="E18" s="93" t="s">
        <v>269</v>
      </c>
      <c r="F18" s="76" t="str">
        <f>_xlfn.XLOOKUP(E18,[1]!Bookings[Booking Name],[1]!Bookings[Booking Status])</f>
        <v>Rejected</v>
      </c>
      <c r="G18" s="2">
        <v>46031</v>
      </c>
      <c r="H18" s="3">
        <v>20</v>
      </c>
      <c r="I18" s="2" t="s">
        <v>423</v>
      </c>
      <c r="J18" s="2" t="s">
        <v>424</v>
      </c>
      <c r="K18" s="2" t="s">
        <v>468</v>
      </c>
      <c r="L18" s="2" t="s">
        <v>494</v>
      </c>
      <c r="M18" s="36" t="s">
        <v>426</v>
      </c>
      <c r="N18" s="2" t="s">
        <v>92</v>
      </c>
      <c r="O18" s="52" t="s">
        <v>476</v>
      </c>
      <c r="P18" s="2" t="s">
        <v>477</v>
      </c>
      <c r="Q18" s="4">
        <v>0</v>
      </c>
      <c r="R18" s="27">
        <v>0</v>
      </c>
      <c r="S18" s="4">
        <v>1670000</v>
      </c>
      <c r="T18" s="4">
        <v>1670000</v>
      </c>
      <c r="U18" s="34" t="s">
        <v>439</v>
      </c>
      <c r="V18" s="2" t="s">
        <v>478</v>
      </c>
      <c r="W18" s="82" t="s">
        <v>495</v>
      </c>
      <c r="X18" s="2" t="s">
        <v>429</v>
      </c>
      <c r="Y18" s="70"/>
      <c r="Z18" s="5" t="s">
        <v>25</v>
      </c>
      <c r="AA18" s="6">
        <v>0</v>
      </c>
      <c r="AB18" s="81" t="s">
        <v>26</v>
      </c>
      <c r="AC18" s="12" t="s">
        <v>191</v>
      </c>
      <c r="AD18" s="107" t="s">
        <v>340</v>
      </c>
      <c r="AE18" s="83" t="s">
        <v>246</v>
      </c>
      <c r="AF18" s="83" t="s">
        <v>246</v>
      </c>
    </row>
    <row r="19" spans="2:32" ht="50.25" customHeight="1" x14ac:dyDescent="0.3">
      <c r="B19" s="91" t="s">
        <v>230</v>
      </c>
      <c r="C19" s="2">
        <v>46043</v>
      </c>
      <c r="D19" s="2">
        <f>_xlfn.XLOOKUP(E19,[1]!Bookings[Booking Name],[1]!Bookings[Rejected Date])</f>
        <v>46043</v>
      </c>
      <c r="E19" s="91" t="s">
        <v>268</v>
      </c>
      <c r="F19" s="76" t="str">
        <f>_xlfn.XLOOKUP(E19,[1]!Bookings[Booking Name],[1]!Bookings[Booking Status])</f>
        <v>Rejected</v>
      </c>
      <c r="G19" s="2">
        <v>46031</v>
      </c>
      <c r="H19" s="3">
        <v>20</v>
      </c>
      <c r="I19" s="2" t="s">
        <v>423</v>
      </c>
      <c r="J19" s="2" t="s">
        <v>424</v>
      </c>
      <c r="K19" s="2" t="s">
        <v>468</v>
      </c>
      <c r="L19" s="2" t="s">
        <v>496</v>
      </c>
      <c r="M19" s="36" t="s">
        <v>426</v>
      </c>
      <c r="N19" s="2" t="s">
        <v>92</v>
      </c>
      <c r="O19" s="52" t="s">
        <v>497</v>
      </c>
      <c r="P19" s="2" t="s">
        <v>454</v>
      </c>
      <c r="Q19" s="4">
        <v>2000</v>
      </c>
      <c r="R19" s="27">
        <v>1.25E-3</v>
      </c>
      <c r="S19" s="4">
        <v>1598000</v>
      </c>
      <c r="T19" s="4">
        <v>1600000</v>
      </c>
      <c r="U19" s="34" t="s">
        <v>455</v>
      </c>
      <c r="V19" s="2" t="s">
        <v>482</v>
      </c>
      <c r="W19" s="82" t="s">
        <v>498</v>
      </c>
      <c r="X19" s="2" t="s">
        <v>429</v>
      </c>
      <c r="Y19" s="70"/>
      <c r="Z19" s="5" t="s">
        <v>25</v>
      </c>
      <c r="AA19" s="6">
        <v>0</v>
      </c>
      <c r="AB19" s="81" t="s">
        <v>26</v>
      </c>
      <c r="AC19" s="12" t="s">
        <v>191</v>
      </c>
      <c r="AD19" s="107" t="s">
        <v>341</v>
      </c>
      <c r="AE19" s="83" t="s">
        <v>246</v>
      </c>
      <c r="AF19" s="83" t="s">
        <v>246</v>
      </c>
    </row>
    <row r="20" spans="2:32" ht="50.25" customHeight="1" x14ac:dyDescent="0.3">
      <c r="B20" s="87" t="s">
        <v>230</v>
      </c>
      <c r="C20" s="2">
        <v>46043</v>
      </c>
      <c r="D20" s="2">
        <f>_xlfn.XLOOKUP(E20,[1]!Bookings[Booking Name],[1]!Bookings[Rejected Date])</f>
        <v>46043</v>
      </c>
      <c r="E20" s="91" t="s">
        <v>264</v>
      </c>
      <c r="F20" s="76" t="str">
        <f>_xlfn.XLOOKUP(E20,[1]!Bookings[Booking Name],[1]!Bookings[Booking Status])</f>
        <v>Rejected</v>
      </c>
      <c r="G20" s="2">
        <v>46031</v>
      </c>
      <c r="H20" s="3">
        <v>20</v>
      </c>
      <c r="I20" s="2" t="s">
        <v>423</v>
      </c>
      <c r="J20" s="2" t="s">
        <v>424</v>
      </c>
      <c r="K20" s="2" t="s">
        <v>425</v>
      </c>
      <c r="L20" s="2" t="s">
        <v>499</v>
      </c>
      <c r="M20" s="36" t="s">
        <v>426</v>
      </c>
      <c r="N20" s="2" t="s">
        <v>92</v>
      </c>
      <c r="O20" s="52" t="s">
        <v>500</v>
      </c>
      <c r="P20" s="2" t="s">
        <v>501</v>
      </c>
      <c r="Q20" s="4">
        <v>100000</v>
      </c>
      <c r="R20" s="27">
        <v>4.1841004184100417E-2</v>
      </c>
      <c r="S20" s="4">
        <v>2290000</v>
      </c>
      <c r="T20" s="4">
        <v>2390000</v>
      </c>
      <c r="U20" s="34" t="s">
        <v>439</v>
      </c>
      <c r="V20" s="2" t="s">
        <v>478</v>
      </c>
      <c r="W20" s="82" t="s">
        <v>502</v>
      </c>
      <c r="X20" s="2" t="s">
        <v>429</v>
      </c>
      <c r="Y20" s="70"/>
      <c r="Z20" s="5" t="s">
        <v>25</v>
      </c>
      <c r="AA20" s="6">
        <v>0</v>
      </c>
      <c r="AB20" s="81" t="s">
        <v>26</v>
      </c>
      <c r="AC20" s="12" t="s">
        <v>191</v>
      </c>
      <c r="AD20" s="107" t="s">
        <v>342</v>
      </c>
      <c r="AE20" s="83" t="s">
        <v>246</v>
      </c>
      <c r="AF20" s="83" t="s">
        <v>246</v>
      </c>
    </row>
    <row r="21" spans="2:32" ht="50.25" customHeight="1" x14ac:dyDescent="0.3">
      <c r="B21" s="87" t="s">
        <v>230</v>
      </c>
      <c r="C21" s="2">
        <v>46042</v>
      </c>
      <c r="D21" s="2">
        <f>_xlfn.XLOOKUP(E21,[1]!Bookings[Booking Name],[1]!Bookings[Rejected Date])</f>
        <v>46042</v>
      </c>
      <c r="E21" s="91" t="s">
        <v>263</v>
      </c>
      <c r="F21" s="76" t="str">
        <f>_xlfn.XLOOKUP(E21,[1]!Bookings[Booking Name],[1]!Bookings[Booking Status])</f>
        <v>Rejected</v>
      </c>
      <c r="G21" s="2">
        <v>46041</v>
      </c>
      <c r="H21" s="3">
        <v>10</v>
      </c>
      <c r="I21" s="2" t="s">
        <v>423</v>
      </c>
      <c r="J21" s="2" t="s">
        <v>424</v>
      </c>
      <c r="K21" s="2" t="s">
        <v>425</v>
      </c>
      <c r="L21" s="2" t="s">
        <v>503</v>
      </c>
      <c r="M21" s="36" t="s">
        <v>426</v>
      </c>
      <c r="N21" s="2" t="s">
        <v>92</v>
      </c>
      <c r="O21" s="52" t="s">
        <v>504</v>
      </c>
      <c r="P21" s="2" t="s">
        <v>471</v>
      </c>
      <c r="Q21" s="4">
        <v>21889</v>
      </c>
      <c r="R21" s="27">
        <v>8.7556000000000005E-3</v>
      </c>
      <c r="S21" s="4">
        <v>2478111</v>
      </c>
      <c r="T21" s="4">
        <v>2500000</v>
      </c>
      <c r="U21" s="34" t="s">
        <v>505</v>
      </c>
      <c r="V21" s="2" t="s">
        <v>506</v>
      </c>
      <c r="W21" s="82" t="s">
        <v>507</v>
      </c>
      <c r="X21" s="2" t="s">
        <v>429</v>
      </c>
      <c r="Y21" s="70"/>
      <c r="Z21" s="5" t="s">
        <v>25</v>
      </c>
      <c r="AA21" s="6">
        <v>0</v>
      </c>
      <c r="AB21" s="81" t="s">
        <v>26</v>
      </c>
      <c r="AC21" s="12" t="s">
        <v>191</v>
      </c>
      <c r="AD21" s="107" t="s">
        <v>343</v>
      </c>
      <c r="AE21" s="83" t="s">
        <v>246</v>
      </c>
      <c r="AF21" s="83" t="s">
        <v>246</v>
      </c>
    </row>
    <row r="22" spans="2:32" ht="50.25" customHeight="1" x14ac:dyDescent="0.3">
      <c r="B22" s="87" t="s">
        <v>230</v>
      </c>
      <c r="C22" s="2">
        <v>46042</v>
      </c>
      <c r="D22" s="2">
        <f>_xlfn.XLOOKUP(E22,[1]!Bookings[Booking Name],[1]!Bookings[Rejected Date])</f>
        <v>46043</v>
      </c>
      <c r="E22" s="91" t="s">
        <v>265</v>
      </c>
      <c r="F22" s="76" t="str">
        <f>_xlfn.XLOOKUP(E22,[1]!Bookings[Booking Name],[1]!Bookings[Booking Status])</f>
        <v>Rejected</v>
      </c>
      <c r="G22" s="2">
        <v>46029</v>
      </c>
      <c r="H22" s="3">
        <v>22</v>
      </c>
      <c r="I22" s="2" t="s">
        <v>423</v>
      </c>
      <c r="J22" s="2" t="s">
        <v>424</v>
      </c>
      <c r="K22" s="2" t="s">
        <v>425</v>
      </c>
      <c r="L22" s="2" t="s">
        <v>508</v>
      </c>
      <c r="M22" s="36" t="s">
        <v>446</v>
      </c>
      <c r="N22" s="2" t="s">
        <v>92</v>
      </c>
      <c r="O22" s="52" t="s">
        <v>509</v>
      </c>
      <c r="P22" s="2" t="s">
        <v>438</v>
      </c>
      <c r="Q22" s="4">
        <v>26104</v>
      </c>
      <c r="R22" s="27">
        <v>1.0416167884493222E-2</v>
      </c>
      <c r="S22" s="4">
        <v>2480000</v>
      </c>
      <c r="T22" s="4">
        <v>2506104</v>
      </c>
      <c r="U22" s="34" t="s">
        <v>510</v>
      </c>
      <c r="V22" s="2" t="s">
        <v>450</v>
      </c>
      <c r="W22" s="82" t="s">
        <v>511</v>
      </c>
      <c r="X22" s="2" t="s">
        <v>429</v>
      </c>
      <c r="Y22" s="70"/>
      <c r="Z22" s="5" t="s">
        <v>25</v>
      </c>
      <c r="AA22" s="6">
        <v>0</v>
      </c>
      <c r="AB22" s="92" t="s">
        <v>26</v>
      </c>
      <c r="AC22" s="12" t="s">
        <v>266</v>
      </c>
      <c r="AD22" s="107" t="s">
        <v>344</v>
      </c>
      <c r="AE22" s="60" t="s">
        <v>88</v>
      </c>
      <c r="AF22" s="92" t="s">
        <v>267</v>
      </c>
    </row>
    <row r="23" spans="2:32" ht="50.25" customHeight="1" x14ac:dyDescent="0.3">
      <c r="B23" s="87" t="s">
        <v>230</v>
      </c>
      <c r="C23" s="2">
        <v>46041</v>
      </c>
      <c r="D23" s="2">
        <f>_xlfn.XLOOKUP(E23,[1]!Bookings[Booking Name],[1]!Bookings[Rejected Date])</f>
        <v>46042</v>
      </c>
      <c r="E23" s="89" t="s">
        <v>261</v>
      </c>
      <c r="F23" s="76" t="str">
        <f>_xlfn.XLOOKUP(E23,[1]!Bookings[Booking Name],[1]!Bookings[Booking Status])</f>
        <v>Rejected</v>
      </c>
      <c r="G23" s="2">
        <v>46031</v>
      </c>
      <c r="H23" s="3">
        <v>20</v>
      </c>
      <c r="I23" s="2" t="s">
        <v>423</v>
      </c>
      <c r="J23" s="2" t="s">
        <v>424</v>
      </c>
      <c r="K23" s="2" t="s">
        <v>512</v>
      </c>
      <c r="L23" s="2" t="s">
        <v>513</v>
      </c>
      <c r="M23" s="36" t="s">
        <v>446</v>
      </c>
      <c r="N23" s="2" t="s">
        <v>92</v>
      </c>
      <c r="O23" s="52" t="s">
        <v>514</v>
      </c>
      <c r="P23" s="2" t="s">
        <v>515</v>
      </c>
      <c r="Q23" s="4">
        <v>0</v>
      </c>
      <c r="R23" s="27">
        <v>0</v>
      </c>
      <c r="S23" s="4">
        <v>3850000</v>
      </c>
      <c r="T23" s="4">
        <v>3850000</v>
      </c>
      <c r="U23" s="34" t="s">
        <v>439</v>
      </c>
      <c r="V23" s="2" t="s">
        <v>516</v>
      </c>
      <c r="W23" s="82" t="s">
        <v>517</v>
      </c>
      <c r="X23" s="2" t="s">
        <v>429</v>
      </c>
      <c r="Y23" s="70"/>
      <c r="Z23" s="5" t="s">
        <v>25</v>
      </c>
      <c r="AA23" s="6">
        <v>0</v>
      </c>
      <c r="AB23" s="92" t="s">
        <v>37</v>
      </c>
      <c r="AC23" s="12" t="s">
        <v>966</v>
      </c>
      <c r="AD23" s="107" t="s">
        <v>345</v>
      </c>
      <c r="AE23" s="92" t="s">
        <v>32</v>
      </c>
      <c r="AF23" s="81" t="s">
        <v>97</v>
      </c>
    </row>
    <row r="24" spans="2:32" ht="50.25" customHeight="1" x14ac:dyDescent="0.3">
      <c r="B24" s="87" t="s">
        <v>230</v>
      </c>
      <c r="C24" s="91">
        <v>46041</v>
      </c>
      <c r="D24" s="2">
        <f>_xlfn.XLOOKUP(E24,[1]!Bookings[Booking Name],[1]!Bookings[Rejected Date])</f>
        <v>46042</v>
      </c>
      <c r="E24" s="89" t="s">
        <v>262</v>
      </c>
      <c r="F24" s="76" t="str">
        <f>_xlfn.XLOOKUP(E24,[1]!Bookings[Booking Name],[1]!Bookings[Booking Status])</f>
        <v>Rejected</v>
      </c>
      <c r="G24" s="2">
        <v>46034</v>
      </c>
      <c r="H24" s="3">
        <v>17</v>
      </c>
      <c r="I24" s="2" t="s">
        <v>423</v>
      </c>
      <c r="J24" s="2" t="s">
        <v>424</v>
      </c>
      <c r="K24" s="2" t="s">
        <v>468</v>
      </c>
      <c r="L24" s="2" t="s">
        <v>518</v>
      </c>
      <c r="M24" s="36" t="s">
        <v>426</v>
      </c>
      <c r="N24" s="2" t="s">
        <v>92</v>
      </c>
      <c r="O24" s="52" t="s">
        <v>519</v>
      </c>
      <c r="P24" s="2" t="s">
        <v>520</v>
      </c>
      <c r="Q24" s="4">
        <v>194889</v>
      </c>
      <c r="R24" s="27">
        <v>0.11149256292906179</v>
      </c>
      <c r="S24" s="4">
        <v>1553111</v>
      </c>
      <c r="T24" s="4">
        <v>1748000</v>
      </c>
      <c r="U24" s="34" t="s">
        <v>455</v>
      </c>
      <c r="V24" s="2" t="s">
        <v>521</v>
      </c>
      <c r="W24" s="82" t="s">
        <v>522</v>
      </c>
      <c r="X24" s="2" t="s">
        <v>429</v>
      </c>
      <c r="Y24" s="70"/>
      <c r="Z24" s="5" t="s">
        <v>25</v>
      </c>
      <c r="AA24" s="6">
        <v>0</v>
      </c>
      <c r="AB24" s="81" t="s">
        <v>26</v>
      </c>
      <c r="AC24" s="12" t="s">
        <v>191</v>
      </c>
      <c r="AD24" s="107" t="s">
        <v>346</v>
      </c>
      <c r="AE24" s="83" t="s">
        <v>246</v>
      </c>
      <c r="AF24" s="83" t="s">
        <v>246</v>
      </c>
    </row>
    <row r="25" spans="2:32" ht="50.25" customHeight="1" x14ac:dyDescent="0.3">
      <c r="B25" s="87" t="s">
        <v>230</v>
      </c>
      <c r="C25" s="2">
        <v>46041</v>
      </c>
      <c r="D25" s="2">
        <f>_xlfn.XLOOKUP(E25,[1]!Bookings[Booking Name],[1]!Bookings[Rejected Date])</f>
        <v>46042</v>
      </c>
      <c r="E25" s="89" t="s">
        <v>259</v>
      </c>
      <c r="F25" s="76" t="str">
        <f>_xlfn.XLOOKUP(E25,[1]!Bookings[Booking Name],[1]!Bookings[Booking Status])</f>
        <v>Rejected</v>
      </c>
      <c r="G25" s="2">
        <v>46002</v>
      </c>
      <c r="H25" s="3">
        <v>49</v>
      </c>
      <c r="I25" s="2" t="s">
        <v>484</v>
      </c>
      <c r="J25" s="2" t="s">
        <v>424</v>
      </c>
      <c r="K25" s="2" t="s">
        <v>485</v>
      </c>
      <c r="L25" s="2" t="s">
        <v>523</v>
      </c>
      <c r="M25" s="36" t="s">
        <v>446</v>
      </c>
      <c r="N25" s="2" t="s">
        <v>92</v>
      </c>
      <c r="O25" s="52" t="s">
        <v>524</v>
      </c>
      <c r="P25" s="2" t="s">
        <v>525</v>
      </c>
      <c r="Q25" s="4">
        <v>68080</v>
      </c>
      <c r="R25" s="27">
        <v>0.02</v>
      </c>
      <c r="S25" s="4">
        <v>3335920</v>
      </c>
      <c r="T25" s="4">
        <v>3404000</v>
      </c>
      <c r="U25" s="34" t="s">
        <v>526</v>
      </c>
      <c r="V25" s="2" t="s">
        <v>527</v>
      </c>
      <c r="W25" s="82" t="s">
        <v>528</v>
      </c>
      <c r="X25" s="2" t="s">
        <v>429</v>
      </c>
      <c r="Y25" s="70"/>
      <c r="Z25" s="90">
        <v>8000</v>
      </c>
      <c r="AA25" s="6">
        <v>2.398139044101777E-3</v>
      </c>
      <c r="AB25" s="85" t="s">
        <v>31</v>
      </c>
      <c r="AC25" s="60" t="s">
        <v>93</v>
      </c>
      <c r="AD25" s="14" t="s">
        <v>347</v>
      </c>
      <c r="AE25" s="60" t="s">
        <v>93</v>
      </c>
      <c r="AF25" s="28" t="s">
        <v>96</v>
      </c>
    </row>
    <row r="26" spans="2:32" ht="50.25" customHeight="1" x14ac:dyDescent="0.3">
      <c r="B26" s="87" t="s">
        <v>230</v>
      </c>
      <c r="C26" s="2">
        <v>46041</v>
      </c>
      <c r="D26" s="2">
        <f>_xlfn.XLOOKUP(E26,[1]!Bookings[Booking Name],[1]!Bookings[Rejected Date])</f>
        <v>46042</v>
      </c>
      <c r="E26" s="89" t="s">
        <v>258</v>
      </c>
      <c r="F26" s="76" t="str">
        <f>_xlfn.XLOOKUP(E26,[1]!Bookings[Booking Name],[1]!Bookings[Booking Status])</f>
        <v>Rejected</v>
      </c>
      <c r="G26" s="2">
        <v>46002</v>
      </c>
      <c r="H26" s="3">
        <v>49</v>
      </c>
      <c r="I26" s="2" t="s">
        <v>484</v>
      </c>
      <c r="J26" s="2" t="s">
        <v>424</v>
      </c>
      <c r="K26" s="2" t="s">
        <v>485</v>
      </c>
      <c r="L26" s="2" t="s">
        <v>529</v>
      </c>
      <c r="M26" s="36" t="s">
        <v>446</v>
      </c>
      <c r="N26" s="2" t="s">
        <v>92</v>
      </c>
      <c r="O26" s="52" t="s">
        <v>524</v>
      </c>
      <c r="P26" s="2" t="s">
        <v>525</v>
      </c>
      <c r="Q26" s="4">
        <v>46580</v>
      </c>
      <c r="R26" s="27">
        <v>0.02</v>
      </c>
      <c r="S26" s="4">
        <v>2282420</v>
      </c>
      <c r="T26" s="4">
        <v>2329000</v>
      </c>
      <c r="U26" s="34" t="s">
        <v>526</v>
      </c>
      <c r="V26" s="2" t="s">
        <v>527</v>
      </c>
      <c r="W26" s="82" t="s">
        <v>530</v>
      </c>
      <c r="X26" s="2" t="s">
        <v>429</v>
      </c>
      <c r="Y26" s="70"/>
      <c r="Z26" s="90">
        <v>8000</v>
      </c>
      <c r="AA26" s="6">
        <v>3.505051655698776E-3</v>
      </c>
      <c r="AB26" s="85" t="s">
        <v>31</v>
      </c>
      <c r="AC26" s="60" t="s">
        <v>93</v>
      </c>
      <c r="AD26" s="14" t="s">
        <v>348</v>
      </c>
      <c r="AE26" s="60" t="s">
        <v>93</v>
      </c>
      <c r="AF26" s="28" t="s">
        <v>96</v>
      </c>
    </row>
    <row r="27" spans="2:32" ht="50.25" customHeight="1" x14ac:dyDescent="0.3">
      <c r="B27" s="87" t="s">
        <v>230</v>
      </c>
      <c r="C27" s="2">
        <v>46041</v>
      </c>
      <c r="D27" s="2">
        <f>_xlfn.XLOOKUP(E27,[1]!Bookings[Booking Name],[1]!Bookings[Rejected Date])</f>
        <v>46042</v>
      </c>
      <c r="E27" s="89" t="s">
        <v>257</v>
      </c>
      <c r="F27" s="76" t="str">
        <f>_xlfn.XLOOKUP(E27,[1]!Bookings[Booking Name],[1]!Bookings[Booking Status])</f>
        <v>Rejected</v>
      </c>
      <c r="G27" s="2">
        <v>46002</v>
      </c>
      <c r="H27" s="3">
        <v>49</v>
      </c>
      <c r="I27" s="2" t="s">
        <v>484</v>
      </c>
      <c r="J27" s="2" t="s">
        <v>424</v>
      </c>
      <c r="K27" s="2" t="s">
        <v>485</v>
      </c>
      <c r="L27" s="2" t="s">
        <v>531</v>
      </c>
      <c r="M27" s="36" t="s">
        <v>446</v>
      </c>
      <c r="N27" s="2" t="s">
        <v>92</v>
      </c>
      <c r="O27" s="52" t="s">
        <v>524</v>
      </c>
      <c r="P27" s="2" t="s">
        <v>525</v>
      </c>
      <c r="Q27" s="4">
        <v>52620</v>
      </c>
      <c r="R27" s="27">
        <v>0.02</v>
      </c>
      <c r="S27" s="4">
        <v>2578380</v>
      </c>
      <c r="T27" s="4">
        <v>2631000</v>
      </c>
      <c r="U27" s="34" t="s">
        <v>526</v>
      </c>
      <c r="V27" s="2" t="s">
        <v>527</v>
      </c>
      <c r="W27" s="82" t="s">
        <v>532</v>
      </c>
      <c r="X27" s="2" t="s">
        <v>429</v>
      </c>
      <c r="Y27" s="70"/>
      <c r="Z27" s="90">
        <v>8000</v>
      </c>
      <c r="AA27" s="6">
        <v>3.1027234154779358E-3</v>
      </c>
      <c r="AB27" s="85" t="s">
        <v>31</v>
      </c>
      <c r="AC27" s="60" t="s">
        <v>93</v>
      </c>
      <c r="AD27" s="14" t="s">
        <v>349</v>
      </c>
      <c r="AE27" s="60" t="s">
        <v>93</v>
      </c>
      <c r="AF27" s="28" t="s">
        <v>96</v>
      </c>
    </row>
    <row r="28" spans="2:32" ht="50.25" customHeight="1" x14ac:dyDescent="0.3">
      <c r="B28" s="87" t="s">
        <v>230</v>
      </c>
      <c r="C28" s="2">
        <v>46041</v>
      </c>
      <c r="D28" s="2">
        <f>_xlfn.XLOOKUP(E28,[1]!Bookings[Booking Name],[1]!Bookings[Rejected Date])</f>
        <v>46041</v>
      </c>
      <c r="E28" s="89" t="s">
        <v>255</v>
      </c>
      <c r="F28" s="76" t="str">
        <f>_xlfn.XLOOKUP(E28,[1]!Bookings[Booking Name],[1]!Bookings[Booking Status])</f>
        <v>Rejected</v>
      </c>
      <c r="G28" s="2">
        <v>46035</v>
      </c>
      <c r="H28" s="3">
        <v>16</v>
      </c>
      <c r="I28" s="2" t="s">
        <v>423</v>
      </c>
      <c r="J28" s="2" t="s">
        <v>424</v>
      </c>
      <c r="K28" s="2" t="s">
        <v>468</v>
      </c>
      <c r="L28" s="2" t="s">
        <v>533</v>
      </c>
      <c r="M28" s="36" t="s">
        <v>426</v>
      </c>
      <c r="N28" s="2" t="s">
        <v>92</v>
      </c>
      <c r="O28" s="52" t="s">
        <v>534</v>
      </c>
      <c r="P28" s="2" t="s">
        <v>520</v>
      </c>
      <c r="Q28" s="4">
        <v>10000</v>
      </c>
      <c r="R28" s="27">
        <v>5.5555555555555558E-3</v>
      </c>
      <c r="S28" s="4">
        <v>1790000</v>
      </c>
      <c r="T28" s="4">
        <v>1800000</v>
      </c>
      <c r="U28" s="34" t="s">
        <v>505</v>
      </c>
      <c r="V28" s="2" t="s">
        <v>535</v>
      </c>
      <c r="W28" s="82" t="s">
        <v>536</v>
      </c>
      <c r="X28" s="2" t="s">
        <v>429</v>
      </c>
      <c r="Y28" s="70"/>
      <c r="Z28" s="5" t="s">
        <v>25</v>
      </c>
      <c r="AA28" s="6">
        <v>0</v>
      </c>
      <c r="AB28" s="81" t="s">
        <v>26</v>
      </c>
      <c r="AC28" s="12" t="s">
        <v>191</v>
      </c>
      <c r="AD28" s="107" t="s">
        <v>350</v>
      </c>
      <c r="AE28" s="83" t="s">
        <v>246</v>
      </c>
      <c r="AF28" s="83" t="s">
        <v>246</v>
      </c>
    </row>
    <row r="29" spans="2:32" ht="50.25" customHeight="1" x14ac:dyDescent="0.3">
      <c r="B29" s="87" t="s">
        <v>230</v>
      </c>
      <c r="C29" s="2">
        <v>46039</v>
      </c>
      <c r="D29" s="2">
        <f>_xlfn.XLOOKUP(E29,[1]!Bookings[Booking Name],[1]!Bookings[Rejected Date])</f>
        <v>46041</v>
      </c>
      <c r="E29" s="89" t="s">
        <v>256</v>
      </c>
      <c r="F29" s="76" t="str">
        <f>_xlfn.XLOOKUP(E29,[1]!Bookings[Booking Name],[1]!Bookings[Booking Status])</f>
        <v>Rejected</v>
      </c>
      <c r="G29" s="2">
        <v>46031</v>
      </c>
      <c r="H29" s="3">
        <v>20</v>
      </c>
      <c r="I29" s="2" t="s">
        <v>423</v>
      </c>
      <c r="J29" s="2" t="s">
        <v>424</v>
      </c>
      <c r="K29" s="2" t="s">
        <v>468</v>
      </c>
      <c r="L29" s="2" t="s">
        <v>475</v>
      </c>
      <c r="M29" s="36" t="s">
        <v>426</v>
      </c>
      <c r="N29" s="2" t="s">
        <v>92</v>
      </c>
      <c r="O29" s="52" t="s">
        <v>492</v>
      </c>
      <c r="P29" s="2" t="s">
        <v>477</v>
      </c>
      <c r="Q29" s="4">
        <v>0</v>
      </c>
      <c r="R29" s="27">
        <v>0</v>
      </c>
      <c r="S29" s="4">
        <v>1630000</v>
      </c>
      <c r="T29" s="4">
        <v>1630000</v>
      </c>
      <c r="U29" s="34" t="s">
        <v>439</v>
      </c>
      <c r="V29" s="2" t="s">
        <v>478</v>
      </c>
      <c r="W29" s="82" t="s">
        <v>537</v>
      </c>
      <c r="X29" s="2" t="s">
        <v>429</v>
      </c>
      <c r="Y29" s="70"/>
      <c r="Z29" s="5" t="s">
        <v>25</v>
      </c>
      <c r="AA29" s="6">
        <v>0</v>
      </c>
      <c r="AB29" s="81" t="s">
        <v>26</v>
      </c>
      <c r="AC29" s="12" t="s">
        <v>191</v>
      </c>
      <c r="AD29" s="107" t="s">
        <v>351</v>
      </c>
      <c r="AE29" s="83" t="s">
        <v>246</v>
      </c>
      <c r="AF29" s="83" t="s">
        <v>246</v>
      </c>
    </row>
    <row r="30" spans="2:32" ht="50.25" customHeight="1" x14ac:dyDescent="0.3">
      <c r="B30" s="87" t="s">
        <v>230</v>
      </c>
      <c r="C30" s="2">
        <v>46037</v>
      </c>
      <c r="D30" s="2">
        <f>_xlfn.XLOOKUP(E30,[1]!Bookings[Booking Name],[1]!Bookings[Rejected Date])</f>
        <v>46037</v>
      </c>
      <c r="E30" s="87" t="s">
        <v>254</v>
      </c>
      <c r="F30" s="76" t="str">
        <f>_xlfn.XLOOKUP(E30,[1]!Bookings[Booking Name],[1]!Bookings[Booking Status])</f>
        <v>Rejected</v>
      </c>
      <c r="G30" s="2">
        <v>46037</v>
      </c>
      <c r="H30" s="3">
        <v>14</v>
      </c>
      <c r="I30" s="2" t="s">
        <v>423</v>
      </c>
      <c r="J30" s="2" t="s">
        <v>424</v>
      </c>
      <c r="K30" s="2" t="s">
        <v>425</v>
      </c>
      <c r="L30" s="2" t="s">
        <v>538</v>
      </c>
      <c r="M30" s="36" t="s">
        <v>426</v>
      </c>
      <c r="N30" s="2" t="s">
        <v>92</v>
      </c>
      <c r="O30" s="52" t="s">
        <v>539</v>
      </c>
      <c r="P30" s="2" t="s">
        <v>540</v>
      </c>
      <c r="Q30" s="4">
        <v>17889</v>
      </c>
      <c r="R30" s="27">
        <v>7.1843373493975906E-3</v>
      </c>
      <c r="S30" s="4">
        <v>2472111</v>
      </c>
      <c r="T30" s="4">
        <v>2490000</v>
      </c>
      <c r="U30" s="34" t="s">
        <v>541</v>
      </c>
      <c r="V30" s="2" t="s">
        <v>542</v>
      </c>
      <c r="W30" s="82" t="s">
        <v>543</v>
      </c>
      <c r="X30" s="2" t="s">
        <v>429</v>
      </c>
      <c r="Y30" s="70" t="e">
        <v>#N/A</v>
      </c>
      <c r="Z30" s="5" t="s">
        <v>25</v>
      </c>
      <c r="AA30" s="6">
        <v>0</v>
      </c>
      <c r="AB30" s="81" t="s">
        <v>26</v>
      </c>
      <c r="AC30" s="12" t="s">
        <v>191</v>
      </c>
      <c r="AD30" s="107" t="s">
        <v>352</v>
      </c>
      <c r="AE30" s="83" t="s">
        <v>246</v>
      </c>
      <c r="AF30" s="83" t="s">
        <v>246</v>
      </c>
    </row>
    <row r="31" spans="2:32" ht="50.25" customHeight="1" x14ac:dyDescent="0.3">
      <c r="B31" s="87" t="s">
        <v>230</v>
      </c>
      <c r="C31" s="2">
        <v>46036</v>
      </c>
      <c r="D31" s="2">
        <f>_xlfn.XLOOKUP(E31,[1]!Bookings[Booking Name],[1]!Bookings[Rejected Date])</f>
        <v>46037</v>
      </c>
      <c r="E31" s="87" t="s">
        <v>251</v>
      </c>
      <c r="F31" s="76" t="str">
        <f>_xlfn.XLOOKUP(E31,[1]!Bookings[Booking Name],[1]!Bookings[Booking Status])</f>
        <v>Rejected</v>
      </c>
      <c r="G31" s="2">
        <v>46031</v>
      </c>
      <c r="H31" s="3">
        <v>20</v>
      </c>
      <c r="I31" s="2" t="s">
        <v>423</v>
      </c>
      <c r="J31" s="2" t="s">
        <v>424</v>
      </c>
      <c r="K31" s="2" t="s">
        <v>425</v>
      </c>
      <c r="L31" s="2" t="s">
        <v>544</v>
      </c>
      <c r="M31" s="36" t="s">
        <v>426</v>
      </c>
      <c r="N31" s="2" t="s">
        <v>92</v>
      </c>
      <c r="O31" s="52" t="s">
        <v>545</v>
      </c>
      <c r="P31" s="2" t="s">
        <v>488</v>
      </c>
      <c r="Q31" s="4">
        <v>0</v>
      </c>
      <c r="R31" s="27">
        <v>0</v>
      </c>
      <c r="S31" s="4">
        <v>2390000</v>
      </c>
      <c r="T31" s="4">
        <v>2390000</v>
      </c>
      <c r="U31" s="34" t="s">
        <v>505</v>
      </c>
      <c r="V31" s="2" t="s">
        <v>506</v>
      </c>
      <c r="W31" s="82" t="s">
        <v>546</v>
      </c>
      <c r="X31" s="2" t="s">
        <v>429</v>
      </c>
      <c r="Y31" s="70" t="e">
        <v>#N/A</v>
      </c>
      <c r="Z31" s="5" t="s">
        <v>25</v>
      </c>
      <c r="AA31" s="6">
        <v>0</v>
      </c>
      <c r="AB31" s="81" t="s">
        <v>26</v>
      </c>
      <c r="AC31" s="12" t="s">
        <v>252</v>
      </c>
      <c r="AD31" s="107" t="s">
        <v>353</v>
      </c>
      <c r="AE31" s="88" t="s">
        <v>253</v>
      </c>
      <c r="AF31" s="88" t="s">
        <v>253</v>
      </c>
    </row>
    <row r="32" spans="2:32" ht="50.25" customHeight="1" x14ac:dyDescent="0.3">
      <c r="B32" s="84" t="s">
        <v>230</v>
      </c>
      <c r="C32" s="2">
        <v>46036</v>
      </c>
      <c r="D32" s="2">
        <f>_xlfn.XLOOKUP(E32,[1]!Bookings[Booking Name],[1]!Bookings[Rejected Date])</f>
        <v>46038</v>
      </c>
      <c r="E32" s="84" t="s">
        <v>248</v>
      </c>
      <c r="F32" s="76" t="str">
        <f>_xlfn.XLOOKUP(E32,[1]!Bookings[Booking Name],[1]!Bookings[Booking Status])</f>
        <v>Rejected</v>
      </c>
      <c r="G32" s="2">
        <v>46035</v>
      </c>
      <c r="H32" s="3">
        <v>16</v>
      </c>
      <c r="I32" s="2" t="s">
        <v>423</v>
      </c>
      <c r="J32" s="2" t="s">
        <v>424</v>
      </c>
      <c r="K32" s="2" t="s">
        <v>425</v>
      </c>
      <c r="L32" s="2" t="s">
        <v>547</v>
      </c>
      <c r="M32" s="36" t="s">
        <v>426</v>
      </c>
      <c r="N32" s="2" t="s">
        <v>92</v>
      </c>
      <c r="O32" s="52" t="s">
        <v>548</v>
      </c>
      <c r="P32" s="2" t="s">
        <v>438</v>
      </c>
      <c r="Q32" s="4">
        <v>10000</v>
      </c>
      <c r="R32" s="27">
        <v>4.0650406504065045E-3</v>
      </c>
      <c r="S32" s="4">
        <v>2450000</v>
      </c>
      <c r="T32" s="4">
        <v>2460000</v>
      </c>
      <c r="U32" s="34" t="s">
        <v>505</v>
      </c>
      <c r="V32" s="2" t="s">
        <v>549</v>
      </c>
      <c r="W32" s="82" t="s">
        <v>550</v>
      </c>
      <c r="X32" s="2" t="s">
        <v>429</v>
      </c>
      <c r="Y32" s="70" t="e">
        <v>#N/A</v>
      </c>
      <c r="Z32" s="5" t="s">
        <v>25</v>
      </c>
      <c r="AA32" s="6">
        <v>0</v>
      </c>
      <c r="AB32" s="81" t="s">
        <v>26</v>
      </c>
      <c r="AC32" s="12" t="s">
        <v>191</v>
      </c>
      <c r="AD32" s="107" t="s">
        <v>354</v>
      </c>
      <c r="AE32" s="83" t="s">
        <v>246</v>
      </c>
      <c r="AF32" s="83" t="s">
        <v>246</v>
      </c>
    </row>
    <row r="33" spans="2:32" ht="50.25" customHeight="1" x14ac:dyDescent="0.3">
      <c r="B33" s="84" t="s">
        <v>230</v>
      </c>
      <c r="C33" s="2">
        <v>46036</v>
      </c>
      <c r="D33" s="2">
        <f>_xlfn.XLOOKUP(E33,[1]!Bookings[Booking Name],[1]!Bookings[Rejected Date])</f>
        <v>46038</v>
      </c>
      <c r="E33" s="84" t="s">
        <v>247</v>
      </c>
      <c r="F33" s="76" t="str">
        <f>_xlfn.XLOOKUP(E33,[1]!Bookings[Booking Name],[1]!Bookings[Booking Status])</f>
        <v>Rejected</v>
      </c>
      <c r="G33" s="2">
        <v>45839</v>
      </c>
      <c r="H33" s="3">
        <v>212</v>
      </c>
      <c r="I33" s="2" t="s">
        <v>442</v>
      </c>
      <c r="J33" s="2" t="s">
        <v>443</v>
      </c>
      <c r="K33" s="2" t="s">
        <v>485</v>
      </c>
      <c r="L33" s="2" t="s">
        <v>551</v>
      </c>
      <c r="M33" s="36" t="s">
        <v>446</v>
      </c>
      <c r="N33" s="2" t="s">
        <v>92</v>
      </c>
      <c r="O33" s="52" t="s">
        <v>552</v>
      </c>
      <c r="P33" s="2" t="s">
        <v>553</v>
      </c>
      <c r="Q33" s="4">
        <v>98000</v>
      </c>
      <c r="R33" s="27">
        <v>7.7287066246056788E-2</v>
      </c>
      <c r="S33" s="4">
        <v>1170000</v>
      </c>
      <c r="T33" s="4">
        <v>1268000</v>
      </c>
      <c r="U33" s="34" t="s">
        <v>554</v>
      </c>
      <c r="V33" s="2" t="s">
        <v>555</v>
      </c>
      <c r="W33" s="82" t="s">
        <v>556</v>
      </c>
      <c r="X33" s="2" t="s">
        <v>429</v>
      </c>
      <c r="Y33" s="70">
        <v>8000</v>
      </c>
      <c r="Z33" s="90">
        <v>317550</v>
      </c>
      <c r="AA33" s="6">
        <v>0.2714102564102564</v>
      </c>
      <c r="AB33" s="85" t="s">
        <v>31</v>
      </c>
      <c r="AC33" s="12" t="s">
        <v>249</v>
      </c>
      <c r="AD33" s="107" t="s">
        <v>355</v>
      </c>
      <c r="AE33" s="60" t="s">
        <v>88</v>
      </c>
      <c r="AF33" s="85" t="s">
        <v>250</v>
      </c>
    </row>
    <row r="34" spans="2:32" ht="50.25" customHeight="1" x14ac:dyDescent="0.3">
      <c r="B34" s="80" t="s">
        <v>230</v>
      </c>
      <c r="C34" s="2">
        <v>46032</v>
      </c>
      <c r="D34" s="2">
        <f>_xlfn.XLOOKUP(E34,[1]!Bookings[Booking Name],[1]!Bookings[Rejected Date])</f>
        <v>46035</v>
      </c>
      <c r="E34" s="82" t="s">
        <v>245</v>
      </c>
      <c r="F34" s="76" t="str">
        <f>_xlfn.XLOOKUP(E34,[1]!Bookings[Booking Name],[1]!Bookings[Booking Status])</f>
        <v>Rejected</v>
      </c>
      <c r="G34" s="2">
        <v>46029</v>
      </c>
      <c r="H34" s="3">
        <v>22</v>
      </c>
      <c r="I34" s="2" t="s">
        <v>423</v>
      </c>
      <c r="J34" s="2" t="s">
        <v>424</v>
      </c>
      <c r="K34" s="2" t="s">
        <v>468</v>
      </c>
      <c r="L34" s="2" t="s">
        <v>557</v>
      </c>
      <c r="M34" s="36" t="s">
        <v>426</v>
      </c>
      <c r="N34" s="2" t="s">
        <v>92</v>
      </c>
      <c r="O34" s="52" t="s">
        <v>558</v>
      </c>
      <c r="P34" s="2" t="s">
        <v>559</v>
      </c>
      <c r="Q34" s="4">
        <v>113889</v>
      </c>
      <c r="R34" s="27">
        <v>6.902363636363637E-2</v>
      </c>
      <c r="S34" s="4">
        <v>1536111</v>
      </c>
      <c r="T34" s="4">
        <v>1650000</v>
      </c>
      <c r="U34" s="34" t="s">
        <v>560</v>
      </c>
      <c r="V34" s="2" t="s">
        <v>561</v>
      </c>
      <c r="W34" s="82" t="s">
        <v>562</v>
      </c>
      <c r="X34" s="2" t="s">
        <v>429</v>
      </c>
      <c r="Y34" s="70" t="e">
        <v>#N/A</v>
      </c>
      <c r="Z34" s="5" t="s">
        <v>25</v>
      </c>
      <c r="AA34" s="6">
        <v>0</v>
      </c>
      <c r="AB34" s="81" t="s">
        <v>26</v>
      </c>
      <c r="AC34" s="12" t="s">
        <v>191</v>
      </c>
      <c r="AD34" s="107" t="s">
        <v>356</v>
      </c>
      <c r="AE34" s="83" t="s">
        <v>246</v>
      </c>
      <c r="AF34" s="83" t="s">
        <v>246</v>
      </c>
    </row>
    <row r="35" spans="2:32" ht="50.25" customHeight="1" x14ac:dyDescent="0.3">
      <c r="B35" s="80" t="s">
        <v>230</v>
      </c>
      <c r="C35" s="2">
        <v>46029</v>
      </c>
      <c r="D35" s="2">
        <f>_xlfn.XLOOKUP(E35,[1]!Bookings[Booking Name],[1]!Bookings[Rejected Date])</f>
        <v>46031</v>
      </c>
      <c r="E35" s="78" t="s">
        <v>240</v>
      </c>
      <c r="F35" s="76" t="str">
        <f>_xlfn.XLOOKUP(E35,[1]!Bookings[Booking Name],[1]!Bookings[Booking Status])</f>
        <v>Rejected</v>
      </c>
      <c r="G35" s="2">
        <v>45958</v>
      </c>
      <c r="H35" s="3">
        <v>93</v>
      </c>
      <c r="I35" s="2" t="s">
        <v>442</v>
      </c>
      <c r="J35" s="2" t="s">
        <v>443</v>
      </c>
      <c r="K35" s="2" t="s">
        <v>444</v>
      </c>
      <c r="L35" s="2" t="s">
        <v>563</v>
      </c>
      <c r="M35" s="36" t="s">
        <v>446</v>
      </c>
      <c r="N35" s="2" t="s">
        <v>92</v>
      </c>
      <c r="O35" s="52" t="s">
        <v>564</v>
      </c>
      <c r="P35" s="2" t="s">
        <v>438</v>
      </c>
      <c r="Q35" s="4">
        <v>0</v>
      </c>
      <c r="R35" s="27">
        <v>0</v>
      </c>
      <c r="S35" s="4">
        <v>832000</v>
      </c>
      <c r="T35" s="4">
        <v>832000</v>
      </c>
      <c r="U35" s="34" t="s">
        <v>565</v>
      </c>
      <c r="V35" s="2" t="s">
        <v>566</v>
      </c>
      <c r="W35" s="82" t="s">
        <v>567</v>
      </c>
      <c r="X35" s="2" t="s">
        <v>429</v>
      </c>
      <c r="Y35" s="70" t="s">
        <v>209</v>
      </c>
      <c r="Z35" s="5" t="s">
        <v>25</v>
      </c>
      <c r="AA35" s="6">
        <v>0</v>
      </c>
      <c r="AB35" s="81" t="s">
        <v>26</v>
      </c>
      <c r="AC35" s="60" t="s">
        <v>93</v>
      </c>
      <c r="AD35" s="14" t="s">
        <v>357</v>
      </c>
      <c r="AE35" s="60" t="s">
        <v>93</v>
      </c>
      <c r="AF35" s="67" t="s">
        <v>139</v>
      </c>
    </row>
    <row r="36" spans="2:32" ht="50.25" customHeight="1" x14ac:dyDescent="0.3">
      <c r="B36" s="80" t="s">
        <v>230</v>
      </c>
      <c r="C36" s="2">
        <v>46029</v>
      </c>
      <c r="D36" s="2">
        <f>_xlfn.XLOOKUP(E36,[1]!Bookings[Booking Name],[1]!Bookings[Rejected Date])</f>
        <v>46031</v>
      </c>
      <c r="E36" s="78" t="s">
        <v>239</v>
      </c>
      <c r="F36" s="76" t="str">
        <f>_xlfn.XLOOKUP(E36,[1]!Bookings[Booking Name],[1]!Bookings[Booking Status])</f>
        <v>Rejected</v>
      </c>
      <c r="G36" s="2">
        <v>45961</v>
      </c>
      <c r="H36" s="3">
        <v>90</v>
      </c>
      <c r="I36" s="2" t="s">
        <v>442</v>
      </c>
      <c r="J36" s="2" t="s">
        <v>443</v>
      </c>
      <c r="K36" s="2" t="s">
        <v>444</v>
      </c>
      <c r="L36" s="2" t="s">
        <v>568</v>
      </c>
      <c r="M36" s="36" t="s">
        <v>446</v>
      </c>
      <c r="N36" s="2" t="s">
        <v>92</v>
      </c>
      <c r="O36" s="52" t="s">
        <v>569</v>
      </c>
      <c r="P36" s="2" t="s">
        <v>570</v>
      </c>
      <c r="Q36" s="4">
        <v>0</v>
      </c>
      <c r="R36" s="27">
        <v>0</v>
      </c>
      <c r="S36" s="4">
        <v>840000</v>
      </c>
      <c r="T36" s="4">
        <v>840000</v>
      </c>
      <c r="U36" s="34" t="s">
        <v>571</v>
      </c>
      <c r="V36" s="2" t="s">
        <v>572</v>
      </c>
      <c r="W36" s="82" t="s">
        <v>573</v>
      </c>
      <c r="X36" s="2" t="s">
        <v>429</v>
      </c>
      <c r="Y36" s="70" t="s">
        <v>209</v>
      </c>
      <c r="Z36" s="90">
        <v>8400</v>
      </c>
      <c r="AA36" s="6">
        <v>0.01</v>
      </c>
      <c r="AB36" s="81" t="s">
        <v>31</v>
      </c>
      <c r="AC36" s="60" t="s">
        <v>93</v>
      </c>
      <c r="AD36" s="14" t="s">
        <v>358</v>
      </c>
      <c r="AE36" s="60" t="s">
        <v>93</v>
      </c>
      <c r="AF36" s="81" t="s">
        <v>241</v>
      </c>
    </row>
    <row r="37" spans="2:32" ht="50.25" customHeight="1" x14ac:dyDescent="0.3">
      <c r="B37" s="80" t="s">
        <v>230</v>
      </c>
      <c r="C37" s="2">
        <v>46024</v>
      </c>
      <c r="D37" s="2">
        <f>_xlfn.XLOOKUP(E37,[1]!Bookings[Booking Name],[1]!Bookings[Rejected Date])</f>
        <v>46031</v>
      </c>
      <c r="E37" s="78" t="s">
        <v>238</v>
      </c>
      <c r="F37" s="76" t="str">
        <f>_xlfn.XLOOKUP(E37,[1]!Bookings[Booking Name],[1]!Bookings[Booking Status])</f>
        <v>Rejected</v>
      </c>
      <c r="G37" s="2">
        <v>45987</v>
      </c>
      <c r="H37" s="3">
        <v>64</v>
      </c>
      <c r="I37" s="2" t="s">
        <v>442</v>
      </c>
      <c r="J37" s="2" t="s">
        <v>443</v>
      </c>
      <c r="K37" s="2" t="s">
        <v>574</v>
      </c>
      <c r="L37" s="2" t="s">
        <v>575</v>
      </c>
      <c r="M37" s="36" t="s">
        <v>446</v>
      </c>
      <c r="N37" s="2" t="s">
        <v>92</v>
      </c>
      <c r="O37" s="52" t="s">
        <v>576</v>
      </c>
      <c r="P37" s="2" t="s">
        <v>477</v>
      </c>
      <c r="Q37" s="4">
        <v>0</v>
      </c>
      <c r="R37" s="27">
        <v>0</v>
      </c>
      <c r="S37" s="4">
        <v>2790000</v>
      </c>
      <c r="T37" s="4">
        <v>2790000</v>
      </c>
      <c r="U37" s="34" t="s">
        <v>577</v>
      </c>
      <c r="V37" s="2" t="s">
        <v>578</v>
      </c>
      <c r="W37" s="82" t="s">
        <v>579</v>
      </c>
      <c r="X37" s="2" t="s">
        <v>429</v>
      </c>
      <c r="Y37" s="70" t="e">
        <v>#N/A</v>
      </c>
      <c r="Z37" s="90">
        <v>7345.2</v>
      </c>
      <c r="AA37" s="6">
        <v>2.6326881720430107E-3</v>
      </c>
      <c r="AB37" s="81" t="s">
        <v>31</v>
      </c>
      <c r="AC37" s="60" t="s">
        <v>93</v>
      </c>
      <c r="AD37" s="14" t="s">
        <v>359</v>
      </c>
      <c r="AE37" s="60" t="s">
        <v>93</v>
      </c>
      <c r="AF37" s="81" t="s">
        <v>241</v>
      </c>
    </row>
    <row r="38" spans="2:32" ht="50.25" customHeight="1" x14ac:dyDescent="0.3">
      <c r="B38" s="80" t="s">
        <v>230</v>
      </c>
      <c r="C38" s="2">
        <v>46024</v>
      </c>
      <c r="D38" s="2">
        <f>_xlfn.XLOOKUP(E38,[1]!Bookings[Booking Name],[1]!Bookings[Rejected Date])</f>
        <v>46031</v>
      </c>
      <c r="E38" s="86" t="s">
        <v>231</v>
      </c>
      <c r="F38" s="76" t="str">
        <f>_xlfn.XLOOKUP(E38,[1]!Bookings[Booking Name],[1]!Bookings[Booking Status])</f>
        <v>Rejected</v>
      </c>
      <c r="G38" s="2">
        <v>45896</v>
      </c>
      <c r="H38" s="3">
        <v>155</v>
      </c>
      <c r="I38" s="2" t="s">
        <v>442</v>
      </c>
      <c r="J38" s="2" t="s">
        <v>580</v>
      </c>
      <c r="K38" s="2" t="s">
        <v>444</v>
      </c>
      <c r="L38" s="2" t="s">
        <v>581</v>
      </c>
      <c r="M38" s="36" t="s">
        <v>426</v>
      </c>
      <c r="N38" s="2" t="s">
        <v>92</v>
      </c>
      <c r="O38" s="52" t="s">
        <v>582</v>
      </c>
      <c r="P38" s="2" t="s">
        <v>471</v>
      </c>
      <c r="Q38" s="4">
        <v>0</v>
      </c>
      <c r="R38" s="27">
        <v>0</v>
      </c>
      <c r="S38" s="4">
        <v>805000</v>
      </c>
      <c r="T38" s="4">
        <v>805000</v>
      </c>
      <c r="U38" s="34" t="s">
        <v>583</v>
      </c>
      <c r="V38" s="2" t="s">
        <v>584</v>
      </c>
      <c r="W38" s="82" t="s">
        <v>585</v>
      </c>
      <c r="X38" s="2" t="s">
        <v>429</v>
      </c>
      <c r="Y38" s="70" t="s">
        <v>209</v>
      </c>
      <c r="Z38" s="90">
        <v>5000</v>
      </c>
      <c r="AA38" s="6">
        <v>6.2111801242236021E-3</v>
      </c>
      <c r="AB38" s="81" t="s">
        <v>26</v>
      </c>
      <c r="AC38" s="105" t="s">
        <v>289</v>
      </c>
      <c r="AD38" s="14" t="s">
        <v>360</v>
      </c>
      <c r="AE38" s="95" t="s">
        <v>276</v>
      </c>
      <c r="AF38" s="95" t="s">
        <v>277</v>
      </c>
    </row>
    <row r="39" spans="2:32" ht="50.25" customHeight="1" x14ac:dyDescent="0.3">
      <c r="B39" s="78" t="s">
        <v>223</v>
      </c>
      <c r="C39" s="2">
        <v>46021</v>
      </c>
      <c r="D39" s="2">
        <f>_xlfn.XLOOKUP(E39,[1]!Bookings[Booking Name],[1]!Bookings[Rejected Date])</f>
        <v>46031</v>
      </c>
      <c r="E39" s="78" t="s">
        <v>229</v>
      </c>
      <c r="F39" s="76" t="str">
        <f>_xlfn.XLOOKUP(E39,[1]!Bookings[Booking Name],[1]!Bookings[Booking Status])</f>
        <v>Rejected</v>
      </c>
      <c r="G39" s="2">
        <v>45987</v>
      </c>
      <c r="H39" s="3">
        <v>64</v>
      </c>
      <c r="I39" s="2" t="s">
        <v>484</v>
      </c>
      <c r="J39" s="2" t="s">
        <v>424</v>
      </c>
      <c r="K39" s="2" t="s">
        <v>485</v>
      </c>
      <c r="L39" s="2" t="s">
        <v>586</v>
      </c>
      <c r="M39" s="36" t="s">
        <v>446</v>
      </c>
      <c r="N39" s="2" t="s">
        <v>92</v>
      </c>
      <c r="O39" s="52" t="s">
        <v>587</v>
      </c>
      <c r="P39" s="2" t="s">
        <v>540</v>
      </c>
      <c r="Q39" s="4">
        <v>0</v>
      </c>
      <c r="R39" s="27">
        <v>0</v>
      </c>
      <c r="S39" s="4">
        <v>2670000</v>
      </c>
      <c r="T39" s="4">
        <v>2670000</v>
      </c>
      <c r="U39" s="34" t="s">
        <v>571</v>
      </c>
      <c r="V39" s="2" t="s">
        <v>588</v>
      </c>
      <c r="W39" s="82" t="s">
        <v>589</v>
      </c>
      <c r="X39" s="2" t="s">
        <v>429</v>
      </c>
      <c r="Y39" s="70" t="e">
        <v>#N/A</v>
      </c>
      <c r="Z39" s="90">
        <v>10000</v>
      </c>
      <c r="AA39" s="6">
        <v>3.7453183520599251E-3</v>
      </c>
      <c r="AB39" s="79" t="s">
        <v>31</v>
      </c>
      <c r="AC39" s="12" t="s">
        <v>228</v>
      </c>
      <c r="AD39" s="107" t="s">
        <v>361</v>
      </c>
      <c r="AE39" s="60" t="s">
        <v>32</v>
      </c>
      <c r="AF39" s="29" t="s">
        <v>97</v>
      </c>
    </row>
    <row r="40" spans="2:32" ht="50.25" customHeight="1" x14ac:dyDescent="0.3">
      <c r="B40" s="76" t="s">
        <v>223</v>
      </c>
      <c r="C40" s="2">
        <v>46015</v>
      </c>
      <c r="D40" s="2">
        <f>_xlfn.XLOOKUP(E40,[1]!Bookings[Booking Name],[1]!Bookings[Rejected Date])</f>
        <v>46020</v>
      </c>
      <c r="E40" s="76" t="s">
        <v>227</v>
      </c>
      <c r="F40" s="76" t="str">
        <f>_xlfn.XLOOKUP(E40,[1]!Bookings[Booking Name],[1]!Bookings[Booking Status])</f>
        <v>Rejected</v>
      </c>
      <c r="G40" s="2">
        <v>45960</v>
      </c>
      <c r="H40" s="3">
        <v>91</v>
      </c>
      <c r="I40" s="2" t="s">
        <v>442</v>
      </c>
      <c r="J40" s="2" t="s">
        <v>443</v>
      </c>
      <c r="K40" s="2" t="s">
        <v>444</v>
      </c>
      <c r="L40" s="2" t="s">
        <v>590</v>
      </c>
      <c r="M40" s="36" t="s">
        <v>446</v>
      </c>
      <c r="N40" s="2" t="s">
        <v>92</v>
      </c>
      <c r="O40" s="52" t="s">
        <v>591</v>
      </c>
      <c r="P40" s="2" t="s">
        <v>438</v>
      </c>
      <c r="Q40" s="4">
        <v>0</v>
      </c>
      <c r="R40" s="27">
        <v>0</v>
      </c>
      <c r="S40" s="4">
        <v>854000</v>
      </c>
      <c r="T40" s="4">
        <v>854000</v>
      </c>
      <c r="U40" s="34" t="s">
        <v>505</v>
      </c>
      <c r="V40" s="2" t="s">
        <v>592</v>
      </c>
      <c r="W40" s="82" t="s">
        <v>593</v>
      </c>
      <c r="X40" s="2" t="s">
        <v>429</v>
      </c>
      <c r="Y40" s="70" t="s">
        <v>209</v>
      </c>
      <c r="Z40" s="90">
        <v>8160</v>
      </c>
      <c r="AA40" s="6">
        <v>9.5550351288056206E-3</v>
      </c>
      <c r="AB40" s="77" t="s">
        <v>31</v>
      </c>
      <c r="AC40" s="12" t="s">
        <v>228</v>
      </c>
      <c r="AD40" s="107" t="s">
        <v>362</v>
      </c>
      <c r="AE40" s="60" t="s">
        <v>32</v>
      </c>
      <c r="AF40" s="81" t="s">
        <v>97</v>
      </c>
    </row>
    <row r="41" spans="2:32" ht="50.25" customHeight="1" x14ac:dyDescent="0.3">
      <c r="B41" s="80" t="s">
        <v>223</v>
      </c>
      <c r="C41" s="2">
        <v>46014</v>
      </c>
      <c r="D41" s="2">
        <f>_xlfn.XLOOKUP(E41,[1]!Bookings[Booking Name],[1]!Bookings[Rejected Date])</f>
        <v>46031</v>
      </c>
      <c r="E41" s="78" t="s">
        <v>237</v>
      </c>
      <c r="F41" s="76" t="str">
        <f>_xlfn.XLOOKUP(E41,[1]!Bookings[Booking Name],[1]!Bookings[Booking Status])</f>
        <v>Rejected</v>
      </c>
      <c r="G41" s="2">
        <v>45994</v>
      </c>
      <c r="H41" s="3">
        <v>57</v>
      </c>
      <c r="I41" s="2" t="s">
        <v>442</v>
      </c>
      <c r="J41" s="2" t="s">
        <v>580</v>
      </c>
      <c r="K41" s="2" t="s">
        <v>444</v>
      </c>
      <c r="L41" s="2" t="s">
        <v>594</v>
      </c>
      <c r="M41" s="36" t="s">
        <v>446</v>
      </c>
      <c r="N41" s="2" t="s">
        <v>92</v>
      </c>
      <c r="O41" s="52" t="s">
        <v>595</v>
      </c>
      <c r="P41" s="2" t="s">
        <v>438</v>
      </c>
      <c r="Q41" s="4">
        <v>0</v>
      </c>
      <c r="R41" s="27">
        <v>0</v>
      </c>
      <c r="S41" s="4">
        <v>871000</v>
      </c>
      <c r="T41" s="4">
        <v>871000</v>
      </c>
      <c r="U41" s="34" t="s">
        <v>596</v>
      </c>
      <c r="V41" s="2" t="s">
        <v>578</v>
      </c>
      <c r="W41" s="82" t="s">
        <v>597</v>
      </c>
      <c r="X41" s="2" t="s">
        <v>429</v>
      </c>
      <c r="Y41" s="70" t="e">
        <v>#N/A</v>
      </c>
      <c r="Z41" s="90">
        <v>12500</v>
      </c>
      <c r="AA41" s="6">
        <v>1.4351320321469576E-2</v>
      </c>
      <c r="AB41" s="81" t="s">
        <v>31</v>
      </c>
      <c r="AC41" s="12" t="s">
        <v>243</v>
      </c>
      <c r="AD41" s="107" t="s">
        <v>363</v>
      </c>
      <c r="AE41" s="60" t="s">
        <v>32</v>
      </c>
      <c r="AF41" s="81" t="s">
        <v>97</v>
      </c>
    </row>
    <row r="42" spans="2:32" ht="50.25" customHeight="1" x14ac:dyDescent="0.3">
      <c r="B42" s="80" t="s">
        <v>223</v>
      </c>
      <c r="C42" s="2">
        <v>46010</v>
      </c>
      <c r="D42" s="2">
        <f>_xlfn.XLOOKUP(E42,[1]!Bookings[Booking Name],[1]!Bookings[Rejected Date])</f>
        <v>46031</v>
      </c>
      <c r="E42" s="78" t="s">
        <v>236</v>
      </c>
      <c r="F42" s="76" t="str">
        <f>_xlfn.XLOOKUP(E42,[1]!Bookings[Booking Name],[1]!Bookings[Booking Status])</f>
        <v>Rejected</v>
      </c>
      <c r="G42" s="2">
        <v>45871</v>
      </c>
      <c r="H42" s="3">
        <v>180</v>
      </c>
      <c r="I42" s="2" t="s">
        <v>442</v>
      </c>
      <c r="J42" s="2" t="s">
        <v>580</v>
      </c>
      <c r="K42" s="2" t="s">
        <v>485</v>
      </c>
      <c r="L42" s="2" t="s">
        <v>598</v>
      </c>
      <c r="M42" s="36" t="s">
        <v>446</v>
      </c>
      <c r="N42" s="2" t="s">
        <v>92</v>
      </c>
      <c r="O42" s="52" t="s">
        <v>599</v>
      </c>
      <c r="P42" s="2" t="s">
        <v>600</v>
      </c>
      <c r="Q42" s="4">
        <v>-47634</v>
      </c>
      <c r="R42" s="27">
        <v>-3.4000000000000002E-2</v>
      </c>
      <c r="S42" s="4">
        <v>1448634</v>
      </c>
      <c r="T42" s="4">
        <v>1401000</v>
      </c>
      <c r="U42" s="34" t="s">
        <v>79</v>
      </c>
      <c r="V42" s="2" t="s">
        <v>601</v>
      </c>
      <c r="W42" s="82" t="s">
        <v>602</v>
      </c>
      <c r="X42" s="2" t="s">
        <v>429</v>
      </c>
      <c r="Y42" s="70" t="s">
        <v>209</v>
      </c>
      <c r="Z42" s="90">
        <v>20000</v>
      </c>
      <c r="AA42" s="6">
        <v>1.3806109755811338E-2</v>
      </c>
      <c r="AB42" s="81" t="s">
        <v>242</v>
      </c>
      <c r="AC42" s="60" t="s">
        <v>93</v>
      </c>
      <c r="AD42" s="14" t="s">
        <v>364</v>
      </c>
      <c r="AE42" s="60" t="s">
        <v>93</v>
      </c>
      <c r="AF42" s="81" t="s">
        <v>139</v>
      </c>
    </row>
    <row r="43" spans="2:32" ht="50.25" customHeight="1" x14ac:dyDescent="0.3">
      <c r="B43" s="80" t="s">
        <v>223</v>
      </c>
      <c r="C43" s="2">
        <v>46009</v>
      </c>
      <c r="D43" s="2">
        <f>_xlfn.XLOOKUP(E43,[1]!Bookings[Booking Name],[1]!Bookings[Rejected Date])</f>
        <v>46031</v>
      </c>
      <c r="E43" s="78" t="s">
        <v>235</v>
      </c>
      <c r="F43" s="76" t="str">
        <f>_xlfn.XLOOKUP(E43,[1]!Bookings[Booking Name],[1]!Bookings[Booking Status])</f>
        <v>Rejected</v>
      </c>
      <c r="G43" s="2">
        <v>45939</v>
      </c>
      <c r="H43" s="3">
        <v>112</v>
      </c>
      <c r="I43" s="2" t="s">
        <v>442</v>
      </c>
      <c r="J43" s="2" t="s">
        <v>443</v>
      </c>
      <c r="K43" s="2" t="s">
        <v>444</v>
      </c>
      <c r="L43" s="2" t="s">
        <v>603</v>
      </c>
      <c r="M43" s="36" t="s">
        <v>431</v>
      </c>
      <c r="N43" s="2" t="s">
        <v>92</v>
      </c>
      <c r="O43" s="52" t="s">
        <v>604</v>
      </c>
      <c r="P43" s="2" t="s">
        <v>605</v>
      </c>
      <c r="Q43" s="4">
        <v>43800</v>
      </c>
      <c r="R43" s="27">
        <v>0.05</v>
      </c>
      <c r="S43" s="4">
        <v>832200</v>
      </c>
      <c r="T43" s="4">
        <v>876000</v>
      </c>
      <c r="U43" s="34" t="s">
        <v>606</v>
      </c>
      <c r="V43" s="2" t="s">
        <v>607</v>
      </c>
      <c r="W43" s="82" t="s">
        <v>608</v>
      </c>
      <c r="X43" s="2" t="s">
        <v>429</v>
      </c>
      <c r="Y43" s="70" t="s">
        <v>209</v>
      </c>
      <c r="Z43" s="90">
        <v>8450</v>
      </c>
      <c r="AA43" s="6">
        <v>1.015380918048546E-2</v>
      </c>
      <c r="AB43" s="81" t="s">
        <v>26</v>
      </c>
      <c r="AC43" s="60" t="s">
        <v>93</v>
      </c>
      <c r="AD43" s="14" t="s">
        <v>365</v>
      </c>
      <c r="AE43" s="60" t="s">
        <v>93</v>
      </c>
      <c r="AF43" s="81" t="s">
        <v>241</v>
      </c>
    </row>
    <row r="44" spans="2:32" ht="50.25" customHeight="1" x14ac:dyDescent="0.3">
      <c r="B44" s="80" t="s">
        <v>223</v>
      </c>
      <c r="C44" s="2">
        <v>46009</v>
      </c>
      <c r="D44" s="2">
        <f>_xlfn.XLOOKUP(E44,[1]!Bookings[Booking Name],[1]!Bookings[Rejected Date])</f>
        <v>46031</v>
      </c>
      <c r="E44" s="78" t="s">
        <v>234</v>
      </c>
      <c r="F44" s="76" t="str">
        <f>_xlfn.XLOOKUP(E44,[1]!Bookings[Booking Name],[1]!Bookings[Booking Status])</f>
        <v>Rejected</v>
      </c>
      <c r="G44" s="2">
        <v>45933</v>
      </c>
      <c r="H44" s="3">
        <v>118</v>
      </c>
      <c r="I44" s="2" t="s">
        <v>442</v>
      </c>
      <c r="J44" s="2" t="s">
        <v>443</v>
      </c>
      <c r="K44" s="2" t="s">
        <v>444</v>
      </c>
      <c r="L44" s="2" t="s">
        <v>609</v>
      </c>
      <c r="M44" s="36" t="s">
        <v>446</v>
      </c>
      <c r="N44" s="2" t="s">
        <v>92</v>
      </c>
      <c r="O44" s="52" t="s">
        <v>610</v>
      </c>
      <c r="P44" s="2" t="s">
        <v>605</v>
      </c>
      <c r="Q44" s="4">
        <v>48300</v>
      </c>
      <c r="R44" s="27">
        <v>0.05</v>
      </c>
      <c r="S44" s="4">
        <v>917700</v>
      </c>
      <c r="T44" s="4">
        <v>966000</v>
      </c>
      <c r="U44" s="34" t="s">
        <v>606</v>
      </c>
      <c r="V44" s="2" t="s">
        <v>607</v>
      </c>
      <c r="W44" s="82" t="s">
        <v>611</v>
      </c>
      <c r="X44" s="2" t="s">
        <v>429</v>
      </c>
      <c r="Y44" s="70" t="s">
        <v>209</v>
      </c>
      <c r="Z44" s="90">
        <v>8450</v>
      </c>
      <c r="AA44" s="6">
        <v>9.2078021139806038E-3</v>
      </c>
      <c r="AB44" s="81" t="s">
        <v>31</v>
      </c>
      <c r="AC44" s="60" t="s">
        <v>93</v>
      </c>
      <c r="AD44" s="14" t="s">
        <v>366</v>
      </c>
      <c r="AE44" s="60" t="s">
        <v>93</v>
      </c>
      <c r="AF44" s="81" t="s">
        <v>241</v>
      </c>
    </row>
    <row r="45" spans="2:32" ht="50.25" customHeight="1" x14ac:dyDescent="0.3">
      <c r="B45" s="80" t="s">
        <v>223</v>
      </c>
      <c r="C45" s="2">
        <v>46006</v>
      </c>
      <c r="D45" s="2">
        <f>_xlfn.XLOOKUP(E45,[1]!Bookings[Booking Name],[1]!Bookings[Rejected Date])</f>
        <v>46031</v>
      </c>
      <c r="E45" s="80" t="s">
        <v>233</v>
      </c>
      <c r="F45" s="76" t="str">
        <f>_xlfn.XLOOKUP(E45,[1]!Bookings[Booking Name],[1]!Bookings[Booking Status])</f>
        <v>Rejected</v>
      </c>
      <c r="G45" s="2">
        <v>45896</v>
      </c>
      <c r="H45" s="3">
        <v>155</v>
      </c>
      <c r="I45" s="2" t="s">
        <v>442</v>
      </c>
      <c r="J45" s="2" t="s">
        <v>580</v>
      </c>
      <c r="K45" s="2" t="s">
        <v>444</v>
      </c>
      <c r="L45" s="2" t="s">
        <v>612</v>
      </c>
      <c r="M45" s="36" t="s">
        <v>426</v>
      </c>
      <c r="N45" s="2" t="s">
        <v>92</v>
      </c>
      <c r="O45" s="52" t="s">
        <v>613</v>
      </c>
      <c r="P45" s="2" t="s">
        <v>471</v>
      </c>
      <c r="Q45" s="4">
        <v>0</v>
      </c>
      <c r="R45" s="27">
        <v>0</v>
      </c>
      <c r="S45" s="4">
        <v>805000</v>
      </c>
      <c r="T45" s="4">
        <v>805000</v>
      </c>
      <c r="U45" s="34" t="s">
        <v>583</v>
      </c>
      <c r="V45" s="2" t="s">
        <v>584</v>
      </c>
      <c r="W45" s="82" t="s">
        <v>614</v>
      </c>
      <c r="X45" s="2" t="s">
        <v>429</v>
      </c>
      <c r="Y45" s="70" t="s">
        <v>209</v>
      </c>
      <c r="Z45" s="90">
        <v>5000</v>
      </c>
      <c r="AA45" s="6">
        <v>6.2111801242236021E-3</v>
      </c>
      <c r="AB45" s="81" t="s">
        <v>26</v>
      </c>
      <c r="AC45" s="105" t="s">
        <v>289</v>
      </c>
      <c r="AD45" s="14" t="s">
        <v>367</v>
      </c>
      <c r="AE45" s="105" t="s">
        <v>289</v>
      </c>
      <c r="AF45" s="95" t="s">
        <v>277</v>
      </c>
    </row>
    <row r="46" spans="2:32" ht="50.25" customHeight="1" x14ac:dyDescent="0.3">
      <c r="B46" s="80" t="s">
        <v>223</v>
      </c>
      <c r="C46" s="2">
        <v>46006</v>
      </c>
      <c r="D46" s="2">
        <f>_xlfn.XLOOKUP(E46,[1]!Bookings[Booking Name],[1]!Bookings[Rejected Date])</f>
        <v>46031</v>
      </c>
      <c r="E46" s="80" t="s">
        <v>232</v>
      </c>
      <c r="F46" s="76" t="str">
        <f>_xlfn.XLOOKUP(E46,[1]!Bookings[Booking Name],[1]!Bookings[Booking Status])</f>
        <v>Rejected</v>
      </c>
      <c r="G46" s="2">
        <v>45896</v>
      </c>
      <c r="H46" s="3">
        <v>155</v>
      </c>
      <c r="I46" s="2" t="s">
        <v>442</v>
      </c>
      <c r="J46" s="2" t="s">
        <v>580</v>
      </c>
      <c r="K46" s="2" t="s">
        <v>444</v>
      </c>
      <c r="L46" s="2" t="s">
        <v>615</v>
      </c>
      <c r="M46" s="36" t="s">
        <v>426</v>
      </c>
      <c r="N46" s="2" t="s">
        <v>92</v>
      </c>
      <c r="O46" s="52" t="s">
        <v>616</v>
      </c>
      <c r="P46" s="2" t="s">
        <v>471</v>
      </c>
      <c r="Q46" s="4">
        <v>0</v>
      </c>
      <c r="R46" s="27">
        <v>0</v>
      </c>
      <c r="S46" s="4">
        <v>806000</v>
      </c>
      <c r="T46" s="4">
        <v>806000</v>
      </c>
      <c r="U46" s="34" t="s">
        <v>583</v>
      </c>
      <c r="V46" s="2" t="s">
        <v>584</v>
      </c>
      <c r="W46" s="82" t="s">
        <v>617</v>
      </c>
      <c r="X46" s="2" t="s">
        <v>429</v>
      </c>
      <c r="Y46" s="70" t="s">
        <v>209</v>
      </c>
      <c r="Z46" s="90">
        <v>5000</v>
      </c>
      <c r="AA46" s="6">
        <v>6.2034739454094297E-3</v>
      </c>
      <c r="AB46" s="81" t="s">
        <v>26</v>
      </c>
      <c r="AC46" s="105" t="s">
        <v>289</v>
      </c>
      <c r="AD46" s="14" t="s">
        <v>368</v>
      </c>
      <c r="AE46" s="105" t="s">
        <v>289</v>
      </c>
      <c r="AF46" s="95" t="s">
        <v>277</v>
      </c>
    </row>
    <row r="47" spans="2:32" ht="50.25" customHeight="1" x14ac:dyDescent="0.3">
      <c r="B47" s="74" t="s">
        <v>223</v>
      </c>
      <c r="C47" s="2">
        <v>46003</v>
      </c>
      <c r="D47" s="2">
        <f>_xlfn.XLOOKUP(E47,[1]!Bookings[Booking Name],[1]!Bookings[Rejected Date])</f>
        <v>46013</v>
      </c>
      <c r="E47" s="74" t="s">
        <v>226</v>
      </c>
      <c r="F47" s="76" t="str">
        <f>_xlfn.XLOOKUP(E47,[1]!Bookings[Booking Name],[1]!Bookings[Booking Status])</f>
        <v>Rejected</v>
      </c>
      <c r="G47" s="2">
        <v>45960</v>
      </c>
      <c r="H47" s="3">
        <v>91</v>
      </c>
      <c r="I47" s="2" t="s">
        <v>442</v>
      </c>
      <c r="J47" s="2" t="s">
        <v>580</v>
      </c>
      <c r="K47" s="2" t="s">
        <v>444</v>
      </c>
      <c r="L47" s="2" t="s">
        <v>618</v>
      </c>
      <c r="M47" s="36" t="s">
        <v>619</v>
      </c>
      <c r="N47" s="2" t="s">
        <v>92</v>
      </c>
      <c r="O47" s="52" t="s">
        <v>620</v>
      </c>
      <c r="P47" s="2" t="s">
        <v>621</v>
      </c>
      <c r="Q47" s="4">
        <v>39700</v>
      </c>
      <c r="R47" s="27">
        <v>0.05</v>
      </c>
      <c r="S47" s="4">
        <v>754300</v>
      </c>
      <c r="T47" s="4">
        <v>794000</v>
      </c>
      <c r="U47" s="34" t="s">
        <v>433</v>
      </c>
      <c r="V47" s="2" t="s">
        <v>622</v>
      </c>
      <c r="W47" s="82" t="s">
        <v>623</v>
      </c>
      <c r="X47" s="2" t="s">
        <v>429</v>
      </c>
      <c r="Y47" s="70" t="s">
        <v>209</v>
      </c>
      <c r="Z47" s="90">
        <v>10000</v>
      </c>
      <c r="AA47" s="6">
        <v>1.3257324671881215E-2</v>
      </c>
      <c r="AB47" s="75" t="s">
        <v>31</v>
      </c>
      <c r="AC47" s="60" t="s">
        <v>93</v>
      </c>
      <c r="AD47" s="14" t="s">
        <v>369</v>
      </c>
      <c r="AE47" s="60" t="s">
        <v>93</v>
      </c>
      <c r="AF47" s="67" t="s">
        <v>139</v>
      </c>
    </row>
    <row r="48" spans="2:32" ht="50.25" customHeight="1" x14ac:dyDescent="0.3">
      <c r="B48" s="72" t="s">
        <v>223</v>
      </c>
      <c r="C48" s="2">
        <v>45994</v>
      </c>
      <c r="D48" s="2">
        <f>_xlfn.XLOOKUP(E48,[1]!Bookings[Booking Name],[1]!Bookings[Rejected Date])</f>
        <v>46001</v>
      </c>
      <c r="E48" s="72" t="s">
        <v>225</v>
      </c>
      <c r="F48" s="76" t="str">
        <f>_xlfn.XLOOKUP(E48,[1]!Bookings[Booking Name],[1]!Bookings[Booking Status])</f>
        <v>Rejected</v>
      </c>
      <c r="G48" s="2">
        <v>45970</v>
      </c>
      <c r="H48" s="3">
        <v>81</v>
      </c>
      <c r="I48" s="2" t="s">
        <v>442</v>
      </c>
      <c r="J48" s="2" t="s">
        <v>443</v>
      </c>
      <c r="K48" s="2" t="s">
        <v>444</v>
      </c>
      <c r="L48" s="2" t="s">
        <v>624</v>
      </c>
      <c r="M48" s="36" t="s">
        <v>446</v>
      </c>
      <c r="N48" s="2" t="s">
        <v>92</v>
      </c>
      <c r="O48" s="52" t="s">
        <v>625</v>
      </c>
      <c r="P48" s="2" t="s">
        <v>626</v>
      </c>
      <c r="Q48" s="4">
        <v>47420</v>
      </c>
      <c r="R48" s="27">
        <v>5.0770877944325485E-2</v>
      </c>
      <c r="S48" s="4">
        <v>886580</v>
      </c>
      <c r="T48" s="4">
        <v>934000</v>
      </c>
      <c r="U48" s="34" t="s">
        <v>627</v>
      </c>
      <c r="V48" s="2" t="s">
        <v>628</v>
      </c>
      <c r="W48" s="82" t="s">
        <v>629</v>
      </c>
      <c r="X48" s="2" t="s">
        <v>429</v>
      </c>
      <c r="Y48" s="70" t="s">
        <v>209</v>
      </c>
      <c r="Z48" s="90">
        <v>3000</v>
      </c>
      <c r="AA48" s="6">
        <v>3.383789392948183E-3</v>
      </c>
      <c r="AB48" s="73" t="s">
        <v>37</v>
      </c>
      <c r="AC48" s="12" t="s">
        <v>167</v>
      </c>
      <c r="AD48" s="107" t="s">
        <v>370</v>
      </c>
      <c r="AE48" s="60" t="s">
        <v>32</v>
      </c>
      <c r="AF48" s="41" t="s">
        <v>114</v>
      </c>
    </row>
    <row r="49" spans="2:32" ht="50.25" customHeight="1" x14ac:dyDescent="0.3">
      <c r="B49" s="72" t="s">
        <v>223</v>
      </c>
      <c r="C49" s="2">
        <v>45994</v>
      </c>
      <c r="D49" s="2">
        <f>_xlfn.XLOOKUP(E49,[1]!Bookings[Booking Name],[1]!Bookings[Rejected Date])</f>
        <v>45995</v>
      </c>
      <c r="E49" s="72" t="s">
        <v>218</v>
      </c>
      <c r="F49" s="76" t="str">
        <f>_xlfn.XLOOKUP(E49,[1]!Bookings[Booking Name],[1]!Bookings[Booking Status])</f>
        <v>Rejected</v>
      </c>
      <c r="G49" s="2">
        <v>45973</v>
      </c>
      <c r="H49" s="3">
        <v>78</v>
      </c>
      <c r="I49" s="2" t="s">
        <v>630</v>
      </c>
      <c r="J49" s="2" t="s">
        <v>631</v>
      </c>
      <c r="K49" s="2" t="s">
        <v>444</v>
      </c>
      <c r="L49" s="2" t="s">
        <v>632</v>
      </c>
      <c r="M49" s="36" t="s">
        <v>446</v>
      </c>
      <c r="N49" s="2" t="s">
        <v>92</v>
      </c>
      <c r="O49" s="52" t="s">
        <v>633</v>
      </c>
      <c r="P49" s="2" t="s">
        <v>520</v>
      </c>
      <c r="Q49" s="4">
        <v>1598750</v>
      </c>
      <c r="R49" s="27">
        <v>0.11618822674418605</v>
      </c>
      <c r="S49" s="4">
        <v>12161250</v>
      </c>
      <c r="T49" s="4">
        <v>13760000</v>
      </c>
      <c r="U49" s="34" t="s">
        <v>634</v>
      </c>
      <c r="V49" s="2" t="s">
        <v>521</v>
      </c>
      <c r="W49" s="82" t="s">
        <v>635</v>
      </c>
      <c r="X49" s="2" t="s">
        <v>429</v>
      </c>
      <c r="Y49" s="70" t="s">
        <v>209</v>
      </c>
      <c r="Z49" s="65" t="s">
        <v>25</v>
      </c>
      <c r="AA49" s="6">
        <v>0</v>
      </c>
      <c r="AB49" s="65" t="s">
        <v>26</v>
      </c>
      <c r="AC49" s="12" t="s">
        <v>220</v>
      </c>
      <c r="AD49" s="107" t="s">
        <v>371</v>
      </c>
      <c r="AE49" s="69" t="s">
        <v>221</v>
      </c>
      <c r="AF49" s="69" t="s">
        <v>221</v>
      </c>
    </row>
    <row r="50" spans="2:32" ht="50.25" customHeight="1" x14ac:dyDescent="0.3">
      <c r="B50" s="2" t="s">
        <v>165</v>
      </c>
      <c r="C50" s="2">
        <v>45991</v>
      </c>
      <c r="D50" s="2">
        <f>_xlfn.XLOOKUP(E50,[1]!Bookings[Booking Name],[1]!Bookings[Rejected Date])</f>
        <v>45995</v>
      </c>
      <c r="E50" s="68" t="s">
        <v>219</v>
      </c>
      <c r="F50" s="76" t="str">
        <f>_xlfn.XLOOKUP(E50,[1]!Bookings[Booking Name],[1]!Bookings[Booking Status])</f>
        <v>Rejected</v>
      </c>
      <c r="G50" s="2">
        <v>45973</v>
      </c>
      <c r="H50" s="3">
        <v>78</v>
      </c>
      <c r="I50" s="2" t="s">
        <v>630</v>
      </c>
      <c r="J50" s="2" t="s">
        <v>636</v>
      </c>
      <c r="K50" s="2" t="s">
        <v>429</v>
      </c>
      <c r="L50" s="2" t="s">
        <v>637</v>
      </c>
      <c r="M50" s="36" t="s">
        <v>446</v>
      </c>
      <c r="N50" s="2" t="s">
        <v>92</v>
      </c>
      <c r="O50" s="52" t="s">
        <v>638</v>
      </c>
      <c r="P50" s="2" t="s">
        <v>429</v>
      </c>
      <c r="Q50" s="4">
        <v>0</v>
      </c>
      <c r="R50" s="27">
        <v>0</v>
      </c>
      <c r="S50" s="4">
        <v>20728125</v>
      </c>
      <c r="T50" s="4">
        <v>20728125</v>
      </c>
      <c r="U50" s="34" t="s">
        <v>639</v>
      </c>
      <c r="V50" s="2" t="s">
        <v>521</v>
      </c>
      <c r="W50" s="82" t="s">
        <v>640</v>
      </c>
      <c r="X50" s="2" t="s">
        <v>429</v>
      </c>
      <c r="Y50" s="70" t="s">
        <v>209</v>
      </c>
      <c r="Z50" s="65" t="s">
        <v>25</v>
      </c>
      <c r="AA50" s="6">
        <v>0</v>
      </c>
      <c r="AB50" s="65" t="s">
        <v>26</v>
      </c>
      <c r="AC50" s="12" t="s">
        <v>220</v>
      </c>
      <c r="AD50" s="107" t="s">
        <v>372</v>
      </c>
      <c r="AE50" s="69" t="s">
        <v>221</v>
      </c>
      <c r="AF50" s="69" t="s">
        <v>221</v>
      </c>
    </row>
    <row r="51" spans="2:32" ht="50.25" customHeight="1" x14ac:dyDescent="0.3">
      <c r="B51" s="2" t="s">
        <v>165</v>
      </c>
      <c r="C51" s="2">
        <v>45991</v>
      </c>
      <c r="D51" s="2">
        <f>_xlfn.XLOOKUP(E51,[1]!Bookings[Booking Name],[1]!Bookings[Rejected Date])</f>
        <v>45994</v>
      </c>
      <c r="E51" s="71" t="s">
        <v>217</v>
      </c>
      <c r="F51" s="76" t="str">
        <f>_xlfn.XLOOKUP(E51,[1]!Bookings[Booking Name],[1]!Bookings[Booking Status])</f>
        <v>Rejected</v>
      </c>
      <c r="G51" s="2">
        <v>45973</v>
      </c>
      <c r="H51" s="3">
        <v>78</v>
      </c>
      <c r="I51" s="2" t="s">
        <v>630</v>
      </c>
      <c r="J51" s="2" t="s">
        <v>631</v>
      </c>
      <c r="K51" s="2" t="s">
        <v>468</v>
      </c>
      <c r="L51" s="2" t="s">
        <v>641</v>
      </c>
      <c r="M51" s="36" t="s">
        <v>426</v>
      </c>
      <c r="N51" s="2" t="s">
        <v>92</v>
      </c>
      <c r="O51" s="52" t="s">
        <v>642</v>
      </c>
      <c r="P51" s="2" t="s">
        <v>465</v>
      </c>
      <c r="Q51" s="4">
        <v>0</v>
      </c>
      <c r="R51" s="27">
        <v>0</v>
      </c>
      <c r="S51" s="4">
        <v>22912500</v>
      </c>
      <c r="T51" s="4">
        <v>22912500</v>
      </c>
      <c r="U51" s="34" t="s">
        <v>643</v>
      </c>
      <c r="V51" s="2" t="s">
        <v>521</v>
      </c>
      <c r="W51" s="82" t="s">
        <v>644</v>
      </c>
      <c r="X51" s="2" t="s">
        <v>429</v>
      </c>
      <c r="Y51" s="70" t="s">
        <v>209</v>
      </c>
      <c r="Z51" s="65" t="s">
        <v>25</v>
      </c>
      <c r="AA51" s="6">
        <v>0</v>
      </c>
      <c r="AB51" s="65" t="s">
        <v>26</v>
      </c>
      <c r="AC51" s="12" t="s">
        <v>220</v>
      </c>
      <c r="AD51" s="107" t="s">
        <v>373</v>
      </c>
      <c r="AE51" s="69" t="s">
        <v>221</v>
      </c>
      <c r="AF51" s="69" t="s">
        <v>221</v>
      </c>
    </row>
    <row r="52" spans="2:32" ht="50.25" customHeight="1" x14ac:dyDescent="0.3">
      <c r="B52" s="2" t="s">
        <v>165</v>
      </c>
      <c r="C52" s="2">
        <v>45991</v>
      </c>
      <c r="D52" s="2">
        <f>_xlfn.XLOOKUP(E52,[1]!Bookings[Booking Name],[1]!Bookings[Rejected Date])</f>
        <v>45994</v>
      </c>
      <c r="E52" s="68" t="s">
        <v>216</v>
      </c>
      <c r="F52" s="76" t="str">
        <f>_xlfn.XLOOKUP(E52,[1]!Bookings[Booking Name],[1]!Bookings[Booking Status])</f>
        <v>Rejected</v>
      </c>
      <c r="G52" s="2">
        <v>45973</v>
      </c>
      <c r="H52" s="3">
        <v>78</v>
      </c>
      <c r="I52" s="2" t="s">
        <v>630</v>
      </c>
      <c r="J52" s="2" t="s">
        <v>631</v>
      </c>
      <c r="K52" s="2" t="s">
        <v>468</v>
      </c>
      <c r="L52" s="2" t="s">
        <v>645</v>
      </c>
      <c r="M52" s="36" t="s">
        <v>446</v>
      </c>
      <c r="N52" s="2" t="s">
        <v>92</v>
      </c>
      <c r="O52" s="52" t="s">
        <v>638</v>
      </c>
      <c r="P52" s="2" t="s">
        <v>429</v>
      </c>
      <c r="Q52" s="4">
        <v>0</v>
      </c>
      <c r="R52" s="27">
        <v>0</v>
      </c>
      <c r="S52" s="4">
        <v>23887500</v>
      </c>
      <c r="T52" s="4">
        <v>23887500</v>
      </c>
      <c r="U52" s="34" t="s">
        <v>639</v>
      </c>
      <c r="V52" s="2" t="s">
        <v>521</v>
      </c>
      <c r="W52" s="82" t="s">
        <v>646</v>
      </c>
      <c r="X52" s="2" t="s">
        <v>429</v>
      </c>
      <c r="Y52" s="70" t="s">
        <v>209</v>
      </c>
      <c r="Z52" s="65" t="s">
        <v>25</v>
      </c>
      <c r="AA52" s="6">
        <v>0</v>
      </c>
      <c r="AB52" s="65" t="s">
        <v>26</v>
      </c>
      <c r="AC52" s="12" t="s">
        <v>220</v>
      </c>
      <c r="AD52" s="107" t="s">
        <v>374</v>
      </c>
      <c r="AE52" s="69" t="s">
        <v>221</v>
      </c>
      <c r="AF52" s="69" t="s">
        <v>221</v>
      </c>
    </row>
    <row r="53" spans="2:32" ht="50.25" customHeight="1" x14ac:dyDescent="0.3">
      <c r="B53" s="2" t="s">
        <v>165</v>
      </c>
      <c r="C53" s="2">
        <v>45989</v>
      </c>
      <c r="D53" s="2">
        <f>_xlfn.XLOOKUP(E53,[1]!Bookings[Booking Name],[1]!Bookings[Rejected Date])</f>
        <v>45995</v>
      </c>
      <c r="E53" s="66" t="s">
        <v>214</v>
      </c>
      <c r="F53" s="76" t="str">
        <f>_xlfn.XLOOKUP(E53,[1]!Bookings[Booking Name],[1]!Bookings[Booking Status])</f>
        <v>Rejected</v>
      </c>
      <c r="G53" s="2">
        <v>45904</v>
      </c>
      <c r="H53" s="3">
        <v>147</v>
      </c>
      <c r="I53" s="2" t="s">
        <v>442</v>
      </c>
      <c r="J53" s="2" t="s">
        <v>443</v>
      </c>
      <c r="K53" s="2" t="s">
        <v>444</v>
      </c>
      <c r="L53" s="2" t="s">
        <v>647</v>
      </c>
      <c r="M53" s="36" t="s">
        <v>431</v>
      </c>
      <c r="N53" s="2" t="s">
        <v>92</v>
      </c>
      <c r="O53" s="52" t="s">
        <v>648</v>
      </c>
      <c r="P53" s="2" t="s">
        <v>477</v>
      </c>
      <c r="Q53" s="4">
        <v>44450</v>
      </c>
      <c r="R53" s="27">
        <v>0.05</v>
      </c>
      <c r="S53" s="4">
        <v>844550</v>
      </c>
      <c r="T53" s="4">
        <v>889000</v>
      </c>
      <c r="U53" s="34" t="s">
        <v>554</v>
      </c>
      <c r="V53" s="2" t="s">
        <v>649</v>
      </c>
      <c r="W53" s="82" t="s">
        <v>650</v>
      </c>
      <c r="X53" s="2" t="s">
        <v>429</v>
      </c>
      <c r="Y53" s="70" t="s">
        <v>209</v>
      </c>
      <c r="Z53" s="90">
        <v>60000</v>
      </c>
      <c r="AA53" s="6">
        <v>7.1043751110058617E-2</v>
      </c>
      <c r="AB53" s="67" t="s">
        <v>26</v>
      </c>
      <c r="AC53" s="60" t="s">
        <v>93</v>
      </c>
      <c r="AD53" s="14" t="s">
        <v>375</v>
      </c>
      <c r="AE53" s="67" t="s">
        <v>93</v>
      </c>
      <c r="AF53" s="67" t="s">
        <v>139</v>
      </c>
    </row>
    <row r="54" spans="2:32" ht="50.25" customHeight="1" x14ac:dyDescent="0.3">
      <c r="B54" s="2" t="s">
        <v>165</v>
      </c>
      <c r="C54" s="2">
        <v>45989</v>
      </c>
      <c r="D54" s="2">
        <f>_xlfn.XLOOKUP(E54,[1]!Bookings[Booking Name],[1]!Bookings[Rejected Date])</f>
        <v>45995</v>
      </c>
      <c r="E54" s="66" t="s">
        <v>215</v>
      </c>
      <c r="F54" s="76" t="str">
        <f>_xlfn.XLOOKUP(E54,[1]!Bookings[Booking Name],[1]!Bookings[Booking Status])</f>
        <v>Rejected</v>
      </c>
      <c r="G54" s="2">
        <v>45924</v>
      </c>
      <c r="H54" s="3">
        <v>127</v>
      </c>
      <c r="I54" s="2" t="s">
        <v>442</v>
      </c>
      <c r="J54" s="2" t="s">
        <v>580</v>
      </c>
      <c r="K54" s="2" t="s">
        <v>574</v>
      </c>
      <c r="L54" s="2" t="s">
        <v>651</v>
      </c>
      <c r="M54" s="36" t="s">
        <v>619</v>
      </c>
      <c r="N54" s="2" t="s">
        <v>92</v>
      </c>
      <c r="O54" s="52" t="s">
        <v>652</v>
      </c>
      <c r="P54" s="2" t="s">
        <v>465</v>
      </c>
      <c r="Q54" s="4">
        <v>114700</v>
      </c>
      <c r="R54" s="27">
        <v>0.05</v>
      </c>
      <c r="S54" s="4">
        <v>2179300</v>
      </c>
      <c r="T54" s="4">
        <v>2294000</v>
      </c>
      <c r="U54" s="34" t="s">
        <v>653</v>
      </c>
      <c r="V54" s="2" t="s">
        <v>584</v>
      </c>
      <c r="W54" s="82" t="s">
        <v>654</v>
      </c>
      <c r="X54" s="2" t="s">
        <v>429</v>
      </c>
      <c r="Y54" s="70" t="s">
        <v>209</v>
      </c>
      <c r="Z54" s="90">
        <v>20000</v>
      </c>
      <c r="AA54" s="6">
        <v>9.177258752810535E-3</v>
      </c>
      <c r="AB54" s="67" t="s">
        <v>26</v>
      </c>
      <c r="AC54" s="60" t="s">
        <v>93</v>
      </c>
      <c r="AD54" s="14" t="s">
        <v>421</v>
      </c>
      <c r="AE54" s="67" t="s">
        <v>93</v>
      </c>
      <c r="AF54" s="67" t="s">
        <v>139</v>
      </c>
    </row>
    <row r="55" spans="2:32" ht="50.25" customHeight="1" x14ac:dyDescent="0.3">
      <c r="B55" s="72" t="s">
        <v>165</v>
      </c>
      <c r="C55" s="2">
        <v>45987</v>
      </c>
      <c r="D55" s="2">
        <f>_xlfn.XLOOKUP(E55,[1]!Bookings[Booking Name],[1]!Bookings[Rejected Date])</f>
        <v>46001</v>
      </c>
      <c r="E55" s="72" t="s">
        <v>224</v>
      </c>
      <c r="F55" s="76" t="str">
        <f>_xlfn.XLOOKUP(E55,[1]!Bookings[Booking Name],[1]!Bookings[Booking Status])</f>
        <v>Rejected</v>
      </c>
      <c r="G55" s="2">
        <v>45896</v>
      </c>
      <c r="H55" s="3">
        <v>155</v>
      </c>
      <c r="I55" s="2" t="s">
        <v>442</v>
      </c>
      <c r="J55" s="2" t="s">
        <v>580</v>
      </c>
      <c r="K55" s="2" t="s">
        <v>444</v>
      </c>
      <c r="L55" s="2" t="s">
        <v>655</v>
      </c>
      <c r="M55" s="36" t="s">
        <v>426</v>
      </c>
      <c r="N55" s="2" t="s">
        <v>92</v>
      </c>
      <c r="O55" s="52" t="s">
        <v>656</v>
      </c>
      <c r="P55" s="2" t="s">
        <v>471</v>
      </c>
      <c r="Q55" s="4">
        <v>0</v>
      </c>
      <c r="R55" s="27">
        <v>0</v>
      </c>
      <c r="S55" s="4">
        <v>801000</v>
      </c>
      <c r="T55" s="4">
        <v>801000</v>
      </c>
      <c r="U55" s="34" t="s">
        <v>583</v>
      </c>
      <c r="V55" s="2" t="s">
        <v>584</v>
      </c>
      <c r="W55" s="82" t="s">
        <v>657</v>
      </c>
      <c r="X55" s="2" t="s">
        <v>429</v>
      </c>
      <c r="Y55" s="70" t="s">
        <v>209</v>
      </c>
      <c r="Z55" s="90">
        <v>10000</v>
      </c>
      <c r="AA55" s="6">
        <v>1.2484394506866416E-2</v>
      </c>
      <c r="AB55" s="73" t="s">
        <v>31</v>
      </c>
      <c r="AC55" s="60" t="s">
        <v>93</v>
      </c>
      <c r="AD55" s="14" t="s">
        <v>420</v>
      </c>
      <c r="AE55" s="60" t="s">
        <v>93</v>
      </c>
      <c r="AF55" s="28" t="s">
        <v>96</v>
      </c>
    </row>
    <row r="56" spans="2:32" ht="50.25" customHeight="1" x14ac:dyDescent="0.3">
      <c r="B56" s="2" t="s">
        <v>165</v>
      </c>
      <c r="C56" s="2">
        <v>45986</v>
      </c>
      <c r="D56" s="2">
        <f>_xlfn.XLOOKUP(E56,[1]!Bookings[Booking Name],[1]!Bookings[Rejected Date])</f>
        <v>45987</v>
      </c>
      <c r="E56" s="64" t="s">
        <v>211</v>
      </c>
      <c r="F56" s="76" t="str">
        <f>_xlfn.XLOOKUP(E56,[1]!Bookings[Booking Name],[1]!Bookings[Booking Status])</f>
        <v>Rejected</v>
      </c>
      <c r="G56" s="2">
        <v>45972</v>
      </c>
      <c r="H56" s="3">
        <v>79</v>
      </c>
      <c r="I56" s="2" t="s">
        <v>484</v>
      </c>
      <c r="J56" s="2" t="s">
        <v>424</v>
      </c>
      <c r="K56" s="2" t="s">
        <v>485</v>
      </c>
      <c r="L56" s="2" t="s">
        <v>658</v>
      </c>
      <c r="M56" s="36" t="s">
        <v>446</v>
      </c>
      <c r="N56" s="2" t="s">
        <v>92</v>
      </c>
      <c r="O56" s="52" t="s">
        <v>659</v>
      </c>
      <c r="P56" s="2" t="s">
        <v>660</v>
      </c>
      <c r="Q56" s="4">
        <v>47280</v>
      </c>
      <c r="R56" s="27">
        <v>0.02</v>
      </c>
      <c r="S56" s="4">
        <v>2316720</v>
      </c>
      <c r="T56" s="4">
        <v>2364000</v>
      </c>
      <c r="U56" s="34" t="s">
        <v>661</v>
      </c>
      <c r="V56" s="2" t="s">
        <v>662</v>
      </c>
      <c r="W56" s="82" t="s">
        <v>663</v>
      </c>
      <c r="X56" s="2" t="s">
        <v>429</v>
      </c>
      <c r="Y56" s="70" t="s">
        <v>209</v>
      </c>
      <c r="Z56" s="65" t="s">
        <v>25</v>
      </c>
      <c r="AA56" s="6">
        <v>0</v>
      </c>
      <c r="AB56" s="65" t="s">
        <v>26</v>
      </c>
      <c r="AC56" s="60" t="s">
        <v>93</v>
      </c>
      <c r="AD56" s="14" t="s">
        <v>419</v>
      </c>
      <c r="AE56" s="60" t="s">
        <v>93</v>
      </c>
      <c r="AF56" s="28" t="s">
        <v>96</v>
      </c>
    </row>
    <row r="57" spans="2:32" ht="50.25" customHeight="1" x14ac:dyDescent="0.3">
      <c r="B57" s="2" t="s">
        <v>165</v>
      </c>
      <c r="C57" s="2">
        <v>45986</v>
      </c>
      <c r="D57" s="2">
        <f>_xlfn.XLOOKUP(E57,[1]!Bookings[Booking Name],[1]!Bookings[Rejected Date])</f>
        <v>45987</v>
      </c>
      <c r="E57" s="64" t="s">
        <v>210</v>
      </c>
      <c r="F57" s="76" t="str">
        <f>_xlfn.XLOOKUP(E57,[1]!Bookings[Booking Name],[1]!Bookings[Booking Status])</f>
        <v>Rejected</v>
      </c>
      <c r="G57" s="2">
        <v>45976</v>
      </c>
      <c r="H57" s="3">
        <v>75</v>
      </c>
      <c r="I57" s="2" t="s">
        <v>484</v>
      </c>
      <c r="J57" s="2" t="s">
        <v>424</v>
      </c>
      <c r="K57" s="2" t="s">
        <v>485</v>
      </c>
      <c r="L57" s="2" t="s">
        <v>529</v>
      </c>
      <c r="M57" s="36" t="s">
        <v>446</v>
      </c>
      <c r="N57" s="2" t="s">
        <v>92</v>
      </c>
      <c r="O57" s="52" t="s">
        <v>664</v>
      </c>
      <c r="P57" s="2" t="s">
        <v>660</v>
      </c>
      <c r="Q57" s="4">
        <v>46580</v>
      </c>
      <c r="R57" s="27">
        <v>0.02</v>
      </c>
      <c r="S57" s="4">
        <v>2282420</v>
      </c>
      <c r="T57" s="4">
        <v>2329000</v>
      </c>
      <c r="U57" s="34" t="s">
        <v>661</v>
      </c>
      <c r="V57" s="2" t="s">
        <v>662</v>
      </c>
      <c r="W57" s="82" t="s">
        <v>665</v>
      </c>
      <c r="X57" s="2" t="s">
        <v>429</v>
      </c>
      <c r="Y57" s="70" t="s">
        <v>209</v>
      </c>
      <c r="Z57" s="65" t="s">
        <v>25</v>
      </c>
      <c r="AA57" s="6">
        <v>0</v>
      </c>
      <c r="AB57" s="65" t="s">
        <v>26</v>
      </c>
      <c r="AC57" s="60" t="s">
        <v>93</v>
      </c>
      <c r="AD57" s="14" t="s">
        <v>418</v>
      </c>
      <c r="AE57" s="60" t="s">
        <v>93</v>
      </c>
      <c r="AF57" s="28" t="s">
        <v>96</v>
      </c>
    </row>
    <row r="58" spans="2:32" ht="50.25" customHeight="1" x14ac:dyDescent="0.3">
      <c r="B58" s="2" t="s">
        <v>165</v>
      </c>
      <c r="C58" s="2">
        <v>45985</v>
      </c>
      <c r="D58" s="2">
        <f>_xlfn.XLOOKUP(E58,[1]!Bookings[Booking Name],[1]!Bookings[Rejected Date])</f>
        <v>45996</v>
      </c>
      <c r="E58" s="64" t="s">
        <v>212</v>
      </c>
      <c r="F58" s="76" t="str">
        <f>_xlfn.XLOOKUP(E58,[1]!Bookings[Booking Name],[1]!Bookings[Booking Status])</f>
        <v>Rejected</v>
      </c>
      <c r="G58" s="2">
        <v>45693</v>
      </c>
      <c r="H58" s="3">
        <v>358</v>
      </c>
      <c r="I58" s="2" t="s">
        <v>442</v>
      </c>
      <c r="J58" s="2" t="s">
        <v>580</v>
      </c>
      <c r="K58" s="2" t="s">
        <v>444</v>
      </c>
      <c r="L58" s="2" t="s">
        <v>666</v>
      </c>
      <c r="M58" s="36" t="s">
        <v>426</v>
      </c>
      <c r="N58" s="2" t="s">
        <v>92</v>
      </c>
      <c r="O58" s="52" t="s">
        <v>667</v>
      </c>
      <c r="P58" s="2" t="s">
        <v>438</v>
      </c>
      <c r="Q58" s="4">
        <v>98930</v>
      </c>
      <c r="R58" s="27">
        <v>0.12602547770700637</v>
      </c>
      <c r="S58" s="4">
        <v>686070</v>
      </c>
      <c r="T58" s="4">
        <v>785000</v>
      </c>
      <c r="U58" s="34" t="s">
        <v>668</v>
      </c>
      <c r="V58" s="2" t="s">
        <v>669</v>
      </c>
      <c r="W58" s="82" t="s">
        <v>670</v>
      </c>
      <c r="X58" s="2" t="s">
        <v>671</v>
      </c>
      <c r="Y58" s="70" t="s">
        <v>209</v>
      </c>
      <c r="Z58" s="90">
        <v>202634.84999999998</v>
      </c>
      <c r="AA58" s="6">
        <v>0.29535594035594032</v>
      </c>
      <c r="AB58" s="65" t="s">
        <v>26</v>
      </c>
      <c r="AC58" s="12" t="s">
        <v>970</v>
      </c>
      <c r="AD58" s="14" t="s">
        <v>417</v>
      </c>
      <c r="AE58" s="28" t="s">
        <v>87</v>
      </c>
      <c r="AF58" s="65" t="s">
        <v>213</v>
      </c>
    </row>
    <row r="59" spans="2:32" ht="50.25" customHeight="1" x14ac:dyDescent="0.3">
      <c r="B59" s="2" t="s">
        <v>165</v>
      </c>
      <c r="C59" s="2">
        <v>45985</v>
      </c>
      <c r="D59" s="2">
        <f>_xlfn.XLOOKUP(E59,[1]!Bookings[Booking Name],[1]!Bookings[Rejected Date])</f>
        <v>45987</v>
      </c>
      <c r="E59" s="63" t="s">
        <v>208</v>
      </c>
      <c r="F59" s="76" t="str">
        <f>_xlfn.XLOOKUP(E59,[1]!Bookings[Booking Name],[1]!Bookings[Booking Status])</f>
        <v>Rejected</v>
      </c>
      <c r="G59" s="2">
        <v>45968</v>
      </c>
      <c r="H59" s="3">
        <v>83</v>
      </c>
      <c r="I59" s="2" t="s">
        <v>484</v>
      </c>
      <c r="J59" s="2" t="s">
        <v>424</v>
      </c>
      <c r="K59" s="2" t="s">
        <v>485</v>
      </c>
      <c r="L59" s="2" t="s">
        <v>672</v>
      </c>
      <c r="M59" s="36" t="s">
        <v>426</v>
      </c>
      <c r="N59" s="2" t="s">
        <v>92</v>
      </c>
      <c r="O59" s="52" t="s">
        <v>673</v>
      </c>
      <c r="P59" s="2" t="s">
        <v>674</v>
      </c>
      <c r="Q59" s="4">
        <v>0</v>
      </c>
      <c r="R59" s="27">
        <v>0</v>
      </c>
      <c r="S59" s="4">
        <v>2664000</v>
      </c>
      <c r="T59" s="4">
        <v>2664000</v>
      </c>
      <c r="U59" s="34" t="s">
        <v>675</v>
      </c>
      <c r="V59" s="2" t="s">
        <v>676</v>
      </c>
      <c r="W59" s="82" t="s">
        <v>677</v>
      </c>
      <c r="X59" s="2" t="s">
        <v>429</v>
      </c>
      <c r="Y59" s="70" t="s">
        <v>209</v>
      </c>
      <c r="Z59" s="18" t="s">
        <v>25</v>
      </c>
      <c r="AA59" s="6">
        <v>0</v>
      </c>
      <c r="AB59" s="60" t="s">
        <v>26</v>
      </c>
      <c r="AC59" s="60" t="s">
        <v>93</v>
      </c>
      <c r="AD59" s="14" t="s">
        <v>416</v>
      </c>
      <c r="AE59" s="60" t="s">
        <v>93</v>
      </c>
      <c r="AF59" s="28" t="s">
        <v>96</v>
      </c>
    </row>
    <row r="60" spans="2:32" ht="50.25" customHeight="1" x14ac:dyDescent="0.3">
      <c r="B60" s="2" t="s">
        <v>165</v>
      </c>
      <c r="C60" s="2">
        <v>45980</v>
      </c>
      <c r="D60" s="2">
        <f>_xlfn.XLOOKUP(E60,[1]!Bookings[Booking Name],[1]!Bookings[Rejected Date])</f>
        <v>45981</v>
      </c>
      <c r="E60" s="61" t="s">
        <v>207</v>
      </c>
      <c r="F60" s="76" t="str">
        <f>_xlfn.XLOOKUP(E60,[1]!Bookings[Booking Name],[1]!Bookings[Booking Status])</f>
        <v>Rejected</v>
      </c>
      <c r="G60" s="2">
        <v>45925</v>
      </c>
      <c r="H60" s="3">
        <v>126</v>
      </c>
      <c r="I60" s="2" t="s">
        <v>442</v>
      </c>
      <c r="J60" s="2" t="s">
        <v>580</v>
      </c>
      <c r="K60" s="2" t="s">
        <v>574</v>
      </c>
      <c r="L60" s="2" t="s">
        <v>678</v>
      </c>
      <c r="M60" s="36" t="s">
        <v>446</v>
      </c>
      <c r="N60" s="2" t="s">
        <v>92</v>
      </c>
      <c r="O60" s="52" t="s">
        <v>679</v>
      </c>
      <c r="P60" s="2" t="s">
        <v>680</v>
      </c>
      <c r="Q60" s="4">
        <v>98600</v>
      </c>
      <c r="R60" s="27">
        <v>3.8217054263565892E-2</v>
      </c>
      <c r="S60" s="4">
        <v>2481400</v>
      </c>
      <c r="T60" s="4">
        <v>2580000</v>
      </c>
      <c r="U60" s="34" t="s">
        <v>583</v>
      </c>
      <c r="V60" s="2" t="s">
        <v>669</v>
      </c>
      <c r="W60" s="82" t="s">
        <v>681</v>
      </c>
      <c r="X60" s="2" t="s">
        <v>429</v>
      </c>
      <c r="Y60" s="70" t="s">
        <v>209</v>
      </c>
      <c r="Z60" s="90">
        <v>25000</v>
      </c>
      <c r="AA60" s="6">
        <v>1.0074957685177723E-2</v>
      </c>
      <c r="AB60" s="62" t="s">
        <v>31</v>
      </c>
      <c r="AC60" s="60" t="s">
        <v>93</v>
      </c>
      <c r="AD60" s="14" t="s">
        <v>415</v>
      </c>
      <c r="AE60" s="60" t="s">
        <v>93</v>
      </c>
      <c r="AF60" s="28" t="s">
        <v>96</v>
      </c>
    </row>
    <row r="61" spans="2:32" ht="50.25" customHeight="1" x14ac:dyDescent="0.3">
      <c r="B61" s="2" t="s">
        <v>165</v>
      </c>
      <c r="C61" s="2">
        <v>45980</v>
      </c>
      <c r="D61" s="2">
        <f>_xlfn.XLOOKUP(E61,[1]!Bookings[Booking Name],[1]!Bookings[Rejected Date])</f>
        <v>45981</v>
      </c>
      <c r="E61" s="61" t="s">
        <v>206</v>
      </c>
      <c r="F61" s="76" t="str">
        <f>_xlfn.XLOOKUP(E61,[1]!Bookings[Booking Name],[1]!Bookings[Booking Status])</f>
        <v>Rejected</v>
      </c>
      <c r="G61" s="2">
        <v>45924</v>
      </c>
      <c r="H61" s="3">
        <v>127</v>
      </c>
      <c r="I61" s="2" t="s">
        <v>442</v>
      </c>
      <c r="J61" s="2" t="s">
        <v>580</v>
      </c>
      <c r="K61" s="2" t="s">
        <v>444</v>
      </c>
      <c r="L61" s="2" t="s">
        <v>682</v>
      </c>
      <c r="M61" s="36" t="s">
        <v>426</v>
      </c>
      <c r="N61" s="2" t="s">
        <v>92</v>
      </c>
      <c r="O61" s="52" t="s">
        <v>683</v>
      </c>
      <c r="P61" s="2" t="s">
        <v>471</v>
      </c>
      <c r="Q61" s="4">
        <v>26000</v>
      </c>
      <c r="R61" s="27">
        <v>3.2459425717852687E-2</v>
      </c>
      <c r="S61" s="4">
        <v>774999.99977400003</v>
      </c>
      <c r="T61" s="4">
        <v>801000</v>
      </c>
      <c r="U61" s="34" t="s">
        <v>583</v>
      </c>
      <c r="V61" s="2" t="s">
        <v>669</v>
      </c>
      <c r="W61" s="82" t="s">
        <v>684</v>
      </c>
      <c r="X61" s="2" t="s">
        <v>429</v>
      </c>
      <c r="Y61" s="70" t="s">
        <v>209</v>
      </c>
      <c r="Z61" s="90">
        <v>20000</v>
      </c>
      <c r="AA61" s="6">
        <v>2.580645162042872E-2</v>
      </c>
      <c r="AB61" s="62" t="s">
        <v>31</v>
      </c>
      <c r="AC61" s="60" t="s">
        <v>93</v>
      </c>
      <c r="AD61" s="14" t="s">
        <v>414</v>
      </c>
      <c r="AE61" s="60" t="s">
        <v>93</v>
      </c>
      <c r="AF61" s="28" t="s">
        <v>96</v>
      </c>
    </row>
    <row r="62" spans="2:32" ht="50.25" customHeight="1" x14ac:dyDescent="0.3">
      <c r="B62" s="2" t="s">
        <v>165</v>
      </c>
      <c r="C62" s="59">
        <v>45980</v>
      </c>
      <c r="D62" s="2">
        <f>_xlfn.XLOOKUP(E62,[1]!Bookings[Booking Name],[1]!Bookings[Rejected Date])</f>
        <v>45981</v>
      </c>
      <c r="E62" s="59" t="s">
        <v>205</v>
      </c>
      <c r="F62" s="76" t="str">
        <f>_xlfn.XLOOKUP(E62,[1]!Bookings[Booking Name],[1]!Bookings[Booking Status])</f>
        <v>Rejected</v>
      </c>
      <c r="G62" s="2">
        <v>45912</v>
      </c>
      <c r="H62" s="3">
        <v>139</v>
      </c>
      <c r="I62" s="2" t="s">
        <v>442</v>
      </c>
      <c r="J62" s="2" t="s">
        <v>443</v>
      </c>
      <c r="K62" s="2" t="s">
        <v>444</v>
      </c>
      <c r="L62" s="2" t="s">
        <v>685</v>
      </c>
      <c r="M62" s="36" t="s">
        <v>431</v>
      </c>
      <c r="N62" s="2" t="s">
        <v>92</v>
      </c>
      <c r="O62" s="52" t="s">
        <v>686</v>
      </c>
      <c r="P62" s="2" t="s">
        <v>687</v>
      </c>
      <c r="Q62" s="4">
        <v>17520</v>
      </c>
      <c r="R62" s="27">
        <v>0.02</v>
      </c>
      <c r="S62" s="4">
        <v>858480</v>
      </c>
      <c r="T62" s="4">
        <v>876000</v>
      </c>
      <c r="U62" s="34" t="s">
        <v>583</v>
      </c>
      <c r="V62" s="2" t="s">
        <v>688</v>
      </c>
      <c r="W62" s="82" t="s">
        <v>689</v>
      </c>
      <c r="X62" s="2" t="s">
        <v>429</v>
      </c>
      <c r="Y62" s="70" t="s">
        <v>209</v>
      </c>
      <c r="Z62" s="90">
        <v>1500</v>
      </c>
      <c r="AA62" s="6">
        <v>1.7472742521666201E-3</v>
      </c>
      <c r="AB62" s="60" t="s">
        <v>31</v>
      </c>
      <c r="AC62" s="60" t="s">
        <v>93</v>
      </c>
      <c r="AD62" s="14" t="s">
        <v>413</v>
      </c>
      <c r="AE62" s="60" t="s">
        <v>93</v>
      </c>
      <c r="AF62" s="28" t="s">
        <v>96</v>
      </c>
    </row>
    <row r="63" spans="2:32" ht="50.25" customHeight="1" x14ac:dyDescent="0.3">
      <c r="B63" s="59" t="s">
        <v>165</v>
      </c>
      <c r="C63" s="2">
        <v>45980</v>
      </c>
      <c r="D63" s="2">
        <f>_xlfn.XLOOKUP(E63,[1]!Bookings[Booking Name],[1]!Bookings[Rejected Date])</f>
        <v>45981</v>
      </c>
      <c r="E63" s="59" t="s">
        <v>204</v>
      </c>
      <c r="F63" s="76" t="str">
        <f>_xlfn.XLOOKUP(E63,[1]!Bookings[Booking Name],[1]!Bookings[Booking Status])</f>
        <v>Rejected</v>
      </c>
      <c r="G63" s="2">
        <v>45930</v>
      </c>
      <c r="H63" s="3">
        <v>121</v>
      </c>
      <c r="I63" s="2" t="s">
        <v>442</v>
      </c>
      <c r="J63" s="2" t="s">
        <v>580</v>
      </c>
      <c r="K63" s="2" t="s">
        <v>485</v>
      </c>
      <c r="L63" s="2" t="s">
        <v>690</v>
      </c>
      <c r="M63" s="36" t="s">
        <v>446</v>
      </c>
      <c r="N63" s="2" t="s">
        <v>92</v>
      </c>
      <c r="O63" s="52" t="s">
        <v>691</v>
      </c>
      <c r="P63" s="2" t="s">
        <v>692</v>
      </c>
      <c r="Q63" s="4">
        <v>48283.199999999997</v>
      </c>
      <c r="R63" s="27">
        <v>3.3599999999999998E-2</v>
      </c>
      <c r="S63" s="4">
        <v>1388716.8</v>
      </c>
      <c r="T63" s="4">
        <v>1437000</v>
      </c>
      <c r="U63" s="34" t="s">
        <v>583</v>
      </c>
      <c r="V63" s="2" t="s">
        <v>688</v>
      </c>
      <c r="W63" s="82" t="s">
        <v>693</v>
      </c>
      <c r="X63" s="2" t="s">
        <v>429</v>
      </c>
      <c r="Y63" s="70" t="s">
        <v>209</v>
      </c>
      <c r="Z63" s="90">
        <v>5000</v>
      </c>
      <c r="AA63" s="6">
        <v>3.6004461096747729E-3</v>
      </c>
      <c r="AB63" s="60" t="s">
        <v>31</v>
      </c>
      <c r="AC63" s="60" t="s">
        <v>93</v>
      </c>
      <c r="AD63" s="14" t="s">
        <v>412</v>
      </c>
      <c r="AE63" s="60" t="s">
        <v>93</v>
      </c>
      <c r="AF63" s="28" t="s">
        <v>96</v>
      </c>
    </row>
    <row r="64" spans="2:32" ht="50.25" customHeight="1" x14ac:dyDescent="0.3">
      <c r="B64" s="59" t="s">
        <v>165</v>
      </c>
      <c r="C64" s="2">
        <v>45980</v>
      </c>
      <c r="D64" s="2">
        <f>_xlfn.XLOOKUP(E64,[1]!Bookings[Booking Name],[1]!Bookings[Rejected Date])</f>
        <v>45981</v>
      </c>
      <c r="E64" s="59" t="s">
        <v>203</v>
      </c>
      <c r="F64" s="76" t="str">
        <f>_xlfn.XLOOKUP(E64,[1]!Bookings[Booking Name],[1]!Bookings[Booking Status])</f>
        <v>Rejected</v>
      </c>
      <c r="G64" s="2">
        <v>45936</v>
      </c>
      <c r="H64" s="3">
        <v>115</v>
      </c>
      <c r="I64" s="2" t="s">
        <v>442</v>
      </c>
      <c r="J64" s="2" t="s">
        <v>443</v>
      </c>
      <c r="K64" s="2" t="s">
        <v>444</v>
      </c>
      <c r="L64" s="2" t="s">
        <v>694</v>
      </c>
      <c r="M64" s="36" t="s">
        <v>426</v>
      </c>
      <c r="N64" s="2" t="s">
        <v>92</v>
      </c>
      <c r="O64" s="52" t="s">
        <v>695</v>
      </c>
      <c r="P64" s="2" t="s">
        <v>515</v>
      </c>
      <c r="Q64" s="4">
        <v>32000</v>
      </c>
      <c r="R64" s="27">
        <v>3.9119804400977995E-2</v>
      </c>
      <c r="S64" s="4">
        <v>786000</v>
      </c>
      <c r="T64" s="4">
        <v>818000</v>
      </c>
      <c r="U64" s="34" t="s">
        <v>583</v>
      </c>
      <c r="V64" s="2" t="s">
        <v>584</v>
      </c>
      <c r="W64" s="82" t="s">
        <v>696</v>
      </c>
      <c r="X64" s="2" t="s">
        <v>429</v>
      </c>
      <c r="Y64" s="70" t="s">
        <v>209</v>
      </c>
      <c r="Z64" s="90">
        <v>20000</v>
      </c>
      <c r="AA64" s="6">
        <v>2.5445292620865138E-2</v>
      </c>
      <c r="AB64" s="60" t="s">
        <v>31</v>
      </c>
      <c r="AC64" s="60" t="s">
        <v>93</v>
      </c>
      <c r="AD64" s="14" t="s">
        <v>411</v>
      </c>
      <c r="AE64" s="60" t="s">
        <v>93</v>
      </c>
      <c r="AF64" s="28" t="s">
        <v>96</v>
      </c>
    </row>
    <row r="65" spans="2:32" ht="50.25" customHeight="1" x14ac:dyDescent="0.3">
      <c r="B65" s="59" t="s">
        <v>165</v>
      </c>
      <c r="C65" s="2">
        <v>45980</v>
      </c>
      <c r="D65" s="2">
        <f>_xlfn.XLOOKUP(E65,[1]!Bookings[Booking Name],[1]!Bookings[Rejected Date])</f>
        <v>45982</v>
      </c>
      <c r="E65" s="59" t="s">
        <v>202</v>
      </c>
      <c r="F65" s="76" t="str">
        <f>_xlfn.XLOOKUP(E65,[1]!Bookings[Booking Name],[1]!Bookings[Booking Status])</f>
        <v>Rejected</v>
      </c>
      <c r="G65" s="2">
        <v>45762</v>
      </c>
      <c r="H65" s="3">
        <v>289</v>
      </c>
      <c r="I65" s="2" t="s">
        <v>442</v>
      </c>
      <c r="J65" s="2" t="s">
        <v>443</v>
      </c>
      <c r="K65" s="2" t="s">
        <v>485</v>
      </c>
      <c r="L65" s="2" t="s">
        <v>697</v>
      </c>
      <c r="M65" s="36" t="s">
        <v>446</v>
      </c>
      <c r="N65" s="2" t="s">
        <v>92</v>
      </c>
      <c r="O65" s="52" t="s">
        <v>698</v>
      </c>
      <c r="P65" s="2" t="s">
        <v>515</v>
      </c>
      <c r="Q65" s="4">
        <v>82750</v>
      </c>
      <c r="R65" s="27">
        <v>6.5883757961783446E-2</v>
      </c>
      <c r="S65" s="4">
        <v>1173250</v>
      </c>
      <c r="T65" s="4">
        <v>1256000</v>
      </c>
      <c r="U65" s="34" t="s">
        <v>526</v>
      </c>
      <c r="V65" s="2" t="s">
        <v>699</v>
      </c>
      <c r="W65" s="82" t="s">
        <v>700</v>
      </c>
      <c r="X65" s="2" t="s">
        <v>429</v>
      </c>
      <c r="Y65" s="70">
        <v>6000</v>
      </c>
      <c r="Z65" s="90">
        <v>154120</v>
      </c>
      <c r="AA65" s="6">
        <v>0.13136160238653313</v>
      </c>
      <c r="AB65" s="60" t="s">
        <v>31</v>
      </c>
      <c r="AC65" s="60" t="s">
        <v>93</v>
      </c>
      <c r="AD65" s="14" t="s">
        <v>410</v>
      </c>
      <c r="AE65" s="60" t="s">
        <v>93</v>
      </c>
      <c r="AF65" s="28" t="s">
        <v>96</v>
      </c>
    </row>
    <row r="66" spans="2:32" ht="50.25" customHeight="1" x14ac:dyDescent="0.3">
      <c r="B66" s="59" t="s">
        <v>165</v>
      </c>
      <c r="C66" s="2">
        <v>45980</v>
      </c>
      <c r="D66" s="2">
        <f>_xlfn.XLOOKUP(E66,[1]!Bookings[Booking Name],[1]!Bookings[Rejected Date])</f>
        <v>45981</v>
      </c>
      <c r="E66" s="59" t="s">
        <v>201</v>
      </c>
      <c r="F66" s="76" t="str">
        <f>_xlfn.XLOOKUP(E66,[1]!Bookings[Booking Name],[1]!Bookings[Booking Status])</f>
        <v>Rejected</v>
      </c>
      <c r="G66" s="2">
        <v>45919</v>
      </c>
      <c r="H66" s="3">
        <v>132</v>
      </c>
      <c r="I66" s="2" t="s">
        <v>442</v>
      </c>
      <c r="J66" s="2" t="s">
        <v>580</v>
      </c>
      <c r="K66" s="2" t="s">
        <v>444</v>
      </c>
      <c r="L66" s="2" t="s">
        <v>701</v>
      </c>
      <c r="M66" s="36" t="s">
        <v>619</v>
      </c>
      <c r="N66" s="2" t="s">
        <v>92</v>
      </c>
      <c r="O66" s="52" t="s">
        <v>702</v>
      </c>
      <c r="P66" s="2" t="s">
        <v>471</v>
      </c>
      <c r="Q66" s="4">
        <v>31960</v>
      </c>
      <c r="R66" s="27">
        <v>0.04</v>
      </c>
      <c r="S66" s="4">
        <v>767040.00028716063</v>
      </c>
      <c r="T66" s="4">
        <v>799000</v>
      </c>
      <c r="U66" s="34" t="s">
        <v>583</v>
      </c>
      <c r="V66" s="2" t="s">
        <v>688</v>
      </c>
      <c r="W66" s="82" t="s">
        <v>703</v>
      </c>
      <c r="X66" s="2" t="s">
        <v>429</v>
      </c>
      <c r="Y66" s="70" t="s">
        <v>209</v>
      </c>
      <c r="Z66" s="90">
        <v>25000</v>
      </c>
      <c r="AA66" s="6">
        <v>3.2592824351586128E-2</v>
      </c>
      <c r="AB66" s="60" t="s">
        <v>31</v>
      </c>
      <c r="AC66" s="28" t="s">
        <v>93</v>
      </c>
      <c r="AD66" s="14" t="s">
        <v>409</v>
      </c>
      <c r="AE66" s="60" t="s">
        <v>93</v>
      </c>
      <c r="AF66" s="28" t="s">
        <v>96</v>
      </c>
    </row>
    <row r="67" spans="2:32" ht="50.25" customHeight="1" x14ac:dyDescent="0.3">
      <c r="B67" s="59" t="s">
        <v>165</v>
      </c>
      <c r="C67" s="2">
        <v>45980</v>
      </c>
      <c r="D67" s="2">
        <f>_xlfn.XLOOKUP(E67,[1]!Bookings[Booking Name],[1]!Bookings[Rejected Date])</f>
        <v>45981</v>
      </c>
      <c r="E67" s="59" t="s">
        <v>200</v>
      </c>
      <c r="F67" s="76" t="str">
        <f>_xlfn.XLOOKUP(E67,[1]!Bookings[Booking Name],[1]!Bookings[Booking Status])</f>
        <v>Rejected</v>
      </c>
      <c r="G67" s="2">
        <v>45912</v>
      </c>
      <c r="H67" s="3">
        <v>139</v>
      </c>
      <c r="I67" s="2" t="s">
        <v>442</v>
      </c>
      <c r="J67" s="2" t="s">
        <v>580</v>
      </c>
      <c r="K67" s="2" t="s">
        <v>444</v>
      </c>
      <c r="L67" s="2" t="s">
        <v>704</v>
      </c>
      <c r="M67" s="36" t="s">
        <v>446</v>
      </c>
      <c r="N67" s="2" t="s">
        <v>92</v>
      </c>
      <c r="O67" s="52" t="s">
        <v>686</v>
      </c>
      <c r="P67" s="2" t="s">
        <v>687</v>
      </c>
      <c r="Q67" s="4">
        <v>16380</v>
      </c>
      <c r="R67" s="27">
        <v>0.02</v>
      </c>
      <c r="S67" s="4">
        <v>802620</v>
      </c>
      <c r="T67" s="4">
        <v>819000</v>
      </c>
      <c r="U67" s="34" t="s">
        <v>583</v>
      </c>
      <c r="V67" s="2" t="s">
        <v>688</v>
      </c>
      <c r="W67" s="82" t="s">
        <v>705</v>
      </c>
      <c r="X67" s="2" t="s">
        <v>429</v>
      </c>
      <c r="Y67" s="70" t="s">
        <v>209</v>
      </c>
      <c r="Z67" s="90">
        <v>1500</v>
      </c>
      <c r="AA67" s="6">
        <v>1.868879419899828E-3</v>
      </c>
      <c r="AB67" s="60" t="s">
        <v>31</v>
      </c>
      <c r="AC67" s="28" t="s">
        <v>93</v>
      </c>
      <c r="AD67" s="14" t="s">
        <v>408</v>
      </c>
      <c r="AE67" s="60" t="s">
        <v>93</v>
      </c>
      <c r="AF67" s="28" t="s">
        <v>96</v>
      </c>
    </row>
    <row r="68" spans="2:32" ht="50.25" customHeight="1" x14ac:dyDescent="0.3">
      <c r="B68" s="59" t="s">
        <v>165</v>
      </c>
      <c r="C68" s="2">
        <v>45980</v>
      </c>
      <c r="D68" s="2">
        <f>_xlfn.XLOOKUP(E68,[1]!Bookings[Booking Name],[1]!Bookings[Rejected Date])</f>
        <v>45981</v>
      </c>
      <c r="E68" s="59" t="s">
        <v>199</v>
      </c>
      <c r="F68" s="76" t="str">
        <f>_xlfn.XLOOKUP(E68,[1]!Bookings[Booking Name],[1]!Bookings[Booking Status])</f>
        <v>Rejected</v>
      </c>
      <c r="G68" s="2">
        <v>45904</v>
      </c>
      <c r="H68" s="3">
        <v>147</v>
      </c>
      <c r="I68" s="2" t="s">
        <v>442</v>
      </c>
      <c r="J68" s="2" t="s">
        <v>580</v>
      </c>
      <c r="K68" s="2" t="s">
        <v>444</v>
      </c>
      <c r="L68" s="2" t="s">
        <v>706</v>
      </c>
      <c r="M68" s="36" t="s">
        <v>446</v>
      </c>
      <c r="N68" s="2" t="s">
        <v>92</v>
      </c>
      <c r="O68" s="52" t="s">
        <v>707</v>
      </c>
      <c r="P68" s="2" t="s">
        <v>471</v>
      </c>
      <c r="Q68" s="4">
        <v>39600</v>
      </c>
      <c r="R68" s="27">
        <v>0.05</v>
      </c>
      <c r="S68" s="4">
        <v>752400</v>
      </c>
      <c r="T68" s="4">
        <v>792000</v>
      </c>
      <c r="U68" s="34" t="s">
        <v>583</v>
      </c>
      <c r="V68" s="2" t="s">
        <v>584</v>
      </c>
      <c r="W68" s="82" t="s">
        <v>708</v>
      </c>
      <c r="X68" s="2" t="s">
        <v>429</v>
      </c>
      <c r="Y68" s="70" t="s">
        <v>209</v>
      </c>
      <c r="Z68" s="90">
        <v>5400</v>
      </c>
      <c r="AA68" s="6">
        <v>7.1770334928229667E-3</v>
      </c>
      <c r="AB68" s="60" t="s">
        <v>31</v>
      </c>
      <c r="AC68" s="28" t="s">
        <v>93</v>
      </c>
      <c r="AD68" s="14" t="s">
        <v>407</v>
      </c>
      <c r="AE68" s="60" t="s">
        <v>93</v>
      </c>
      <c r="AF68" s="28" t="s">
        <v>96</v>
      </c>
    </row>
    <row r="69" spans="2:32" ht="50.25" customHeight="1" x14ac:dyDescent="0.3">
      <c r="B69" s="59" t="s">
        <v>165</v>
      </c>
      <c r="C69" s="2">
        <v>45980</v>
      </c>
      <c r="D69" s="2">
        <f>_xlfn.XLOOKUP(E69,[1]!Bookings[Booking Name],[1]!Bookings[Rejected Date])</f>
        <v>45981</v>
      </c>
      <c r="E69" s="57" t="s">
        <v>189</v>
      </c>
      <c r="F69" s="76" t="str">
        <f>_xlfn.XLOOKUP(E69,[1]!Bookings[Booking Name],[1]!Bookings[Booking Status])</f>
        <v>Rejected</v>
      </c>
      <c r="G69" s="2">
        <v>45972</v>
      </c>
      <c r="H69" s="3">
        <v>79</v>
      </c>
      <c r="I69" s="2" t="s">
        <v>484</v>
      </c>
      <c r="J69" s="2" t="s">
        <v>424</v>
      </c>
      <c r="K69" s="2" t="s">
        <v>485</v>
      </c>
      <c r="L69" s="2" t="s">
        <v>709</v>
      </c>
      <c r="M69" s="36" t="s">
        <v>446</v>
      </c>
      <c r="N69" s="2" t="s">
        <v>92</v>
      </c>
      <c r="O69" s="52" t="s">
        <v>664</v>
      </c>
      <c r="P69" s="2" t="s">
        <v>660</v>
      </c>
      <c r="Q69" s="4">
        <v>0</v>
      </c>
      <c r="R69" s="27">
        <v>0</v>
      </c>
      <c r="S69" s="4">
        <v>2252000</v>
      </c>
      <c r="T69" s="4">
        <v>2252000</v>
      </c>
      <c r="U69" s="34" t="s">
        <v>661</v>
      </c>
      <c r="V69" s="2" t="s">
        <v>662</v>
      </c>
      <c r="W69" s="82" t="s">
        <v>710</v>
      </c>
      <c r="X69" s="2" t="s">
        <v>429</v>
      </c>
      <c r="Y69" s="70" t="s">
        <v>209</v>
      </c>
      <c r="Z69" s="18" t="s">
        <v>25</v>
      </c>
      <c r="AA69" s="6">
        <v>0</v>
      </c>
      <c r="AB69" s="60" t="s">
        <v>26</v>
      </c>
      <c r="AC69" s="12" t="s">
        <v>196</v>
      </c>
      <c r="AD69" s="107" t="s">
        <v>406</v>
      </c>
      <c r="AE69" s="60" t="s">
        <v>88</v>
      </c>
      <c r="AF69" s="60" t="s">
        <v>195</v>
      </c>
    </row>
    <row r="70" spans="2:32" ht="50.25" customHeight="1" x14ac:dyDescent="0.3">
      <c r="B70" s="59" t="s">
        <v>165</v>
      </c>
      <c r="C70" s="2">
        <v>45980</v>
      </c>
      <c r="D70" s="2">
        <f>_xlfn.XLOOKUP(E70,[1]!Bookings[Booking Name],[1]!Bookings[Rejected Date])</f>
        <v>45981</v>
      </c>
      <c r="E70" s="59" t="s">
        <v>188</v>
      </c>
      <c r="F70" s="76" t="str">
        <f>_xlfn.XLOOKUP(E70,[1]!Bookings[Booking Name],[1]!Bookings[Booking Status])</f>
        <v>Rejected</v>
      </c>
      <c r="G70" s="2">
        <v>45961</v>
      </c>
      <c r="H70" s="3">
        <v>90</v>
      </c>
      <c r="I70" s="2" t="s">
        <v>442</v>
      </c>
      <c r="J70" s="2" t="s">
        <v>443</v>
      </c>
      <c r="K70" s="2" t="s">
        <v>444</v>
      </c>
      <c r="L70" s="2" t="s">
        <v>711</v>
      </c>
      <c r="M70" s="36" t="s">
        <v>446</v>
      </c>
      <c r="N70" s="2" t="s">
        <v>92</v>
      </c>
      <c r="O70" s="52" t="s">
        <v>712</v>
      </c>
      <c r="P70" s="2" t="s">
        <v>570</v>
      </c>
      <c r="Q70" s="4">
        <v>0</v>
      </c>
      <c r="R70" s="27">
        <v>0</v>
      </c>
      <c r="S70" s="4">
        <v>838000</v>
      </c>
      <c r="T70" s="4">
        <v>838000</v>
      </c>
      <c r="U70" s="34" t="s">
        <v>571</v>
      </c>
      <c r="V70" s="2" t="s">
        <v>572</v>
      </c>
      <c r="W70" s="82" t="s">
        <v>713</v>
      </c>
      <c r="X70" s="2" t="s">
        <v>429</v>
      </c>
      <c r="Y70" s="70" t="s">
        <v>209</v>
      </c>
      <c r="Z70" s="18" t="s">
        <v>25</v>
      </c>
      <c r="AA70" s="6">
        <v>0</v>
      </c>
      <c r="AB70" s="60" t="s">
        <v>31</v>
      </c>
      <c r="AC70" s="12" t="s">
        <v>32</v>
      </c>
      <c r="AD70" s="107" t="s">
        <v>405</v>
      </c>
      <c r="AE70" s="60" t="s">
        <v>32</v>
      </c>
      <c r="AF70" s="60" t="s">
        <v>194</v>
      </c>
    </row>
    <row r="71" spans="2:32" ht="50.25" customHeight="1" x14ac:dyDescent="0.3">
      <c r="B71" s="59" t="s">
        <v>165</v>
      </c>
      <c r="C71" s="2">
        <v>45978</v>
      </c>
      <c r="D71" s="2">
        <f>_xlfn.XLOOKUP(E71,[1]!Bookings[Booking Name],[1]!Bookings[Rejected Date])</f>
        <v>45978</v>
      </c>
      <c r="E71" s="59" t="s">
        <v>186</v>
      </c>
      <c r="F71" s="76" t="str">
        <f>_xlfn.XLOOKUP(E71,[1]!Bookings[Booking Name],[1]!Bookings[Booking Status])</f>
        <v>Rejected</v>
      </c>
      <c r="G71" s="2">
        <v>45973</v>
      </c>
      <c r="H71" s="3">
        <v>78</v>
      </c>
      <c r="I71" s="2" t="s">
        <v>630</v>
      </c>
      <c r="J71" s="2" t="s">
        <v>631</v>
      </c>
      <c r="K71" s="2" t="s">
        <v>468</v>
      </c>
      <c r="L71" s="2" t="s">
        <v>714</v>
      </c>
      <c r="M71" s="36" t="s">
        <v>426</v>
      </c>
      <c r="N71" s="2" t="s">
        <v>92</v>
      </c>
      <c r="O71" s="52" t="s">
        <v>715</v>
      </c>
      <c r="P71" s="2" t="s">
        <v>429</v>
      </c>
      <c r="Q71" s="4">
        <v>0</v>
      </c>
      <c r="R71" s="27">
        <v>0</v>
      </c>
      <c r="S71" s="4">
        <v>25416300</v>
      </c>
      <c r="T71" s="4">
        <v>25416300</v>
      </c>
      <c r="U71" s="34" t="s">
        <v>716</v>
      </c>
      <c r="V71" s="2" t="s">
        <v>521</v>
      </c>
      <c r="W71" s="82" t="s">
        <v>717</v>
      </c>
      <c r="X71" s="2" t="s">
        <v>429</v>
      </c>
      <c r="Y71" s="70" t="s">
        <v>209</v>
      </c>
      <c r="Z71" s="18" t="s">
        <v>25</v>
      </c>
      <c r="AA71" s="6">
        <v>0</v>
      </c>
      <c r="AB71" s="60" t="s">
        <v>26</v>
      </c>
      <c r="AC71" s="12" t="s">
        <v>191</v>
      </c>
      <c r="AD71" s="107" t="s">
        <v>404</v>
      </c>
      <c r="AE71" s="12" t="s">
        <v>193</v>
      </c>
      <c r="AF71" s="60" t="s">
        <v>192</v>
      </c>
    </row>
    <row r="72" spans="2:32" ht="50.25" customHeight="1" x14ac:dyDescent="0.3">
      <c r="B72" s="59" t="s">
        <v>165</v>
      </c>
      <c r="C72" s="2">
        <v>45978</v>
      </c>
      <c r="D72" s="2">
        <f>_xlfn.XLOOKUP(E72,[1]!Bookings[Booking Name],[1]!Bookings[Rejected Date])</f>
        <v>45978</v>
      </c>
      <c r="E72" s="59" t="s">
        <v>187</v>
      </c>
      <c r="F72" s="76" t="str">
        <f>_xlfn.XLOOKUP(E72,[1]!Bookings[Booking Name],[1]!Bookings[Booking Status])</f>
        <v>Rejected</v>
      </c>
      <c r="G72" s="2">
        <v>45973</v>
      </c>
      <c r="H72" s="3">
        <v>78</v>
      </c>
      <c r="I72" s="2" t="s">
        <v>630</v>
      </c>
      <c r="J72" s="2" t="s">
        <v>636</v>
      </c>
      <c r="K72" s="2" t="s">
        <v>429</v>
      </c>
      <c r="L72" s="2" t="s">
        <v>718</v>
      </c>
      <c r="M72" s="36" t="s">
        <v>426</v>
      </c>
      <c r="N72" s="2" t="s">
        <v>92</v>
      </c>
      <c r="O72" s="52" t="s">
        <v>715</v>
      </c>
      <c r="P72" s="2" t="s">
        <v>429</v>
      </c>
      <c r="Q72" s="4">
        <v>-2736565.44</v>
      </c>
      <c r="R72" s="27">
        <v>-4.1666666666666664E-2</v>
      </c>
      <c r="S72" s="4">
        <v>68414136</v>
      </c>
      <c r="T72" s="4">
        <v>65677570.560000002</v>
      </c>
      <c r="U72" s="34" t="s">
        <v>716</v>
      </c>
      <c r="V72" s="2" t="s">
        <v>521</v>
      </c>
      <c r="W72" s="82" t="s">
        <v>719</v>
      </c>
      <c r="X72" s="2" t="s">
        <v>429</v>
      </c>
      <c r="Y72" s="70" t="s">
        <v>209</v>
      </c>
      <c r="Z72" s="18" t="s">
        <v>25</v>
      </c>
      <c r="AA72" s="6">
        <v>0</v>
      </c>
      <c r="AB72" s="60" t="s">
        <v>26</v>
      </c>
      <c r="AC72" s="12" t="s">
        <v>191</v>
      </c>
      <c r="AD72" s="107" t="s">
        <v>403</v>
      </c>
      <c r="AE72" s="12" t="s">
        <v>193</v>
      </c>
      <c r="AF72" s="60" t="s">
        <v>192</v>
      </c>
    </row>
    <row r="73" spans="2:32" ht="50.25" customHeight="1" x14ac:dyDescent="0.3">
      <c r="B73" s="59" t="s">
        <v>165</v>
      </c>
      <c r="C73" s="2">
        <v>45975</v>
      </c>
      <c r="D73" s="2">
        <f>_xlfn.XLOOKUP(E73,[1]!Bookings[Booking Name],[1]!Bookings[Rejected Date])</f>
        <v>45981</v>
      </c>
      <c r="E73" s="57" t="s">
        <v>190</v>
      </c>
      <c r="F73" s="76" t="str">
        <f>_xlfn.XLOOKUP(E73,[1]!Bookings[Booking Name],[1]!Bookings[Booking Status])</f>
        <v>Rejected</v>
      </c>
      <c r="G73" s="2">
        <v>45972</v>
      </c>
      <c r="H73" s="3">
        <v>79</v>
      </c>
      <c r="I73" s="2" t="s">
        <v>442</v>
      </c>
      <c r="J73" s="2" t="s">
        <v>580</v>
      </c>
      <c r="K73" s="2" t="s">
        <v>444</v>
      </c>
      <c r="L73" s="2" t="s">
        <v>720</v>
      </c>
      <c r="M73" s="36" t="s">
        <v>446</v>
      </c>
      <c r="N73" s="2" t="s">
        <v>92</v>
      </c>
      <c r="O73" s="52" t="s">
        <v>721</v>
      </c>
      <c r="P73" s="2" t="s">
        <v>465</v>
      </c>
      <c r="Q73" s="4">
        <v>39950</v>
      </c>
      <c r="R73" s="27">
        <v>0.05</v>
      </c>
      <c r="S73" s="4">
        <v>759050</v>
      </c>
      <c r="T73" s="4">
        <v>799000</v>
      </c>
      <c r="U73" s="34" t="s">
        <v>722</v>
      </c>
      <c r="V73" s="2" t="s">
        <v>521</v>
      </c>
      <c r="W73" s="82" t="s">
        <v>723</v>
      </c>
      <c r="X73" s="2" t="s">
        <v>429</v>
      </c>
      <c r="Y73" s="70" t="s">
        <v>209</v>
      </c>
      <c r="Z73" s="90">
        <v>81900</v>
      </c>
      <c r="AA73" s="6">
        <v>0.10789803043277782</v>
      </c>
      <c r="AB73" s="60" t="s">
        <v>26</v>
      </c>
      <c r="AC73" s="12" t="s">
        <v>197</v>
      </c>
      <c r="AD73" s="107" t="s">
        <v>402</v>
      </c>
      <c r="AE73" s="60" t="s">
        <v>88</v>
      </c>
      <c r="AF73" s="60" t="s">
        <v>198</v>
      </c>
    </row>
    <row r="74" spans="2:32" ht="50.25" customHeight="1" x14ac:dyDescent="0.3">
      <c r="B74" s="57" t="s">
        <v>165</v>
      </c>
      <c r="C74" s="2">
        <v>45971</v>
      </c>
      <c r="D74" s="2">
        <f>_xlfn.XLOOKUP(E74,[1]!Bookings[Booking Name],[1]!Bookings[Rejected Date])</f>
        <v>45972</v>
      </c>
      <c r="E74" s="57" t="s">
        <v>184</v>
      </c>
      <c r="F74" s="76" t="str">
        <f>_xlfn.XLOOKUP(E74,[1]!Bookings[Booking Name],[1]!Bookings[Booking Status])</f>
        <v>Rejected</v>
      </c>
      <c r="G74" s="2">
        <v>45930</v>
      </c>
      <c r="H74" s="3">
        <v>121</v>
      </c>
      <c r="I74" s="2" t="s">
        <v>484</v>
      </c>
      <c r="J74" s="2" t="s">
        <v>424</v>
      </c>
      <c r="K74" s="2" t="s">
        <v>444</v>
      </c>
      <c r="L74" s="2" t="s">
        <v>724</v>
      </c>
      <c r="M74" s="36" t="s">
        <v>619</v>
      </c>
      <c r="N74" s="2" t="s">
        <v>92</v>
      </c>
      <c r="O74" s="52" t="s">
        <v>725</v>
      </c>
      <c r="P74" s="2" t="s">
        <v>488</v>
      </c>
      <c r="Q74" s="4">
        <v>0</v>
      </c>
      <c r="R74" s="27">
        <v>0</v>
      </c>
      <c r="S74" s="4">
        <v>1250000</v>
      </c>
      <c r="T74" s="4">
        <v>1250000</v>
      </c>
      <c r="U74" s="34" t="s">
        <v>726</v>
      </c>
      <c r="V74" s="2" t="s">
        <v>727</v>
      </c>
      <c r="W74" s="82" t="s">
        <v>728</v>
      </c>
      <c r="X74" s="2" t="s">
        <v>429</v>
      </c>
      <c r="Y74" s="70" t="s">
        <v>209</v>
      </c>
      <c r="Z74" s="56" t="s">
        <v>25</v>
      </c>
      <c r="AA74" s="6">
        <v>0</v>
      </c>
      <c r="AB74" s="58" t="s">
        <v>26</v>
      </c>
      <c r="AC74" s="12" t="s">
        <v>185</v>
      </c>
      <c r="AD74" s="107" t="s">
        <v>401</v>
      </c>
      <c r="AE74" s="28" t="s">
        <v>94</v>
      </c>
      <c r="AF74" s="58" t="s">
        <v>79</v>
      </c>
    </row>
    <row r="75" spans="2:32" ht="50.25" customHeight="1" x14ac:dyDescent="0.3">
      <c r="B75" s="57" t="s">
        <v>165</v>
      </c>
      <c r="C75" s="2">
        <v>45971</v>
      </c>
      <c r="D75" s="2">
        <f>_xlfn.XLOOKUP(E75,[1]!Bookings[Booking Name],[1]!Bookings[Rejected Date])</f>
        <v>45972</v>
      </c>
      <c r="E75" s="57" t="s">
        <v>183</v>
      </c>
      <c r="F75" s="76" t="str">
        <f>_xlfn.XLOOKUP(E75,[1]!Bookings[Booking Name],[1]!Bookings[Booking Status])</f>
        <v>Rejected</v>
      </c>
      <c r="G75" s="2">
        <v>45961</v>
      </c>
      <c r="H75" s="3">
        <v>90</v>
      </c>
      <c r="I75" s="2" t="s">
        <v>442</v>
      </c>
      <c r="J75" s="2" t="s">
        <v>443</v>
      </c>
      <c r="K75" s="2" t="s">
        <v>444</v>
      </c>
      <c r="L75" s="2" t="s">
        <v>729</v>
      </c>
      <c r="M75" s="36" t="s">
        <v>426</v>
      </c>
      <c r="N75" s="2" t="s">
        <v>92</v>
      </c>
      <c r="O75" s="52" t="s">
        <v>730</v>
      </c>
      <c r="P75" s="2" t="s">
        <v>570</v>
      </c>
      <c r="Q75" s="4">
        <v>0</v>
      </c>
      <c r="R75" s="27">
        <v>0</v>
      </c>
      <c r="S75" s="4">
        <v>832000</v>
      </c>
      <c r="T75" s="4">
        <v>832000</v>
      </c>
      <c r="U75" s="34" t="s">
        <v>571</v>
      </c>
      <c r="V75" s="2" t="s">
        <v>572</v>
      </c>
      <c r="W75" s="82" t="s">
        <v>731</v>
      </c>
      <c r="X75" s="2" t="s">
        <v>429</v>
      </c>
      <c r="Y75" s="70" t="s">
        <v>209</v>
      </c>
      <c r="Z75" s="56" t="s">
        <v>25</v>
      </c>
      <c r="AA75" s="6">
        <v>0</v>
      </c>
      <c r="AB75" s="58" t="s">
        <v>26</v>
      </c>
      <c r="AC75" s="12" t="s">
        <v>32</v>
      </c>
      <c r="AD75" s="107" t="s">
        <v>400</v>
      </c>
      <c r="AE75" s="28" t="s">
        <v>32</v>
      </c>
      <c r="AF75" s="29" t="s">
        <v>97</v>
      </c>
    </row>
    <row r="76" spans="2:32" ht="50.25" customHeight="1" x14ac:dyDescent="0.3">
      <c r="B76" s="57" t="s">
        <v>165</v>
      </c>
      <c r="C76" s="2">
        <v>45971</v>
      </c>
      <c r="D76" s="2">
        <f>_xlfn.XLOOKUP(E76,[1]!Bookings[Booking Name],[1]!Bookings[Rejected Date])</f>
        <v>45972</v>
      </c>
      <c r="E76" s="57" t="s">
        <v>182</v>
      </c>
      <c r="F76" s="76" t="str">
        <f>_xlfn.XLOOKUP(E76,[1]!Bookings[Booking Name],[1]!Bookings[Booking Status])</f>
        <v>Rejected</v>
      </c>
      <c r="G76" s="2">
        <v>45961</v>
      </c>
      <c r="H76" s="3">
        <v>90</v>
      </c>
      <c r="I76" s="2" t="s">
        <v>442</v>
      </c>
      <c r="J76" s="2" t="s">
        <v>443</v>
      </c>
      <c r="K76" s="2" t="s">
        <v>444</v>
      </c>
      <c r="L76" s="2" t="s">
        <v>732</v>
      </c>
      <c r="M76" s="36" t="s">
        <v>446</v>
      </c>
      <c r="N76" s="2" t="s">
        <v>92</v>
      </c>
      <c r="O76" s="52" t="s">
        <v>733</v>
      </c>
      <c r="P76" s="2" t="s">
        <v>570</v>
      </c>
      <c r="Q76" s="4">
        <v>0</v>
      </c>
      <c r="R76" s="27">
        <v>0</v>
      </c>
      <c r="S76" s="4">
        <v>832000</v>
      </c>
      <c r="T76" s="4">
        <v>832000</v>
      </c>
      <c r="U76" s="34" t="s">
        <v>571</v>
      </c>
      <c r="V76" s="2" t="s">
        <v>572</v>
      </c>
      <c r="W76" s="82" t="s">
        <v>734</v>
      </c>
      <c r="X76" s="2" t="s">
        <v>429</v>
      </c>
      <c r="Y76" s="70" t="s">
        <v>209</v>
      </c>
      <c r="Z76" s="90">
        <v>9000</v>
      </c>
      <c r="AA76" s="6">
        <v>1.0817307692307692E-2</v>
      </c>
      <c r="AB76" s="58" t="s">
        <v>31</v>
      </c>
      <c r="AC76" s="12" t="s">
        <v>32</v>
      </c>
      <c r="AD76" s="107" t="s">
        <v>399</v>
      </c>
      <c r="AE76" s="28" t="s">
        <v>32</v>
      </c>
      <c r="AF76" s="29" t="s">
        <v>97</v>
      </c>
    </row>
    <row r="77" spans="2:32" ht="50.25" customHeight="1" x14ac:dyDescent="0.3">
      <c r="B77" s="55" t="s">
        <v>165</v>
      </c>
      <c r="C77" s="2">
        <v>45966</v>
      </c>
      <c r="D77" s="2">
        <f>_xlfn.XLOOKUP(E77,[1]!Bookings[Booking Name],[1]!Bookings[Rejected Date])</f>
        <v>45968</v>
      </c>
      <c r="E77" s="55" t="s">
        <v>181</v>
      </c>
      <c r="F77" s="76" t="str">
        <f>_xlfn.XLOOKUP(E77,[1]!Bookings[Booking Name],[1]!Bookings[Booking Status])</f>
        <v>Rejected</v>
      </c>
      <c r="G77" s="2">
        <v>45961</v>
      </c>
      <c r="H77" s="3">
        <v>90</v>
      </c>
      <c r="I77" s="2" t="s">
        <v>442</v>
      </c>
      <c r="J77" s="2" t="s">
        <v>443</v>
      </c>
      <c r="K77" s="2" t="s">
        <v>444</v>
      </c>
      <c r="L77" s="2" t="s">
        <v>735</v>
      </c>
      <c r="M77" s="36" t="s">
        <v>446</v>
      </c>
      <c r="N77" s="2" t="s">
        <v>92</v>
      </c>
      <c r="O77" s="52" t="s">
        <v>736</v>
      </c>
      <c r="P77" s="2" t="s">
        <v>465</v>
      </c>
      <c r="Q77" s="4">
        <v>0</v>
      </c>
      <c r="R77" s="27">
        <v>0</v>
      </c>
      <c r="S77" s="4">
        <v>848000</v>
      </c>
      <c r="T77" s="4">
        <v>848000</v>
      </c>
      <c r="U77" s="34" t="s">
        <v>737</v>
      </c>
      <c r="V77" s="2" t="s">
        <v>521</v>
      </c>
      <c r="W77" s="82" t="s">
        <v>738</v>
      </c>
      <c r="X77" s="2" t="s">
        <v>429</v>
      </c>
      <c r="Y77" s="70" t="s">
        <v>209</v>
      </c>
      <c r="Z77" s="90">
        <v>3675</v>
      </c>
      <c r="AA77" s="6">
        <v>4.3337264150943395E-3</v>
      </c>
      <c r="AB77" s="56" t="s">
        <v>37</v>
      </c>
      <c r="AC77" s="12" t="s">
        <v>133</v>
      </c>
      <c r="AD77" s="107" t="s">
        <v>398</v>
      </c>
      <c r="AE77" s="28" t="s">
        <v>32</v>
      </c>
      <c r="AF77" s="29" t="s">
        <v>97</v>
      </c>
    </row>
    <row r="78" spans="2:32" ht="50.25" customHeight="1" x14ac:dyDescent="0.3">
      <c r="B78" s="52" t="s">
        <v>172</v>
      </c>
      <c r="C78" s="2">
        <v>45965</v>
      </c>
      <c r="D78" s="2">
        <f>_xlfn.XLOOKUP(E78,[1]!Bookings[Booking Name],[1]!Bookings[Rejected Date])</f>
        <v>45968</v>
      </c>
      <c r="E78" s="52" t="s">
        <v>173</v>
      </c>
      <c r="F78" s="76" t="str">
        <f>_xlfn.XLOOKUP(E78,[1]!Bookings[Booking Name],[1]!Bookings[Booking Status])</f>
        <v>Rejected</v>
      </c>
      <c r="G78" s="2">
        <v>45961</v>
      </c>
      <c r="H78" s="3">
        <v>90</v>
      </c>
      <c r="I78" s="2" t="s">
        <v>442</v>
      </c>
      <c r="J78" s="2" t="s">
        <v>580</v>
      </c>
      <c r="K78" s="2" t="s">
        <v>444</v>
      </c>
      <c r="L78" s="2" t="s">
        <v>739</v>
      </c>
      <c r="M78" s="36" t="s">
        <v>446</v>
      </c>
      <c r="N78" s="2" t="s">
        <v>92</v>
      </c>
      <c r="O78" s="52" t="s">
        <v>740</v>
      </c>
      <c r="P78" s="2" t="s">
        <v>488</v>
      </c>
      <c r="Q78" s="4">
        <v>0</v>
      </c>
      <c r="R78" s="27">
        <v>0</v>
      </c>
      <c r="S78" s="4">
        <v>857000</v>
      </c>
      <c r="T78" s="4">
        <v>857000</v>
      </c>
      <c r="U78" s="34" t="s">
        <v>741</v>
      </c>
      <c r="V78" s="2" t="s">
        <v>742</v>
      </c>
      <c r="W78" s="82" t="s">
        <v>743</v>
      </c>
      <c r="X78" s="2" t="s">
        <v>429</v>
      </c>
      <c r="Y78" s="70" t="s">
        <v>209</v>
      </c>
      <c r="Z78" s="18" t="s">
        <v>25</v>
      </c>
      <c r="AA78" s="6">
        <v>0</v>
      </c>
      <c r="AB78" s="53" t="s">
        <v>31</v>
      </c>
      <c r="AC78" s="12" t="s">
        <v>180</v>
      </c>
      <c r="AD78" s="107" t="s">
        <v>397</v>
      </c>
      <c r="AE78" s="35" t="s">
        <v>131</v>
      </c>
      <c r="AF78" s="35" t="s">
        <v>132</v>
      </c>
    </row>
    <row r="79" spans="2:32" ht="50.25" customHeight="1" x14ac:dyDescent="0.3">
      <c r="B79" s="52" t="s">
        <v>165</v>
      </c>
      <c r="C79" s="2">
        <v>45964</v>
      </c>
      <c r="D79" s="2">
        <f>_xlfn.XLOOKUP(E79,[1]!Bookings[Booking Name],[1]!Bookings[Rejected Date])</f>
        <v>45966</v>
      </c>
      <c r="E79" s="52" t="s">
        <v>174</v>
      </c>
      <c r="F79" s="76" t="str">
        <f>_xlfn.XLOOKUP(E79,[1]!Bookings[Booking Name],[1]!Bookings[Booking Status])</f>
        <v>Rejected</v>
      </c>
      <c r="G79" s="2">
        <v>45964</v>
      </c>
      <c r="H79" s="3">
        <v>87</v>
      </c>
      <c r="I79" s="2" t="s">
        <v>442</v>
      </c>
      <c r="J79" s="2" t="s">
        <v>443</v>
      </c>
      <c r="K79" s="2" t="s">
        <v>444</v>
      </c>
      <c r="L79" s="2" t="s">
        <v>744</v>
      </c>
      <c r="M79" s="36" t="s">
        <v>426</v>
      </c>
      <c r="N79" s="2" t="s">
        <v>92</v>
      </c>
      <c r="O79" s="52" t="s">
        <v>745</v>
      </c>
      <c r="P79" s="2" t="s">
        <v>626</v>
      </c>
      <c r="Q79" s="4">
        <v>0</v>
      </c>
      <c r="R79" s="27">
        <v>0</v>
      </c>
      <c r="S79" s="4">
        <v>813000</v>
      </c>
      <c r="T79" s="4">
        <v>813000</v>
      </c>
      <c r="U79" s="34" t="s">
        <v>577</v>
      </c>
      <c r="V79" s="2" t="s">
        <v>746</v>
      </c>
      <c r="W79" s="82" t="s">
        <v>747</v>
      </c>
      <c r="X79" s="2" t="s">
        <v>429</v>
      </c>
      <c r="Y79" s="70" t="s">
        <v>209</v>
      </c>
      <c r="Z79" s="90">
        <v>8948</v>
      </c>
      <c r="AA79" s="6">
        <v>1.1006150061500615E-2</v>
      </c>
      <c r="AB79" s="53" t="s">
        <v>37</v>
      </c>
      <c r="AC79" s="12" t="s">
        <v>177</v>
      </c>
      <c r="AD79" s="107" t="s">
        <v>396</v>
      </c>
      <c r="AE79" s="53" t="s">
        <v>178</v>
      </c>
      <c r="AF79" s="54" t="s">
        <v>179</v>
      </c>
    </row>
    <row r="80" spans="2:32" ht="50.25" customHeight="1" x14ac:dyDescent="0.3">
      <c r="B80" s="49" t="s">
        <v>165</v>
      </c>
      <c r="C80" s="2">
        <v>45964</v>
      </c>
      <c r="D80" s="2">
        <f>_xlfn.XLOOKUP(E80,[1]!Bookings[Booking Name],[1]!Bookings[Rejected Date])</f>
        <v>45968</v>
      </c>
      <c r="E80" s="49" t="s">
        <v>168</v>
      </c>
      <c r="F80" s="76" t="str">
        <f>_xlfn.XLOOKUP(E80,[1]!Bookings[Booking Name],[1]!Bookings[Booking Status])</f>
        <v>Rejected</v>
      </c>
      <c r="G80" s="2">
        <v>45961</v>
      </c>
      <c r="H80" s="3">
        <v>90</v>
      </c>
      <c r="I80" s="2" t="s">
        <v>442</v>
      </c>
      <c r="J80" s="2" t="s">
        <v>443</v>
      </c>
      <c r="K80" s="2" t="s">
        <v>444</v>
      </c>
      <c r="L80" s="2" t="s">
        <v>748</v>
      </c>
      <c r="M80" s="36" t="s">
        <v>446</v>
      </c>
      <c r="N80" s="2" t="s">
        <v>92</v>
      </c>
      <c r="O80" s="52" t="s">
        <v>745</v>
      </c>
      <c r="P80" s="2" t="s">
        <v>626</v>
      </c>
      <c r="Q80" s="4">
        <v>0</v>
      </c>
      <c r="R80" s="27">
        <v>0</v>
      </c>
      <c r="S80" s="4">
        <v>873000</v>
      </c>
      <c r="T80" s="4">
        <v>873000</v>
      </c>
      <c r="U80" s="34" t="s">
        <v>577</v>
      </c>
      <c r="V80" s="2" t="s">
        <v>746</v>
      </c>
      <c r="W80" s="82" t="s">
        <v>749</v>
      </c>
      <c r="X80" s="2" t="s">
        <v>429</v>
      </c>
      <c r="Y80" s="70" t="s">
        <v>209</v>
      </c>
      <c r="Z80" s="11" t="s">
        <v>25</v>
      </c>
      <c r="AA80" s="6">
        <v>0</v>
      </c>
      <c r="AB80" s="50" t="s">
        <v>31</v>
      </c>
      <c r="AC80" s="12" t="s">
        <v>169</v>
      </c>
      <c r="AD80" s="107" t="s">
        <v>395</v>
      </c>
      <c r="AE80" s="28" t="s">
        <v>88</v>
      </c>
      <c r="AF80" s="51" t="s">
        <v>170</v>
      </c>
    </row>
    <row r="81" spans="2:32" ht="50.25" customHeight="1" x14ac:dyDescent="0.3">
      <c r="B81" s="47" t="s">
        <v>165</v>
      </c>
      <c r="C81" s="2">
        <v>45962</v>
      </c>
      <c r="D81" s="2">
        <f>_xlfn.XLOOKUP(E81,[1]!Bookings[Booking Name],[1]!Bookings[Rejected Date])</f>
        <v>45964</v>
      </c>
      <c r="E81" s="47" t="s">
        <v>166</v>
      </c>
      <c r="F81" s="76" t="str">
        <f>_xlfn.XLOOKUP(E81,[1]!Bookings[Booking Name],[1]!Bookings[Booking Status])</f>
        <v>Rejected</v>
      </c>
      <c r="G81" s="2">
        <v>45931</v>
      </c>
      <c r="H81" s="3">
        <v>120</v>
      </c>
      <c r="I81" s="2" t="s">
        <v>442</v>
      </c>
      <c r="J81" s="2" t="s">
        <v>580</v>
      </c>
      <c r="K81" s="2" t="s">
        <v>444</v>
      </c>
      <c r="L81" s="2" t="s">
        <v>750</v>
      </c>
      <c r="M81" s="36" t="s">
        <v>619</v>
      </c>
      <c r="N81" s="2" t="s">
        <v>92</v>
      </c>
      <c r="O81" s="52" t="s">
        <v>751</v>
      </c>
      <c r="P81" s="2" t="s">
        <v>520</v>
      </c>
      <c r="Q81" s="4">
        <v>23310</v>
      </c>
      <c r="R81" s="27">
        <v>0.03</v>
      </c>
      <c r="S81" s="4">
        <v>753690</v>
      </c>
      <c r="T81" s="4">
        <v>777000</v>
      </c>
      <c r="U81" s="34" t="s">
        <v>752</v>
      </c>
      <c r="V81" s="2" t="s">
        <v>555</v>
      </c>
      <c r="W81" s="82" t="s">
        <v>753</v>
      </c>
      <c r="X81" s="2" t="s">
        <v>429</v>
      </c>
      <c r="Y81" s="70" t="s">
        <v>209</v>
      </c>
      <c r="Z81" s="90">
        <v>10000</v>
      </c>
      <c r="AA81" s="6">
        <v>1.3268054505167907E-2</v>
      </c>
      <c r="AB81" s="48" t="s">
        <v>37</v>
      </c>
      <c r="AC81" s="12" t="s">
        <v>167</v>
      </c>
      <c r="AD81" s="107" t="s">
        <v>394</v>
      </c>
      <c r="AE81" s="41" t="s">
        <v>32</v>
      </c>
      <c r="AF81" s="41" t="s">
        <v>114</v>
      </c>
    </row>
    <row r="82" spans="2:32" ht="50.25" customHeight="1" x14ac:dyDescent="0.3">
      <c r="B82" s="52" t="s">
        <v>158</v>
      </c>
      <c r="C82" s="2">
        <v>45961</v>
      </c>
      <c r="D82" s="2">
        <f>_xlfn.XLOOKUP(E82,[1]!Bookings[Booking Name],[1]!Bookings[Rejected Date])</f>
        <v>45968</v>
      </c>
      <c r="E82" s="52" t="s">
        <v>171</v>
      </c>
      <c r="F82" s="76" t="str">
        <f>_xlfn.XLOOKUP(E82,[1]!Bookings[Booking Name],[1]!Bookings[Booking Status])</f>
        <v>Rejected</v>
      </c>
      <c r="G82" s="2">
        <v>45961</v>
      </c>
      <c r="H82" s="3">
        <v>90</v>
      </c>
      <c r="I82" s="2" t="s">
        <v>442</v>
      </c>
      <c r="J82" s="2" t="s">
        <v>443</v>
      </c>
      <c r="K82" s="2" t="s">
        <v>444</v>
      </c>
      <c r="L82" s="2" t="s">
        <v>754</v>
      </c>
      <c r="M82" s="36" t="s">
        <v>446</v>
      </c>
      <c r="N82" s="2" t="s">
        <v>92</v>
      </c>
      <c r="O82" s="52" t="s">
        <v>745</v>
      </c>
      <c r="P82" s="2" t="s">
        <v>626</v>
      </c>
      <c r="Q82" s="4">
        <v>0</v>
      </c>
      <c r="R82" s="27">
        <v>0</v>
      </c>
      <c r="S82" s="4">
        <v>894800</v>
      </c>
      <c r="T82" s="4">
        <v>894800</v>
      </c>
      <c r="U82" s="34" t="s">
        <v>577</v>
      </c>
      <c r="V82" s="2" t="s">
        <v>521</v>
      </c>
      <c r="W82" s="82" t="s">
        <v>755</v>
      </c>
      <c r="X82" s="2" t="s">
        <v>429</v>
      </c>
      <c r="Y82" s="70" t="s">
        <v>209</v>
      </c>
      <c r="Z82" s="18" t="s">
        <v>25</v>
      </c>
      <c r="AA82" s="6">
        <v>0</v>
      </c>
      <c r="AB82" s="50" t="s">
        <v>31</v>
      </c>
      <c r="AC82" s="12" t="s">
        <v>175</v>
      </c>
      <c r="AD82" s="107" t="s">
        <v>393</v>
      </c>
      <c r="AE82" s="53" t="s">
        <v>176</v>
      </c>
      <c r="AF82" s="53" t="s">
        <v>176</v>
      </c>
    </row>
    <row r="83" spans="2:32" ht="50.25" customHeight="1" x14ac:dyDescent="0.3">
      <c r="B83" s="2" t="s">
        <v>158</v>
      </c>
      <c r="C83" s="2">
        <v>45960</v>
      </c>
      <c r="D83" s="2">
        <f>_xlfn.XLOOKUP(E83,[1]!Bookings[Booking Name],[1]!Bookings[Rejected Date])</f>
        <v>45961</v>
      </c>
      <c r="E83" s="45" t="s">
        <v>162</v>
      </c>
      <c r="F83" s="76" t="str">
        <f>_xlfn.XLOOKUP(E83,[1]!Bookings[Booking Name],[1]!Bookings[Booking Status])</f>
        <v>Rejected</v>
      </c>
      <c r="G83" s="2">
        <v>45954</v>
      </c>
      <c r="H83" s="3">
        <v>97</v>
      </c>
      <c r="I83" s="2" t="s">
        <v>442</v>
      </c>
      <c r="J83" s="2" t="s">
        <v>443</v>
      </c>
      <c r="K83" s="2" t="s">
        <v>444</v>
      </c>
      <c r="L83" s="2" t="s">
        <v>756</v>
      </c>
      <c r="M83" s="36" t="s">
        <v>446</v>
      </c>
      <c r="N83" s="2" t="s">
        <v>92</v>
      </c>
      <c r="O83" s="52" t="s">
        <v>591</v>
      </c>
      <c r="P83" s="2" t="s">
        <v>438</v>
      </c>
      <c r="Q83" s="4">
        <v>0</v>
      </c>
      <c r="R83" s="27">
        <v>0</v>
      </c>
      <c r="S83" s="4">
        <v>835000</v>
      </c>
      <c r="T83" s="4">
        <v>835000</v>
      </c>
      <c r="U83" s="34" t="s">
        <v>505</v>
      </c>
      <c r="V83" s="2" t="s">
        <v>592</v>
      </c>
      <c r="W83" s="82" t="s">
        <v>757</v>
      </c>
      <c r="X83" s="2" t="s">
        <v>429</v>
      </c>
      <c r="Y83" s="70" t="s">
        <v>209</v>
      </c>
      <c r="Z83" s="90">
        <v>16320</v>
      </c>
      <c r="AA83" s="6">
        <v>1.9544910179640718E-2</v>
      </c>
      <c r="AB83" s="46" t="s">
        <v>31</v>
      </c>
      <c r="AC83" s="12" t="s">
        <v>164</v>
      </c>
      <c r="AD83" s="107" t="s">
        <v>392</v>
      </c>
      <c r="AE83" s="46" t="s">
        <v>88</v>
      </c>
      <c r="AF83" s="46" t="s">
        <v>163</v>
      </c>
    </row>
    <row r="84" spans="2:32" ht="50.25" customHeight="1" x14ac:dyDescent="0.3">
      <c r="B84" s="2" t="s">
        <v>158</v>
      </c>
      <c r="C84" s="2">
        <v>45958</v>
      </c>
      <c r="D84" s="2">
        <f>_xlfn.XLOOKUP(E84,[1]!Bookings[Booking Name],[1]!Bookings[Rejected Date])</f>
        <v>45959</v>
      </c>
      <c r="E84" s="43" t="s">
        <v>155</v>
      </c>
      <c r="F84" s="76" t="str">
        <f>_xlfn.XLOOKUP(E84,[1]!Bookings[Booking Name],[1]!Bookings[Booking Status])</f>
        <v>Rejected</v>
      </c>
      <c r="G84" s="2">
        <v>45957</v>
      </c>
      <c r="H84" s="3">
        <v>94</v>
      </c>
      <c r="I84" s="2" t="s">
        <v>442</v>
      </c>
      <c r="J84" s="2" t="s">
        <v>580</v>
      </c>
      <c r="K84" s="2" t="s">
        <v>444</v>
      </c>
      <c r="L84" s="2" t="s">
        <v>758</v>
      </c>
      <c r="M84" s="36" t="s">
        <v>426</v>
      </c>
      <c r="N84" s="2" t="s">
        <v>92</v>
      </c>
      <c r="O84" s="52" t="s">
        <v>564</v>
      </c>
      <c r="P84" s="2" t="s">
        <v>438</v>
      </c>
      <c r="Q84" s="4">
        <v>42000</v>
      </c>
      <c r="R84" s="27">
        <v>4.8000000000000001E-2</v>
      </c>
      <c r="S84" s="4">
        <v>833000</v>
      </c>
      <c r="T84" s="4">
        <v>875000</v>
      </c>
      <c r="U84" s="34" t="s">
        <v>565</v>
      </c>
      <c r="V84" s="2" t="s">
        <v>566</v>
      </c>
      <c r="W84" s="82" t="s">
        <v>759</v>
      </c>
      <c r="X84" s="2" t="s">
        <v>429</v>
      </c>
      <c r="Y84" s="70" t="s">
        <v>209</v>
      </c>
      <c r="Z84" s="18" t="s">
        <v>25</v>
      </c>
      <c r="AA84" s="6">
        <v>0</v>
      </c>
      <c r="AB84" s="35" t="s">
        <v>26</v>
      </c>
      <c r="AC84" s="12" t="s">
        <v>156</v>
      </c>
      <c r="AD84" s="107" t="s">
        <v>391</v>
      </c>
      <c r="AE84" s="28" t="s">
        <v>88</v>
      </c>
      <c r="AF84" s="44" t="s">
        <v>157</v>
      </c>
    </row>
    <row r="85" spans="2:32" ht="50.25" customHeight="1" x14ac:dyDescent="0.3">
      <c r="B85" s="2" t="s">
        <v>158</v>
      </c>
      <c r="C85" s="2">
        <v>45957</v>
      </c>
      <c r="D85" s="2">
        <f>_xlfn.XLOOKUP(E85,[1]!Bookings[Booking Name],[1]!Bookings[Rejected Date])</f>
        <v>45958</v>
      </c>
      <c r="E85" s="40" t="s">
        <v>154</v>
      </c>
      <c r="F85" s="76" t="str">
        <f>_xlfn.XLOOKUP(E85,[1]!Bookings[Booking Name],[1]!Bookings[Booking Status])</f>
        <v>Rejected</v>
      </c>
      <c r="G85" s="2">
        <v>45825</v>
      </c>
      <c r="H85" s="3">
        <v>226</v>
      </c>
      <c r="I85" s="2" t="s">
        <v>442</v>
      </c>
      <c r="J85" s="2" t="s">
        <v>443</v>
      </c>
      <c r="K85" s="2" t="s">
        <v>485</v>
      </c>
      <c r="L85" s="2" t="s">
        <v>760</v>
      </c>
      <c r="M85" s="36" t="s">
        <v>426</v>
      </c>
      <c r="N85" s="2" t="s">
        <v>92</v>
      </c>
      <c r="O85" s="52" t="s">
        <v>761</v>
      </c>
      <c r="P85" s="2" t="s">
        <v>471</v>
      </c>
      <c r="Q85" s="4">
        <v>85000</v>
      </c>
      <c r="R85" s="27">
        <v>6.5485362095531588E-2</v>
      </c>
      <c r="S85" s="4">
        <v>1213000</v>
      </c>
      <c r="T85" s="4">
        <v>1298000</v>
      </c>
      <c r="U85" s="34" t="s">
        <v>653</v>
      </c>
      <c r="V85" s="2" t="s">
        <v>584</v>
      </c>
      <c r="W85" s="82" t="s">
        <v>762</v>
      </c>
      <c r="X85" s="2" t="s">
        <v>429</v>
      </c>
      <c r="Y85" s="70" t="s">
        <v>209</v>
      </c>
      <c r="Z85" s="90">
        <v>50000</v>
      </c>
      <c r="AA85" s="6">
        <v>4.1220115416323165E-2</v>
      </c>
      <c r="AB85" s="41" t="s">
        <v>37</v>
      </c>
      <c r="AC85" s="12" t="s">
        <v>167</v>
      </c>
      <c r="AD85" s="107" t="s">
        <v>390</v>
      </c>
      <c r="AE85" s="41" t="s">
        <v>32</v>
      </c>
      <c r="AF85" s="41" t="s">
        <v>114</v>
      </c>
    </row>
    <row r="86" spans="2:32" ht="50.25" customHeight="1" x14ac:dyDescent="0.3">
      <c r="B86" s="2" t="s">
        <v>158</v>
      </c>
      <c r="C86" s="2">
        <v>45951</v>
      </c>
      <c r="D86" s="2">
        <f>_xlfn.XLOOKUP(E86,[1]!Bookings[Booking Name],[1]!Bookings[Rejected Date])</f>
        <v>45951</v>
      </c>
      <c r="E86" s="39" t="s">
        <v>153</v>
      </c>
      <c r="F86" s="76" t="str">
        <f>_xlfn.XLOOKUP(E86,[1]!Bookings[Booking Name],[1]!Bookings[Booking Status])</f>
        <v>Rejected</v>
      </c>
      <c r="G86" s="2">
        <v>45930</v>
      </c>
      <c r="H86" s="3">
        <v>121</v>
      </c>
      <c r="I86" s="2" t="s">
        <v>442</v>
      </c>
      <c r="J86" s="2" t="s">
        <v>443</v>
      </c>
      <c r="K86" s="2" t="s">
        <v>574</v>
      </c>
      <c r="L86" s="2" t="s">
        <v>763</v>
      </c>
      <c r="M86" s="36" t="s">
        <v>426</v>
      </c>
      <c r="N86" s="2" t="s">
        <v>92</v>
      </c>
      <c r="O86" s="52" t="s">
        <v>764</v>
      </c>
      <c r="P86" s="2" t="s">
        <v>438</v>
      </c>
      <c r="Q86" s="4">
        <v>0</v>
      </c>
      <c r="R86" s="27">
        <v>0</v>
      </c>
      <c r="S86" s="4">
        <v>1770000</v>
      </c>
      <c r="T86" s="4">
        <v>1770000</v>
      </c>
      <c r="U86" s="34" t="s">
        <v>596</v>
      </c>
      <c r="V86" s="2" t="s">
        <v>578</v>
      </c>
      <c r="W86" s="82" t="s">
        <v>765</v>
      </c>
      <c r="X86" s="2" t="s">
        <v>429</v>
      </c>
      <c r="Y86" s="70" t="s">
        <v>209</v>
      </c>
      <c r="Z86" s="18" t="s">
        <v>25</v>
      </c>
      <c r="AA86" s="6">
        <v>0</v>
      </c>
      <c r="AB86" s="35" t="s">
        <v>26</v>
      </c>
      <c r="AC86" s="28" t="s">
        <v>93</v>
      </c>
      <c r="AD86" s="14" t="s">
        <v>389</v>
      </c>
      <c r="AE86" s="28" t="s">
        <v>93</v>
      </c>
      <c r="AF86" s="28" t="s">
        <v>96</v>
      </c>
    </row>
    <row r="87" spans="2:32" ht="50.25" customHeight="1" x14ac:dyDescent="0.3">
      <c r="B87" s="2" t="s">
        <v>158</v>
      </c>
      <c r="C87" s="2">
        <v>45951</v>
      </c>
      <c r="D87" s="2">
        <f>_xlfn.XLOOKUP(E87,[1]!Bookings[Booking Name],[1]!Bookings[Rejected Date])</f>
        <v>45951</v>
      </c>
      <c r="E87" s="39" t="s">
        <v>151</v>
      </c>
      <c r="F87" s="76" t="str">
        <f>_xlfn.XLOOKUP(E87,[1]!Bookings[Booking Name],[1]!Bookings[Booking Status])</f>
        <v>Rejected</v>
      </c>
      <c r="G87" s="2">
        <v>45929</v>
      </c>
      <c r="H87" s="3">
        <v>122</v>
      </c>
      <c r="I87" s="2" t="s">
        <v>442</v>
      </c>
      <c r="J87" s="2" t="s">
        <v>443</v>
      </c>
      <c r="K87" s="2" t="s">
        <v>444</v>
      </c>
      <c r="L87" s="2" t="s">
        <v>766</v>
      </c>
      <c r="M87" s="36" t="s">
        <v>619</v>
      </c>
      <c r="N87" s="2" t="s">
        <v>92</v>
      </c>
      <c r="O87" s="52" t="s">
        <v>767</v>
      </c>
      <c r="P87" s="2" t="s">
        <v>438</v>
      </c>
      <c r="Q87" s="4">
        <v>44300</v>
      </c>
      <c r="R87" s="27">
        <v>0.05</v>
      </c>
      <c r="S87" s="4">
        <v>841700</v>
      </c>
      <c r="T87" s="4">
        <v>886000</v>
      </c>
      <c r="U87" s="34" t="s">
        <v>596</v>
      </c>
      <c r="V87" s="2" t="s">
        <v>578</v>
      </c>
      <c r="W87" s="82" t="s">
        <v>768</v>
      </c>
      <c r="X87" s="2" t="s">
        <v>429</v>
      </c>
      <c r="Y87" s="70" t="s">
        <v>209</v>
      </c>
      <c r="Z87" s="18" t="s">
        <v>25</v>
      </c>
      <c r="AA87" s="6">
        <v>0</v>
      </c>
      <c r="AB87" s="35" t="s">
        <v>26</v>
      </c>
      <c r="AC87" s="28" t="s">
        <v>93</v>
      </c>
      <c r="AD87" s="14" t="s">
        <v>388</v>
      </c>
      <c r="AE87" s="28" t="s">
        <v>93</v>
      </c>
      <c r="AF87" s="28" t="s">
        <v>96</v>
      </c>
    </row>
    <row r="88" spans="2:32" ht="50.25" customHeight="1" x14ac:dyDescent="0.3">
      <c r="B88" s="2" t="s">
        <v>158</v>
      </c>
      <c r="C88" s="2">
        <v>45951</v>
      </c>
      <c r="D88" s="2">
        <f>_xlfn.XLOOKUP(E88,[1]!Bookings[Booking Name],[1]!Bookings[Rejected Date])</f>
        <v>45951</v>
      </c>
      <c r="E88" s="39" t="s">
        <v>150</v>
      </c>
      <c r="F88" s="76" t="str">
        <f>_xlfn.XLOOKUP(E88,[1]!Bookings[Booking Name],[1]!Bookings[Booking Status])</f>
        <v>Rejected</v>
      </c>
      <c r="G88" s="2">
        <v>45912</v>
      </c>
      <c r="H88" s="3">
        <v>139</v>
      </c>
      <c r="I88" s="2" t="s">
        <v>442</v>
      </c>
      <c r="J88" s="2" t="s">
        <v>580</v>
      </c>
      <c r="K88" s="2" t="s">
        <v>769</v>
      </c>
      <c r="L88" s="2" t="s">
        <v>770</v>
      </c>
      <c r="M88" s="36" t="s">
        <v>446</v>
      </c>
      <c r="N88" s="2" t="s">
        <v>92</v>
      </c>
      <c r="O88" s="52" t="s">
        <v>771</v>
      </c>
      <c r="P88" s="2" t="s">
        <v>448</v>
      </c>
      <c r="Q88" s="4">
        <v>260600</v>
      </c>
      <c r="R88" s="27">
        <v>0.05</v>
      </c>
      <c r="S88" s="4">
        <v>4951400</v>
      </c>
      <c r="T88" s="4">
        <v>5212000</v>
      </c>
      <c r="U88" s="34" t="s">
        <v>741</v>
      </c>
      <c r="V88" s="2" t="s">
        <v>555</v>
      </c>
      <c r="W88" s="82" t="s">
        <v>772</v>
      </c>
      <c r="X88" s="2" t="s">
        <v>429</v>
      </c>
      <c r="Y88" s="70" t="s">
        <v>209</v>
      </c>
      <c r="Z88" s="18" t="s">
        <v>25</v>
      </c>
      <c r="AA88" s="6">
        <v>0</v>
      </c>
      <c r="AB88" s="35" t="s">
        <v>26</v>
      </c>
      <c r="AC88" s="28" t="s">
        <v>93</v>
      </c>
      <c r="AD88" s="14" t="s">
        <v>387</v>
      </c>
      <c r="AE88" s="28" t="s">
        <v>93</v>
      </c>
      <c r="AF88" s="28" t="s">
        <v>96</v>
      </c>
    </row>
    <row r="89" spans="2:32" ht="50.25" customHeight="1" x14ac:dyDescent="0.3">
      <c r="B89" s="2" t="s">
        <v>158</v>
      </c>
      <c r="C89" s="2">
        <v>45951</v>
      </c>
      <c r="D89" s="2">
        <f>_xlfn.XLOOKUP(E89,[1]!Bookings[Booking Name],[1]!Bookings[Rejected Date])</f>
        <v>45951</v>
      </c>
      <c r="E89" s="39" t="s">
        <v>149</v>
      </c>
      <c r="F89" s="76" t="str">
        <f>_xlfn.XLOOKUP(E89,[1]!Bookings[Booking Name],[1]!Bookings[Booking Status])</f>
        <v>Rejected</v>
      </c>
      <c r="G89" s="2">
        <v>45912</v>
      </c>
      <c r="H89" s="3">
        <v>139</v>
      </c>
      <c r="I89" s="2" t="s">
        <v>442</v>
      </c>
      <c r="J89" s="2" t="s">
        <v>580</v>
      </c>
      <c r="K89" s="2" t="s">
        <v>574</v>
      </c>
      <c r="L89" s="2" t="s">
        <v>773</v>
      </c>
      <c r="M89" s="36" t="s">
        <v>426</v>
      </c>
      <c r="N89" s="2" t="s">
        <v>92</v>
      </c>
      <c r="O89" s="52" t="s">
        <v>774</v>
      </c>
      <c r="P89" s="2" t="s">
        <v>605</v>
      </c>
      <c r="Q89" s="4">
        <v>132550</v>
      </c>
      <c r="R89" s="27">
        <v>0.05</v>
      </c>
      <c r="S89" s="4">
        <v>2518450</v>
      </c>
      <c r="T89" s="4">
        <v>2651000</v>
      </c>
      <c r="U89" s="34" t="s">
        <v>606</v>
      </c>
      <c r="V89" s="2" t="s">
        <v>775</v>
      </c>
      <c r="W89" s="82" t="s">
        <v>776</v>
      </c>
      <c r="X89" s="2" t="s">
        <v>429</v>
      </c>
      <c r="Y89" s="70" t="s">
        <v>209</v>
      </c>
      <c r="Z89" s="18" t="s">
        <v>25</v>
      </c>
      <c r="AA89" s="6">
        <v>0</v>
      </c>
      <c r="AB89" s="35" t="s">
        <v>26</v>
      </c>
      <c r="AC89" s="28" t="s">
        <v>93</v>
      </c>
      <c r="AD89" s="14" t="s">
        <v>386</v>
      </c>
      <c r="AE89" s="28" t="s">
        <v>93</v>
      </c>
      <c r="AF89" s="28" t="s">
        <v>96</v>
      </c>
    </row>
    <row r="90" spans="2:32" ht="50.25" customHeight="1" x14ac:dyDescent="0.3">
      <c r="B90" s="2" t="s">
        <v>158</v>
      </c>
      <c r="C90" s="2">
        <v>45943</v>
      </c>
      <c r="D90" s="2">
        <f>_xlfn.XLOOKUP(E90,[1]!Bookings[Booking Name],[1]!Bookings[Rejected Date])</f>
        <v>45945</v>
      </c>
      <c r="E90" s="39" t="s">
        <v>129</v>
      </c>
      <c r="F90" s="76" t="str">
        <f>_xlfn.XLOOKUP(E90,[1]!Bookings[Booking Name],[1]!Bookings[Booking Status])</f>
        <v>Rejected</v>
      </c>
      <c r="G90" s="2">
        <v>45903</v>
      </c>
      <c r="H90" s="3">
        <v>148</v>
      </c>
      <c r="I90" s="2" t="s">
        <v>442</v>
      </c>
      <c r="J90" s="2" t="s">
        <v>580</v>
      </c>
      <c r="K90" s="2" t="s">
        <v>574</v>
      </c>
      <c r="L90" s="2" t="s">
        <v>777</v>
      </c>
      <c r="M90" s="36" t="s">
        <v>446</v>
      </c>
      <c r="N90" s="2" t="s">
        <v>92</v>
      </c>
      <c r="O90" s="52" t="s">
        <v>778</v>
      </c>
      <c r="P90" s="2" t="s">
        <v>438</v>
      </c>
      <c r="Q90" s="4">
        <v>0</v>
      </c>
      <c r="R90" s="27">
        <v>0</v>
      </c>
      <c r="S90" s="4">
        <v>2526000</v>
      </c>
      <c r="T90" s="4">
        <v>2526000</v>
      </c>
      <c r="U90" s="34" t="s">
        <v>779</v>
      </c>
      <c r="V90" s="2" t="s">
        <v>780</v>
      </c>
      <c r="W90" s="82" t="s">
        <v>781</v>
      </c>
      <c r="X90" s="2" t="s">
        <v>429</v>
      </c>
      <c r="Y90" s="70" t="s">
        <v>209</v>
      </c>
      <c r="Z90" s="18" t="s">
        <v>25</v>
      </c>
      <c r="AA90" s="6">
        <v>0</v>
      </c>
      <c r="AB90" s="35" t="s">
        <v>26</v>
      </c>
      <c r="AC90" s="28" t="s">
        <v>93</v>
      </c>
      <c r="AD90" s="14" t="s">
        <v>385</v>
      </c>
      <c r="AE90" s="28" t="s">
        <v>93</v>
      </c>
      <c r="AF90" s="28" t="s">
        <v>96</v>
      </c>
    </row>
    <row r="91" spans="2:32" ht="50.25" customHeight="1" x14ac:dyDescent="0.3">
      <c r="B91" s="2" t="s">
        <v>158</v>
      </c>
      <c r="C91" s="2">
        <v>45943</v>
      </c>
      <c r="D91" s="2">
        <f>_xlfn.XLOOKUP(E91,[1]!Bookings[Booking Name],[1]!Bookings[Rejected Date])</f>
        <v>45945</v>
      </c>
      <c r="E91" s="39" t="s">
        <v>124</v>
      </c>
      <c r="F91" s="76" t="str">
        <f>_xlfn.XLOOKUP(E91,[1]!Bookings[Booking Name],[1]!Bookings[Booking Status])</f>
        <v>Rejected</v>
      </c>
      <c r="G91" s="2">
        <v>45926</v>
      </c>
      <c r="H91" s="3">
        <v>125</v>
      </c>
      <c r="I91" s="2" t="s">
        <v>442</v>
      </c>
      <c r="J91" s="2" t="s">
        <v>580</v>
      </c>
      <c r="K91" s="2" t="s">
        <v>574</v>
      </c>
      <c r="L91" s="2" t="s">
        <v>782</v>
      </c>
      <c r="M91" s="36" t="s">
        <v>431</v>
      </c>
      <c r="N91" s="2" t="s">
        <v>92</v>
      </c>
      <c r="O91" s="52" t="s">
        <v>783</v>
      </c>
      <c r="P91" s="2" t="s">
        <v>784</v>
      </c>
      <c r="Q91" s="4">
        <v>0</v>
      </c>
      <c r="R91" s="27">
        <v>0</v>
      </c>
      <c r="S91" s="4">
        <v>2706000</v>
      </c>
      <c r="T91" s="4">
        <v>2706000</v>
      </c>
      <c r="U91" s="34" t="s">
        <v>785</v>
      </c>
      <c r="V91" s="2" t="s">
        <v>786</v>
      </c>
      <c r="W91" s="82" t="s">
        <v>787</v>
      </c>
      <c r="X91" s="2" t="s">
        <v>429</v>
      </c>
      <c r="Y91" s="70" t="s">
        <v>209</v>
      </c>
      <c r="Z91" s="18" t="s">
        <v>25</v>
      </c>
      <c r="AA91" s="6">
        <v>0</v>
      </c>
      <c r="AB91" s="35" t="s">
        <v>26</v>
      </c>
      <c r="AC91" s="28" t="s">
        <v>93</v>
      </c>
      <c r="AD91" s="14" t="s">
        <v>384</v>
      </c>
      <c r="AE91" s="28" t="s">
        <v>93</v>
      </c>
      <c r="AF91" s="35" t="s">
        <v>139</v>
      </c>
    </row>
    <row r="92" spans="2:32" ht="50.25" customHeight="1" x14ac:dyDescent="0.3">
      <c r="B92" s="2" t="s">
        <v>158</v>
      </c>
      <c r="C92" s="2">
        <v>45943</v>
      </c>
      <c r="D92" s="2">
        <f>_xlfn.XLOOKUP(E92,[1]!Bookings[Booking Name],[1]!Bookings[Rejected Date])</f>
        <v>45945</v>
      </c>
      <c r="E92" s="39" t="s">
        <v>125</v>
      </c>
      <c r="F92" s="76" t="str">
        <f>_xlfn.XLOOKUP(E92,[1]!Bookings[Booking Name],[1]!Bookings[Booking Status])</f>
        <v>Rejected</v>
      </c>
      <c r="G92" s="2">
        <v>45925</v>
      </c>
      <c r="H92" s="3">
        <v>126</v>
      </c>
      <c r="I92" s="2" t="s">
        <v>442</v>
      </c>
      <c r="J92" s="2" t="s">
        <v>580</v>
      </c>
      <c r="K92" s="2" t="s">
        <v>574</v>
      </c>
      <c r="L92" s="2" t="s">
        <v>788</v>
      </c>
      <c r="M92" s="36" t="s">
        <v>431</v>
      </c>
      <c r="N92" s="2" t="s">
        <v>92</v>
      </c>
      <c r="O92" s="52" t="s">
        <v>789</v>
      </c>
      <c r="P92" s="2" t="s">
        <v>784</v>
      </c>
      <c r="Q92" s="4">
        <v>0</v>
      </c>
      <c r="R92" s="27">
        <v>0</v>
      </c>
      <c r="S92" s="4">
        <v>2675000</v>
      </c>
      <c r="T92" s="4">
        <v>2675000</v>
      </c>
      <c r="U92" s="34" t="s">
        <v>785</v>
      </c>
      <c r="V92" s="2" t="s">
        <v>786</v>
      </c>
      <c r="W92" s="82" t="s">
        <v>790</v>
      </c>
      <c r="X92" s="2" t="s">
        <v>429</v>
      </c>
      <c r="Y92" s="70" t="s">
        <v>209</v>
      </c>
      <c r="Z92" s="18" t="s">
        <v>25</v>
      </c>
      <c r="AA92" s="6">
        <v>0</v>
      </c>
      <c r="AB92" s="35" t="s">
        <v>26</v>
      </c>
      <c r="AC92" s="28" t="s">
        <v>93</v>
      </c>
      <c r="AD92" s="14" t="s">
        <v>383</v>
      </c>
      <c r="AE92" s="28" t="s">
        <v>93</v>
      </c>
      <c r="AF92" s="35" t="s">
        <v>139</v>
      </c>
    </row>
    <row r="93" spans="2:32" ht="50.25" customHeight="1" x14ac:dyDescent="0.3">
      <c r="B93" s="2" t="s">
        <v>158</v>
      </c>
      <c r="C93" s="2">
        <v>45943</v>
      </c>
      <c r="D93" s="2">
        <f>_xlfn.XLOOKUP(E93,[1]!Bookings[Booking Name],[1]!Bookings[Rejected Date])</f>
        <v>45945</v>
      </c>
      <c r="E93" s="39" t="s">
        <v>126</v>
      </c>
      <c r="F93" s="76" t="str">
        <f>_xlfn.XLOOKUP(E93,[1]!Bookings[Booking Name],[1]!Bookings[Booking Status])</f>
        <v>Rejected</v>
      </c>
      <c r="G93" s="2">
        <v>45925</v>
      </c>
      <c r="H93" s="3">
        <v>126</v>
      </c>
      <c r="I93" s="2" t="s">
        <v>442</v>
      </c>
      <c r="J93" s="2" t="s">
        <v>580</v>
      </c>
      <c r="K93" s="2" t="s">
        <v>574</v>
      </c>
      <c r="L93" s="2" t="s">
        <v>791</v>
      </c>
      <c r="M93" s="36" t="s">
        <v>431</v>
      </c>
      <c r="N93" s="2" t="s">
        <v>92</v>
      </c>
      <c r="O93" s="52" t="s">
        <v>792</v>
      </c>
      <c r="P93" s="2" t="s">
        <v>793</v>
      </c>
      <c r="Q93" s="4">
        <v>0</v>
      </c>
      <c r="R93" s="27">
        <v>0</v>
      </c>
      <c r="S93" s="4">
        <v>2696000</v>
      </c>
      <c r="T93" s="4">
        <v>2696000</v>
      </c>
      <c r="U93" s="34" t="s">
        <v>794</v>
      </c>
      <c r="V93" s="2" t="s">
        <v>786</v>
      </c>
      <c r="W93" s="82" t="s">
        <v>795</v>
      </c>
      <c r="X93" s="2" t="s">
        <v>429</v>
      </c>
      <c r="Y93" s="70" t="s">
        <v>209</v>
      </c>
      <c r="Z93" s="18" t="s">
        <v>25</v>
      </c>
      <c r="AA93" s="6">
        <v>0</v>
      </c>
      <c r="AB93" s="35" t="s">
        <v>26</v>
      </c>
      <c r="AC93" s="28" t="s">
        <v>93</v>
      </c>
      <c r="AD93" s="14" t="s">
        <v>382</v>
      </c>
      <c r="AE93" s="28" t="s">
        <v>93</v>
      </c>
      <c r="AF93" s="35" t="s">
        <v>139</v>
      </c>
    </row>
    <row r="94" spans="2:32" ht="50.25" customHeight="1" x14ac:dyDescent="0.3">
      <c r="B94" s="2" t="s">
        <v>158</v>
      </c>
      <c r="C94" s="2">
        <v>45938</v>
      </c>
      <c r="D94" s="2">
        <f>_xlfn.XLOOKUP(E94,[1]!Bookings[Booking Name],[1]!Bookings[Rejected Date])</f>
        <v>45938</v>
      </c>
      <c r="E94" s="39" t="s">
        <v>119</v>
      </c>
      <c r="F94" s="76" t="str">
        <f>_xlfn.XLOOKUP(E94,[1]!Bookings[Booking Name],[1]!Bookings[Booking Status])</f>
        <v>Rejected</v>
      </c>
      <c r="G94" s="2">
        <v>45937</v>
      </c>
      <c r="H94" s="3">
        <v>114</v>
      </c>
      <c r="I94" s="2" t="s">
        <v>442</v>
      </c>
      <c r="J94" s="2" t="s">
        <v>443</v>
      </c>
      <c r="K94" s="2" t="s">
        <v>444</v>
      </c>
      <c r="L94" s="2" t="s">
        <v>796</v>
      </c>
      <c r="M94" s="36" t="s">
        <v>619</v>
      </c>
      <c r="N94" s="2" t="s">
        <v>92</v>
      </c>
      <c r="O94" s="52" t="s">
        <v>797</v>
      </c>
      <c r="P94" s="2" t="s">
        <v>438</v>
      </c>
      <c r="Q94" s="4">
        <v>0</v>
      </c>
      <c r="R94" s="27">
        <v>0</v>
      </c>
      <c r="S94" s="4">
        <v>755000</v>
      </c>
      <c r="T94" s="4">
        <v>755000</v>
      </c>
      <c r="U94" s="34" t="s">
        <v>79</v>
      </c>
      <c r="V94" s="2" t="s">
        <v>798</v>
      </c>
      <c r="W94" s="82" t="s">
        <v>799</v>
      </c>
      <c r="X94" s="2" t="s">
        <v>429</v>
      </c>
      <c r="Y94" s="70" t="s">
        <v>209</v>
      </c>
      <c r="Z94" s="18" t="s">
        <v>25</v>
      </c>
      <c r="AA94" s="6">
        <v>0</v>
      </c>
      <c r="AB94" s="35" t="s">
        <v>26</v>
      </c>
      <c r="AC94" s="12" t="s">
        <v>130</v>
      </c>
      <c r="AD94" s="107" t="s">
        <v>381</v>
      </c>
      <c r="AE94" s="35" t="s">
        <v>131</v>
      </c>
      <c r="AF94" s="35" t="s">
        <v>132</v>
      </c>
    </row>
    <row r="95" spans="2:32" ht="50.25" customHeight="1" x14ac:dyDescent="0.3">
      <c r="B95" s="2" t="s">
        <v>158</v>
      </c>
      <c r="C95" s="2">
        <v>45937</v>
      </c>
      <c r="D95" s="2">
        <f>_xlfn.XLOOKUP(E95,[1]!Bookings[Booking Name],[1]!Bookings[Rejected Date])</f>
        <v>45939</v>
      </c>
      <c r="E95" s="39" t="s">
        <v>120</v>
      </c>
      <c r="F95" s="76" t="str">
        <f>_xlfn.XLOOKUP(E95,[1]!Bookings[Booking Name],[1]!Bookings[Booking Status])</f>
        <v>Rejected</v>
      </c>
      <c r="G95" s="2">
        <v>45936</v>
      </c>
      <c r="H95" s="3">
        <v>115</v>
      </c>
      <c r="I95" s="2" t="s">
        <v>442</v>
      </c>
      <c r="J95" s="2" t="s">
        <v>443</v>
      </c>
      <c r="K95" s="2" t="s">
        <v>485</v>
      </c>
      <c r="L95" s="2" t="s">
        <v>800</v>
      </c>
      <c r="M95" s="36" t="s">
        <v>431</v>
      </c>
      <c r="N95" s="2" t="s">
        <v>92</v>
      </c>
      <c r="O95" s="52" t="s">
        <v>801</v>
      </c>
      <c r="P95" s="2" t="s">
        <v>520</v>
      </c>
      <c r="Q95" s="4">
        <v>63000</v>
      </c>
      <c r="R95" s="27">
        <v>3.9647577092511016E-2</v>
      </c>
      <c r="S95" s="4">
        <v>1526000</v>
      </c>
      <c r="T95" s="4">
        <v>1589000</v>
      </c>
      <c r="U95" s="34" t="s">
        <v>802</v>
      </c>
      <c r="V95" s="2" t="s">
        <v>803</v>
      </c>
      <c r="W95" s="82" t="s">
        <v>804</v>
      </c>
      <c r="X95" s="2" t="s">
        <v>429</v>
      </c>
      <c r="Y95" s="70" t="s">
        <v>209</v>
      </c>
      <c r="Z95" s="18" t="s">
        <v>25</v>
      </c>
      <c r="AA95" s="6">
        <v>0</v>
      </c>
      <c r="AB95" s="35" t="s">
        <v>26</v>
      </c>
      <c r="AC95" s="12" t="s">
        <v>32</v>
      </c>
      <c r="AD95" s="107" t="s">
        <v>380</v>
      </c>
      <c r="AE95" s="28" t="s">
        <v>32</v>
      </c>
      <c r="AF95" s="29" t="s">
        <v>97</v>
      </c>
    </row>
    <row r="96" spans="2:32" ht="50.25" customHeight="1" x14ac:dyDescent="0.3">
      <c r="B96" s="2" t="s">
        <v>158</v>
      </c>
      <c r="C96" s="2">
        <v>45936</v>
      </c>
      <c r="D96" s="2">
        <f>_xlfn.XLOOKUP(E96,[1]!Bookings[Booking Name],[1]!Bookings[Rejected Date])</f>
        <v>45939</v>
      </c>
      <c r="E96" s="39" t="s">
        <v>122</v>
      </c>
      <c r="F96" s="76" t="str">
        <f>_xlfn.XLOOKUP(E96,[1]!Bookings[Booking Name],[1]!Bookings[Booking Status])</f>
        <v>Rejected</v>
      </c>
      <c r="G96" s="2">
        <v>45930</v>
      </c>
      <c r="H96" s="3">
        <v>121</v>
      </c>
      <c r="I96" s="2" t="s">
        <v>484</v>
      </c>
      <c r="J96" s="2" t="s">
        <v>424</v>
      </c>
      <c r="K96" s="2" t="s">
        <v>485</v>
      </c>
      <c r="L96" s="2" t="s">
        <v>805</v>
      </c>
      <c r="M96" s="36" t="s">
        <v>446</v>
      </c>
      <c r="N96" s="2" t="s">
        <v>92</v>
      </c>
      <c r="O96" s="52" t="s">
        <v>806</v>
      </c>
      <c r="P96" s="2" t="s">
        <v>626</v>
      </c>
      <c r="Q96" s="4">
        <v>0</v>
      </c>
      <c r="R96" s="27">
        <v>0</v>
      </c>
      <c r="S96" s="4">
        <v>2218000</v>
      </c>
      <c r="T96" s="4">
        <v>2218000</v>
      </c>
      <c r="U96" s="34" t="s">
        <v>627</v>
      </c>
      <c r="V96" s="2" t="s">
        <v>628</v>
      </c>
      <c r="W96" s="82" t="s">
        <v>807</v>
      </c>
      <c r="X96" s="2" t="s">
        <v>429</v>
      </c>
      <c r="Y96" s="70" t="s">
        <v>209</v>
      </c>
      <c r="Z96" s="18" t="s">
        <v>25</v>
      </c>
      <c r="AA96" s="6">
        <v>0</v>
      </c>
      <c r="AB96" s="35" t="s">
        <v>26</v>
      </c>
      <c r="AC96" s="12" t="s">
        <v>134</v>
      </c>
      <c r="AD96" s="107" t="s">
        <v>379</v>
      </c>
      <c r="AE96" s="28" t="s">
        <v>93</v>
      </c>
      <c r="AF96" s="35" t="s">
        <v>139</v>
      </c>
    </row>
    <row r="97" spans="2:32" ht="50.25" customHeight="1" x14ac:dyDescent="0.3">
      <c r="B97" s="2" t="s">
        <v>158</v>
      </c>
      <c r="C97" s="2">
        <v>45936</v>
      </c>
      <c r="D97" s="2">
        <f>_xlfn.XLOOKUP(E97,[1]!Bookings[Booking Name],[1]!Bookings[Rejected Date])</f>
        <v>45939</v>
      </c>
      <c r="E97" s="39" t="s">
        <v>123</v>
      </c>
      <c r="F97" s="76" t="str">
        <f>_xlfn.XLOOKUP(E97,[1]!Bookings[Booking Name],[1]!Bookings[Booking Status])</f>
        <v>Rejected</v>
      </c>
      <c r="G97" s="2">
        <v>45930</v>
      </c>
      <c r="H97" s="3">
        <v>121</v>
      </c>
      <c r="I97" s="2" t="s">
        <v>442</v>
      </c>
      <c r="J97" s="2" t="s">
        <v>580</v>
      </c>
      <c r="K97" s="2" t="s">
        <v>574</v>
      </c>
      <c r="L97" s="2" t="s">
        <v>808</v>
      </c>
      <c r="M97" s="36" t="s">
        <v>426</v>
      </c>
      <c r="N97" s="2" t="s">
        <v>92</v>
      </c>
      <c r="O97" s="52" t="s">
        <v>806</v>
      </c>
      <c r="P97" s="2" t="s">
        <v>626</v>
      </c>
      <c r="Q97" s="4">
        <v>0</v>
      </c>
      <c r="R97" s="27">
        <v>0</v>
      </c>
      <c r="S97" s="4">
        <v>1917000</v>
      </c>
      <c r="T97" s="4">
        <v>1917000</v>
      </c>
      <c r="U97" s="34" t="s">
        <v>627</v>
      </c>
      <c r="V97" s="2" t="s">
        <v>628</v>
      </c>
      <c r="W97" s="82" t="s">
        <v>809</v>
      </c>
      <c r="X97" s="2" t="s">
        <v>429</v>
      </c>
      <c r="Y97" s="70" t="s">
        <v>209</v>
      </c>
      <c r="Z97" s="18" t="s">
        <v>25</v>
      </c>
      <c r="AA97" s="6">
        <v>0</v>
      </c>
      <c r="AB97" s="35" t="s">
        <v>26</v>
      </c>
      <c r="AC97" s="12" t="s">
        <v>134</v>
      </c>
      <c r="AD97" s="107" t="s">
        <v>378</v>
      </c>
      <c r="AE97" s="28" t="s">
        <v>93</v>
      </c>
      <c r="AF97" s="35" t="s">
        <v>139</v>
      </c>
    </row>
    <row r="98" spans="2:32" ht="50.25" customHeight="1" x14ac:dyDescent="0.3">
      <c r="B98" s="2" t="s">
        <v>158</v>
      </c>
      <c r="C98" s="2">
        <v>45934</v>
      </c>
      <c r="D98" s="2">
        <f>_xlfn.XLOOKUP(E98,[1]!Bookings[Booking Name],[1]!Bookings[Rejected Date])</f>
        <v>45937</v>
      </c>
      <c r="E98" s="39" t="s">
        <v>127</v>
      </c>
      <c r="F98" s="76" t="str">
        <f>_xlfn.XLOOKUP(E98,[1]!Bookings[Booking Name],[1]!Bookings[Booking Status])</f>
        <v>Rejected</v>
      </c>
      <c r="G98" s="2">
        <v>45919</v>
      </c>
      <c r="H98" s="3">
        <v>132</v>
      </c>
      <c r="I98" s="2" t="s">
        <v>442</v>
      </c>
      <c r="J98" s="2" t="s">
        <v>580</v>
      </c>
      <c r="K98" s="2" t="s">
        <v>574</v>
      </c>
      <c r="L98" s="2" t="s">
        <v>810</v>
      </c>
      <c r="M98" s="36" t="s">
        <v>446</v>
      </c>
      <c r="N98" s="2" t="s">
        <v>92</v>
      </c>
      <c r="O98" s="52" t="s">
        <v>811</v>
      </c>
      <c r="P98" s="2" t="s">
        <v>525</v>
      </c>
      <c r="Q98" s="4">
        <v>250354</v>
      </c>
      <c r="R98" s="27">
        <v>9.4401960784313732E-2</v>
      </c>
      <c r="S98" s="4">
        <v>2401646</v>
      </c>
      <c r="T98" s="4">
        <v>2652000</v>
      </c>
      <c r="U98" s="34" t="s">
        <v>812</v>
      </c>
      <c r="V98" s="2" t="s">
        <v>521</v>
      </c>
      <c r="W98" s="82" t="s">
        <v>813</v>
      </c>
      <c r="X98" s="2" t="s">
        <v>429</v>
      </c>
      <c r="Y98" s="70" t="s">
        <v>209</v>
      </c>
      <c r="Z98" s="90">
        <v>10000</v>
      </c>
      <c r="AA98" s="6">
        <v>4.1638109862985632E-3</v>
      </c>
      <c r="AB98" s="35" t="s">
        <v>31</v>
      </c>
      <c r="AC98" s="12" t="s">
        <v>135</v>
      </c>
      <c r="AD98" s="107" t="s">
        <v>377</v>
      </c>
      <c r="AE98" s="28" t="s">
        <v>88</v>
      </c>
      <c r="AF98" s="35" t="s">
        <v>137</v>
      </c>
    </row>
    <row r="99" spans="2:32" ht="50.25" customHeight="1" x14ac:dyDescent="0.3">
      <c r="B99" s="2" t="s">
        <v>158</v>
      </c>
      <c r="C99" s="2">
        <v>45934</v>
      </c>
      <c r="D99" s="2">
        <f>_xlfn.XLOOKUP(E99,[1]!Bookings[Booking Name],[1]!Bookings[Rejected Date])</f>
        <v>45937</v>
      </c>
      <c r="E99" s="39" t="s">
        <v>128</v>
      </c>
      <c r="F99" s="76" t="str">
        <f>_xlfn.XLOOKUP(E99,[1]!Bookings[Booking Name],[1]!Bookings[Booking Status])</f>
        <v>Rejected</v>
      </c>
      <c r="G99" s="2">
        <v>45919</v>
      </c>
      <c r="H99" s="3">
        <v>132</v>
      </c>
      <c r="I99" s="2" t="s">
        <v>442</v>
      </c>
      <c r="J99" s="2" t="s">
        <v>580</v>
      </c>
      <c r="K99" s="2" t="s">
        <v>574</v>
      </c>
      <c r="L99" s="2" t="s">
        <v>814</v>
      </c>
      <c r="M99" s="36" t="s">
        <v>446</v>
      </c>
      <c r="N99" s="2" t="s">
        <v>92</v>
      </c>
      <c r="O99" s="52" t="s">
        <v>815</v>
      </c>
      <c r="P99" s="2" t="s">
        <v>525</v>
      </c>
      <c r="Q99" s="4">
        <v>208880</v>
      </c>
      <c r="R99" s="27">
        <v>0.08</v>
      </c>
      <c r="S99" s="4">
        <v>2402120</v>
      </c>
      <c r="T99" s="4">
        <v>2611000</v>
      </c>
      <c r="U99" s="34" t="s">
        <v>812</v>
      </c>
      <c r="V99" s="2" t="s">
        <v>521</v>
      </c>
      <c r="W99" s="82" t="s">
        <v>816</v>
      </c>
      <c r="X99" s="2" t="s">
        <v>429</v>
      </c>
      <c r="Y99" s="70" t="s">
        <v>209</v>
      </c>
      <c r="Z99" s="90">
        <v>10000</v>
      </c>
      <c r="AA99" s="6">
        <v>4.1629893593991977E-3</v>
      </c>
      <c r="AB99" s="35" t="s">
        <v>31</v>
      </c>
      <c r="AC99" s="12" t="s">
        <v>136</v>
      </c>
      <c r="AD99" s="107" t="s">
        <v>376</v>
      </c>
      <c r="AE99" s="28" t="s">
        <v>88</v>
      </c>
      <c r="AF99" s="35" t="s">
        <v>138</v>
      </c>
    </row>
    <row r="100" spans="2:32" ht="50.25" customHeight="1" x14ac:dyDescent="0.3">
      <c r="B100" s="2" t="s">
        <v>158</v>
      </c>
      <c r="C100" s="2">
        <v>45933</v>
      </c>
      <c r="D100" s="2">
        <f>_xlfn.XLOOKUP(E100,[1]!Bookings[Booking Name],[1]!Bookings[Rejected Date])</f>
        <v>45936</v>
      </c>
      <c r="E100" s="39" t="s">
        <v>121</v>
      </c>
      <c r="F100" s="76" t="str">
        <f>_xlfn.XLOOKUP(E100,[1]!Bookings[Booking Name],[1]!Bookings[Booking Status])</f>
        <v>Rejected</v>
      </c>
      <c r="G100" s="2">
        <v>45933</v>
      </c>
      <c r="H100" s="3">
        <v>118</v>
      </c>
      <c r="I100" s="2" t="s">
        <v>442</v>
      </c>
      <c r="J100" s="2" t="s">
        <v>443</v>
      </c>
      <c r="K100" s="2" t="s">
        <v>574</v>
      </c>
      <c r="L100" s="2" t="s">
        <v>817</v>
      </c>
      <c r="M100" s="36" t="s">
        <v>426</v>
      </c>
      <c r="N100" s="2" t="s">
        <v>92</v>
      </c>
      <c r="O100" s="52" t="s">
        <v>818</v>
      </c>
      <c r="P100" s="2" t="s">
        <v>448</v>
      </c>
      <c r="Q100" s="4">
        <v>0</v>
      </c>
      <c r="R100" s="27">
        <v>0</v>
      </c>
      <c r="S100" s="4">
        <v>2252000</v>
      </c>
      <c r="T100" s="4">
        <v>2252000</v>
      </c>
      <c r="U100" s="34" t="s">
        <v>583</v>
      </c>
      <c r="V100" s="2" t="s">
        <v>584</v>
      </c>
      <c r="W100" s="82" t="s">
        <v>819</v>
      </c>
      <c r="X100" s="2" t="s">
        <v>429</v>
      </c>
      <c r="Y100" s="70" t="s">
        <v>209</v>
      </c>
      <c r="Z100" s="18" t="s">
        <v>25</v>
      </c>
      <c r="AA100" s="6">
        <v>0</v>
      </c>
      <c r="AB100" s="35" t="s">
        <v>26</v>
      </c>
      <c r="AC100" s="12" t="s">
        <v>140</v>
      </c>
      <c r="AD100" s="107" t="s">
        <v>329</v>
      </c>
      <c r="AE100" s="35" t="s">
        <v>141</v>
      </c>
      <c r="AF100" s="38" t="s">
        <v>148</v>
      </c>
    </row>
    <row r="101" spans="2:32" ht="50.25" customHeight="1" x14ac:dyDescent="0.3">
      <c r="B101" s="2" t="s">
        <v>159</v>
      </c>
      <c r="C101" s="2">
        <v>45930</v>
      </c>
      <c r="D101" s="2">
        <f>_xlfn.XLOOKUP(E101,[1]!Bookings[Booking Name],[1]!Bookings[Rejected Date])</f>
        <v>45930</v>
      </c>
      <c r="E101" s="39" t="s">
        <v>91</v>
      </c>
      <c r="F101" s="76" t="str">
        <f>_xlfn.XLOOKUP(E101,[1]!Bookings[Booking Name],[1]!Bookings[Booking Status])</f>
        <v>Rejected</v>
      </c>
      <c r="G101" s="2">
        <v>45897</v>
      </c>
      <c r="H101" s="3">
        <v>154</v>
      </c>
      <c r="I101" s="2" t="s">
        <v>484</v>
      </c>
      <c r="J101" s="2" t="s">
        <v>424</v>
      </c>
      <c r="K101" s="2" t="s">
        <v>444</v>
      </c>
      <c r="L101" s="2" t="s">
        <v>724</v>
      </c>
      <c r="M101" s="36" t="s">
        <v>619</v>
      </c>
      <c r="N101" s="2" t="s">
        <v>92</v>
      </c>
      <c r="O101" s="52" t="s">
        <v>820</v>
      </c>
      <c r="P101" s="2" t="s">
        <v>821</v>
      </c>
      <c r="Q101" s="4">
        <v>19000</v>
      </c>
      <c r="R101" s="27">
        <v>1.52E-2</v>
      </c>
      <c r="S101" s="4">
        <v>1231000</v>
      </c>
      <c r="T101" s="4">
        <v>1250000</v>
      </c>
      <c r="U101" s="34" t="s">
        <v>822</v>
      </c>
      <c r="V101" s="2" t="s">
        <v>823</v>
      </c>
      <c r="W101" s="82" t="s">
        <v>824</v>
      </c>
      <c r="X101" s="2" t="s">
        <v>429</v>
      </c>
      <c r="Y101" s="70" t="s">
        <v>209</v>
      </c>
      <c r="Z101" s="90">
        <v>50000</v>
      </c>
      <c r="AA101" s="6">
        <v>4.0617384240454912E-2</v>
      </c>
      <c r="AB101" s="30" t="s">
        <v>31</v>
      </c>
      <c r="AC101" s="28" t="s">
        <v>93</v>
      </c>
      <c r="AD101" s="14" t="s">
        <v>328</v>
      </c>
      <c r="AE101" s="28" t="s">
        <v>93</v>
      </c>
      <c r="AF101" s="28" t="s">
        <v>96</v>
      </c>
    </row>
    <row r="102" spans="2:32" ht="50.25" customHeight="1" x14ac:dyDescent="0.3">
      <c r="B102" s="2" t="s">
        <v>159</v>
      </c>
      <c r="C102" s="2">
        <v>45930</v>
      </c>
      <c r="D102" s="2">
        <f>_xlfn.XLOOKUP(E102,[1]!Bookings[Booking Name],[1]!Bookings[Rejected Date])</f>
        <v>45939</v>
      </c>
      <c r="E102" s="39" t="s">
        <v>84</v>
      </c>
      <c r="F102" s="76" t="str">
        <f>_xlfn.XLOOKUP(E102,[1]!Bookings[Booking Name],[1]!Bookings[Booking Status])</f>
        <v>Rejected</v>
      </c>
      <c r="G102" s="2">
        <v>45909</v>
      </c>
      <c r="H102" s="3">
        <v>142</v>
      </c>
      <c r="I102" s="2" t="s">
        <v>442</v>
      </c>
      <c r="J102" s="2" t="s">
        <v>580</v>
      </c>
      <c r="K102" s="2" t="s">
        <v>444</v>
      </c>
      <c r="L102" s="2" t="s">
        <v>825</v>
      </c>
      <c r="M102" s="36" t="s">
        <v>446</v>
      </c>
      <c r="N102" s="2" t="s">
        <v>92</v>
      </c>
      <c r="O102" s="52" t="s">
        <v>826</v>
      </c>
      <c r="P102" s="2" t="s">
        <v>438</v>
      </c>
      <c r="Q102" s="4">
        <v>41900</v>
      </c>
      <c r="R102" s="27">
        <v>0.05</v>
      </c>
      <c r="S102" s="4">
        <v>796100</v>
      </c>
      <c r="T102" s="4">
        <v>838000</v>
      </c>
      <c r="U102" s="34" t="s">
        <v>577</v>
      </c>
      <c r="V102" s="2" t="s">
        <v>827</v>
      </c>
      <c r="W102" s="82" t="s">
        <v>828</v>
      </c>
      <c r="X102" s="2" t="s">
        <v>429</v>
      </c>
      <c r="Y102" s="70" t="s">
        <v>209</v>
      </c>
      <c r="Z102" s="90">
        <v>19942.25</v>
      </c>
      <c r="AA102" s="6">
        <v>2.5049930913201859E-2</v>
      </c>
      <c r="AB102" s="30" t="s">
        <v>31</v>
      </c>
      <c r="AC102" s="12" t="s">
        <v>85</v>
      </c>
      <c r="AD102" s="107" t="s">
        <v>327</v>
      </c>
      <c r="AE102" s="28" t="s">
        <v>32</v>
      </c>
      <c r="AF102" s="29" t="s">
        <v>114</v>
      </c>
    </row>
    <row r="103" spans="2:32" ht="50.25" customHeight="1" x14ac:dyDescent="0.3">
      <c r="B103" s="2" t="s">
        <v>159</v>
      </c>
      <c r="C103" s="2">
        <v>45929</v>
      </c>
      <c r="D103" s="2">
        <f>_xlfn.XLOOKUP(E103,[1]!Bookings[Booking Name],[1]!Bookings[Rejected Date])</f>
        <v>45939</v>
      </c>
      <c r="E103" s="39" t="s">
        <v>82</v>
      </c>
      <c r="F103" s="76" t="str">
        <f>_xlfn.XLOOKUP(E103,[1]!Bookings[Booking Name],[1]!Bookings[Booking Status])</f>
        <v>Rejected</v>
      </c>
      <c r="G103" s="2">
        <v>45807</v>
      </c>
      <c r="H103" s="3">
        <v>244</v>
      </c>
      <c r="I103" s="2" t="s">
        <v>442</v>
      </c>
      <c r="J103" s="2" t="s">
        <v>443</v>
      </c>
      <c r="K103" s="2" t="s">
        <v>444</v>
      </c>
      <c r="L103" s="2" t="s">
        <v>829</v>
      </c>
      <c r="M103" s="36" t="s">
        <v>619</v>
      </c>
      <c r="N103" s="2" t="s">
        <v>92</v>
      </c>
      <c r="O103" s="52" t="s">
        <v>830</v>
      </c>
      <c r="P103" s="2" t="s">
        <v>626</v>
      </c>
      <c r="Q103" s="4">
        <v>55800</v>
      </c>
      <c r="R103" s="27">
        <v>6.6192170818505341E-2</v>
      </c>
      <c r="S103" s="4">
        <v>787200</v>
      </c>
      <c r="T103" s="4">
        <v>843000</v>
      </c>
      <c r="U103" s="34" t="s">
        <v>627</v>
      </c>
      <c r="V103" s="2" t="s">
        <v>628</v>
      </c>
      <c r="W103" s="82" t="s">
        <v>831</v>
      </c>
      <c r="X103" s="2" t="s">
        <v>429</v>
      </c>
      <c r="Y103" s="70" t="s">
        <v>209</v>
      </c>
      <c r="Z103" s="90">
        <v>192000</v>
      </c>
      <c r="AA103" s="6">
        <v>0.24390243902439024</v>
      </c>
      <c r="AB103" s="26" t="s">
        <v>31</v>
      </c>
      <c r="AC103" s="12" t="s">
        <v>968</v>
      </c>
      <c r="AD103" s="107" t="s">
        <v>326</v>
      </c>
      <c r="AE103" s="28" t="s">
        <v>87</v>
      </c>
      <c r="AF103" s="28" t="s">
        <v>95</v>
      </c>
    </row>
    <row r="104" spans="2:32" ht="50.25" customHeight="1" x14ac:dyDescent="0.3">
      <c r="B104" s="2" t="s">
        <v>159</v>
      </c>
      <c r="C104" s="2">
        <v>45929</v>
      </c>
      <c r="D104" s="2">
        <f>_xlfn.XLOOKUP(E104,[1]!Bookings[Booking Name],[1]!Bookings[Rejected Date])</f>
        <v>45939</v>
      </c>
      <c r="E104" s="39" t="s">
        <v>81</v>
      </c>
      <c r="F104" s="76" t="str">
        <f>_xlfn.XLOOKUP(E104,[1]!Bookings[Booking Name],[1]!Bookings[Booking Status])</f>
        <v>Rejected</v>
      </c>
      <c r="G104" s="2">
        <v>45807</v>
      </c>
      <c r="H104" s="3">
        <v>244</v>
      </c>
      <c r="I104" s="2" t="s">
        <v>442</v>
      </c>
      <c r="J104" s="2" t="s">
        <v>443</v>
      </c>
      <c r="K104" s="2" t="s">
        <v>444</v>
      </c>
      <c r="L104" s="2" t="s">
        <v>832</v>
      </c>
      <c r="M104" s="36" t="s">
        <v>619</v>
      </c>
      <c r="N104" s="2" t="s">
        <v>92</v>
      </c>
      <c r="O104" s="52" t="s">
        <v>830</v>
      </c>
      <c r="P104" s="2" t="s">
        <v>626</v>
      </c>
      <c r="Q104" s="4">
        <v>56000</v>
      </c>
      <c r="R104" s="27">
        <v>6.5420560747663545E-2</v>
      </c>
      <c r="S104" s="4">
        <v>800000</v>
      </c>
      <c r="T104" s="4">
        <v>856000</v>
      </c>
      <c r="U104" s="34" t="s">
        <v>627</v>
      </c>
      <c r="V104" s="2" t="s">
        <v>628</v>
      </c>
      <c r="W104" s="82" t="s">
        <v>833</v>
      </c>
      <c r="X104" s="2" t="s">
        <v>429</v>
      </c>
      <c r="Y104" s="70" t="s">
        <v>209</v>
      </c>
      <c r="Z104" s="90">
        <v>188928</v>
      </c>
      <c r="AA104" s="6">
        <v>0.23616000000000001</v>
      </c>
      <c r="AB104" s="26" t="s">
        <v>31</v>
      </c>
      <c r="AC104" s="12" t="s">
        <v>969</v>
      </c>
      <c r="AD104" s="107" t="s">
        <v>325</v>
      </c>
      <c r="AE104" s="28" t="s">
        <v>87</v>
      </c>
      <c r="AF104" s="28" t="s">
        <v>98</v>
      </c>
    </row>
    <row r="105" spans="2:32" ht="50.25" customHeight="1" x14ac:dyDescent="0.3">
      <c r="B105" s="2" t="s">
        <v>159</v>
      </c>
      <c r="C105" s="2">
        <v>45929</v>
      </c>
      <c r="D105" s="2">
        <f>_xlfn.XLOOKUP(E105,[1]!Bookings[Booking Name],[1]!Bookings[Rejected Date])</f>
        <v>45929</v>
      </c>
      <c r="E105" s="39" t="s">
        <v>80</v>
      </c>
      <c r="F105" s="76" t="str">
        <f>_xlfn.XLOOKUP(E105,[1]!Bookings[Booking Name],[1]!Bookings[Booking Status])</f>
        <v>Rejected</v>
      </c>
      <c r="G105" s="2">
        <v>45864</v>
      </c>
      <c r="H105" s="3">
        <v>187</v>
      </c>
      <c r="I105" s="2" t="s">
        <v>442</v>
      </c>
      <c r="J105" s="2" t="s">
        <v>580</v>
      </c>
      <c r="K105" s="2" t="s">
        <v>444</v>
      </c>
      <c r="L105" s="2" t="s">
        <v>834</v>
      </c>
      <c r="M105" s="36" t="s">
        <v>426</v>
      </c>
      <c r="N105" s="2" t="s">
        <v>92</v>
      </c>
      <c r="O105" s="52" t="s">
        <v>835</v>
      </c>
      <c r="P105" s="2" t="s">
        <v>836</v>
      </c>
      <c r="Q105" s="4">
        <v>55025</v>
      </c>
      <c r="R105" s="27">
        <v>7.0999999999999994E-2</v>
      </c>
      <c r="S105" s="4">
        <v>719975</v>
      </c>
      <c r="T105" s="4">
        <v>775000</v>
      </c>
      <c r="U105" s="34" t="s">
        <v>627</v>
      </c>
      <c r="V105" s="2" t="s">
        <v>837</v>
      </c>
      <c r="W105" s="82" t="s">
        <v>838</v>
      </c>
      <c r="X105" s="2" t="s">
        <v>429</v>
      </c>
      <c r="Y105" s="70" t="s">
        <v>209</v>
      </c>
      <c r="Z105" s="90">
        <v>32474</v>
      </c>
      <c r="AA105" s="6">
        <v>4.5104343900829888E-2</v>
      </c>
      <c r="AB105" s="25" t="s">
        <v>31</v>
      </c>
      <c r="AC105" s="28" t="s">
        <v>93</v>
      </c>
      <c r="AD105" s="14" t="s">
        <v>324</v>
      </c>
      <c r="AE105" s="28" t="s">
        <v>93</v>
      </c>
      <c r="AF105" s="28" t="s">
        <v>96</v>
      </c>
    </row>
    <row r="106" spans="2:32" ht="50.25" customHeight="1" x14ac:dyDescent="0.3">
      <c r="B106" s="2" t="s">
        <v>159</v>
      </c>
      <c r="C106" s="2">
        <v>45929</v>
      </c>
      <c r="D106" s="2">
        <f>_xlfn.XLOOKUP(E106,[1]!Bookings[Booking Name],[1]!Bookings[Rejected Date])</f>
        <v>45929</v>
      </c>
      <c r="E106" s="39" t="s">
        <v>78</v>
      </c>
      <c r="F106" s="76" t="str">
        <f>_xlfn.XLOOKUP(E106,[1]!Bookings[Booking Name],[1]!Bookings[Booking Status])</f>
        <v>Rejected</v>
      </c>
      <c r="G106" s="2">
        <v>45800</v>
      </c>
      <c r="H106" s="3">
        <v>251</v>
      </c>
      <c r="I106" s="2" t="s">
        <v>442</v>
      </c>
      <c r="J106" s="2" t="s">
        <v>443</v>
      </c>
      <c r="K106" s="2" t="s">
        <v>444</v>
      </c>
      <c r="L106" s="2" t="s">
        <v>839</v>
      </c>
      <c r="M106" s="36" t="s">
        <v>619</v>
      </c>
      <c r="N106" s="2" t="s">
        <v>92</v>
      </c>
      <c r="O106" s="52" t="s">
        <v>840</v>
      </c>
      <c r="P106" s="2" t="s">
        <v>471</v>
      </c>
      <c r="Q106" s="4">
        <v>55060</v>
      </c>
      <c r="R106" s="27">
        <v>6.6098439375750301E-2</v>
      </c>
      <c r="S106" s="4">
        <v>777940</v>
      </c>
      <c r="T106" s="4">
        <v>833000</v>
      </c>
      <c r="U106" s="34" t="s">
        <v>627</v>
      </c>
      <c r="V106" s="2" t="s">
        <v>841</v>
      </c>
      <c r="W106" s="82" t="s">
        <v>842</v>
      </c>
      <c r="X106" s="2" t="s">
        <v>429</v>
      </c>
      <c r="Y106" s="70" t="s">
        <v>209</v>
      </c>
      <c r="Z106" s="90">
        <v>25000</v>
      </c>
      <c r="AA106" s="6">
        <v>3.2136154459212793E-2</v>
      </c>
      <c r="AB106" s="24" t="s">
        <v>31</v>
      </c>
      <c r="AC106" s="28" t="s">
        <v>93</v>
      </c>
      <c r="AD106" s="14" t="s">
        <v>323</v>
      </c>
      <c r="AE106" s="28" t="s">
        <v>93</v>
      </c>
      <c r="AF106" s="28" t="s">
        <v>96</v>
      </c>
    </row>
    <row r="107" spans="2:32" ht="50.25" customHeight="1" x14ac:dyDescent="0.3">
      <c r="B107" s="2" t="s">
        <v>159</v>
      </c>
      <c r="C107" s="2">
        <v>45924</v>
      </c>
      <c r="D107" s="2">
        <f>_xlfn.XLOOKUP(E107,[1]!Bookings[Booking Name],[1]!Bookings[Rejected Date])</f>
        <v>45924</v>
      </c>
      <c r="E107" s="39" t="s">
        <v>77</v>
      </c>
      <c r="F107" s="76" t="str">
        <f>_xlfn.XLOOKUP(E107,[1]!Bookings[Booking Name],[1]!Bookings[Booking Status])</f>
        <v>Rejected</v>
      </c>
      <c r="G107" s="2">
        <v>45897</v>
      </c>
      <c r="H107" s="3">
        <v>154</v>
      </c>
      <c r="I107" s="2" t="s">
        <v>484</v>
      </c>
      <c r="J107" s="2" t="s">
        <v>424</v>
      </c>
      <c r="K107" s="2" t="s">
        <v>444</v>
      </c>
      <c r="L107" s="2" t="s">
        <v>843</v>
      </c>
      <c r="M107" s="36" t="s">
        <v>619</v>
      </c>
      <c r="N107" s="2" t="s">
        <v>92</v>
      </c>
      <c r="O107" s="52" t="s">
        <v>844</v>
      </c>
      <c r="P107" s="2" t="s">
        <v>525</v>
      </c>
      <c r="Q107" s="4">
        <v>59000</v>
      </c>
      <c r="R107" s="27">
        <v>4.7967479674796747E-2</v>
      </c>
      <c r="S107" s="4">
        <v>1171000</v>
      </c>
      <c r="T107" s="4">
        <v>1230000</v>
      </c>
      <c r="U107" s="34" t="s">
        <v>554</v>
      </c>
      <c r="V107" s="2" t="s">
        <v>845</v>
      </c>
      <c r="W107" s="82" t="s">
        <v>846</v>
      </c>
      <c r="X107" s="2" t="s">
        <v>429</v>
      </c>
      <c r="Y107" s="70" t="s">
        <v>209</v>
      </c>
      <c r="Z107" s="90">
        <v>25000</v>
      </c>
      <c r="AA107" s="6">
        <v>2.1349274124679761E-2</v>
      </c>
      <c r="AB107" s="23" t="s">
        <v>31</v>
      </c>
      <c r="AC107" s="28" t="s">
        <v>93</v>
      </c>
      <c r="AD107" s="14" t="s">
        <v>322</v>
      </c>
      <c r="AE107" s="28" t="s">
        <v>93</v>
      </c>
      <c r="AF107" s="28" t="s">
        <v>96</v>
      </c>
    </row>
    <row r="108" spans="2:32" ht="50.25" customHeight="1" x14ac:dyDescent="0.3">
      <c r="B108" s="2" t="s">
        <v>159</v>
      </c>
      <c r="C108" s="2">
        <v>45923</v>
      </c>
      <c r="D108" s="2">
        <f>_xlfn.XLOOKUP(E108,[1]!Bookings[Booking Name],[1]!Bookings[Rejected Date])</f>
        <v>45924</v>
      </c>
      <c r="E108" s="39" t="s">
        <v>76</v>
      </c>
      <c r="F108" s="76" t="str">
        <f>_xlfn.XLOOKUP(E108,[1]!Bookings[Booking Name],[1]!Bookings[Booking Status])</f>
        <v>Rejected</v>
      </c>
      <c r="G108" s="2">
        <v>45887</v>
      </c>
      <c r="H108" s="3">
        <v>164</v>
      </c>
      <c r="I108" s="2" t="s">
        <v>484</v>
      </c>
      <c r="J108" s="2" t="s">
        <v>424</v>
      </c>
      <c r="K108" s="2" t="s">
        <v>444</v>
      </c>
      <c r="L108" s="2" t="s">
        <v>847</v>
      </c>
      <c r="M108" s="36" t="s">
        <v>619</v>
      </c>
      <c r="N108" s="2" t="s">
        <v>92</v>
      </c>
      <c r="O108" s="52" t="s">
        <v>848</v>
      </c>
      <c r="P108" s="2" t="s">
        <v>849</v>
      </c>
      <c r="Q108" s="4">
        <v>0</v>
      </c>
      <c r="R108" s="27">
        <v>0</v>
      </c>
      <c r="S108" s="4">
        <v>1161000</v>
      </c>
      <c r="T108" s="4">
        <v>1161000</v>
      </c>
      <c r="U108" s="34" t="s">
        <v>726</v>
      </c>
      <c r="V108" s="2" t="s">
        <v>850</v>
      </c>
      <c r="W108" s="82" t="s">
        <v>851</v>
      </c>
      <c r="X108" s="2" t="s">
        <v>429</v>
      </c>
      <c r="Y108" s="70" t="s">
        <v>209</v>
      </c>
      <c r="Z108" s="90">
        <v>49925</v>
      </c>
      <c r="AA108" s="6">
        <v>4.3001722652885446E-2</v>
      </c>
      <c r="AB108" s="22" t="s">
        <v>31</v>
      </c>
      <c r="AC108" s="28" t="s">
        <v>93</v>
      </c>
      <c r="AD108" s="14" t="s">
        <v>321</v>
      </c>
      <c r="AE108" s="28" t="s">
        <v>93</v>
      </c>
      <c r="AF108" s="28" t="s">
        <v>96</v>
      </c>
    </row>
    <row r="109" spans="2:32" ht="50.25" customHeight="1" x14ac:dyDescent="0.3">
      <c r="B109" s="2" t="s">
        <v>159</v>
      </c>
      <c r="C109" s="2">
        <v>45922</v>
      </c>
      <c r="D109" s="2">
        <f>_xlfn.XLOOKUP(E109,[1]!Bookings[Booking Name],[1]!Bookings[Rejected Date])</f>
        <v>45924</v>
      </c>
      <c r="E109" s="39" t="s">
        <v>75</v>
      </c>
      <c r="F109" s="76" t="str">
        <f>_xlfn.XLOOKUP(E109,[1]!Bookings[Booking Name],[1]!Bookings[Booking Status])</f>
        <v>Rejected</v>
      </c>
      <c r="G109" s="2">
        <v>45909</v>
      </c>
      <c r="H109" s="3">
        <v>142</v>
      </c>
      <c r="I109" s="2" t="s">
        <v>442</v>
      </c>
      <c r="J109" s="2" t="s">
        <v>580</v>
      </c>
      <c r="K109" s="2" t="s">
        <v>444</v>
      </c>
      <c r="L109" s="2" t="s">
        <v>682</v>
      </c>
      <c r="M109" s="36" t="s">
        <v>426</v>
      </c>
      <c r="N109" s="2" t="s">
        <v>92</v>
      </c>
      <c r="O109" s="52" t="s">
        <v>852</v>
      </c>
      <c r="P109" s="2" t="s">
        <v>515</v>
      </c>
      <c r="Q109" s="4">
        <v>30999.97</v>
      </c>
      <c r="R109" s="27">
        <v>3.870158551810237E-2</v>
      </c>
      <c r="S109" s="4">
        <v>770000.03281799995</v>
      </c>
      <c r="T109" s="4">
        <v>801000</v>
      </c>
      <c r="U109" s="34" t="s">
        <v>583</v>
      </c>
      <c r="V109" s="2" t="s">
        <v>584</v>
      </c>
      <c r="W109" s="82" t="s">
        <v>853</v>
      </c>
      <c r="X109" s="2" t="s">
        <v>429</v>
      </c>
      <c r="Y109" s="70" t="s">
        <v>209</v>
      </c>
      <c r="Z109" s="90">
        <v>25000</v>
      </c>
      <c r="AA109" s="6">
        <v>3.2467531083740994E-2</v>
      </c>
      <c r="AB109" s="22" t="s">
        <v>37</v>
      </c>
      <c r="AC109" s="28" t="s">
        <v>93</v>
      </c>
      <c r="AD109" s="14" t="s">
        <v>320</v>
      </c>
      <c r="AE109" s="28" t="s">
        <v>93</v>
      </c>
      <c r="AF109" s="28" t="s">
        <v>96</v>
      </c>
    </row>
    <row r="110" spans="2:32" ht="50.25" customHeight="1" x14ac:dyDescent="0.3">
      <c r="B110" s="2" t="s">
        <v>159</v>
      </c>
      <c r="C110" s="2">
        <v>45918</v>
      </c>
      <c r="D110" s="2">
        <f>_xlfn.XLOOKUP(E110,[1]!Bookings[Booking Name],[1]!Bookings[Rejected Date])</f>
        <v>45918</v>
      </c>
      <c r="E110" s="39" t="s">
        <v>142</v>
      </c>
      <c r="F110" s="76" t="str">
        <f>_xlfn.XLOOKUP(E110,[1]!Bookings[Booking Name],[1]!Bookings[Booking Status])</f>
        <v>Rejected</v>
      </c>
      <c r="G110" s="2">
        <v>45825</v>
      </c>
      <c r="H110" s="3">
        <v>226</v>
      </c>
      <c r="I110" s="2" t="s">
        <v>442</v>
      </c>
      <c r="J110" s="2" t="s">
        <v>443</v>
      </c>
      <c r="K110" s="2" t="s">
        <v>444</v>
      </c>
      <c r="L110" s="2" t="s">
        <v>854</v>
      </c>
      <c r="M110" s="36" t="s">
        <v>619</v>
      </c>
      <c r="N110" s="2" t="s">
        <v>92</v>
      </c>
      <c r="O110" s="52" t="s">
        <v>855</v>
      </c>
      <c r="P110" s="2" t="s">
        <v>836</v>
      </c>
      <c r="Q110" s="4">
        <v>52200</v>
      </c>
      <c r="R110" s="27">
        <v>6.5660377358490563E-2</v>
      </c>
      <c r="S110" s="4">
        <v>742800</v>
      </c>
      <c r="T110" s="4">
        <v>795000</v>
      </c>
      <c r="U110" s="34" t="s">
        <v>627</v>
      </c>
      <c r="V110" s="2" t="s">
        <v>837</v>
      </c>
      <c r="W110" s="82" t="s">
        <v>856</v>
      </c>
      <c r="X110" s="2" t="s">
        <v>429</v>
      </c>
      <c r="Y110" s="70" t="s">
        <v>209</v>
      </c>
      <c r="Z110" s="18" t="s">
        <v>25</v>
      </c>
      <c r="AA110" s="6">
        <v>0</v>
      </c>
      <c r="AB110" s="35" t="s">
        <v>26</v>
      </c>
      <c r="AC110" s="12" t="s">
        <v>970</v>
      </c>
      <c r="AD110" s="107" t="s">
        <v>319</v>
      </c>
      <c r="AE110" s="28" t="s">
        <v>87</v>
      </c>
      <c r="AF110" s="12" t="s">
        <v>145</v>
      </c>
    </row>
    <row r="111" spans="2:32" ht="50.25" customHeight="1" x14ac:dyDescent="0.3">
      <c r="B111" s="2" t="s">
        <v>159</v>
      </c>
      <c r="C111" s="2">
        <v>45917</v>
      </c>
      <c r="D111" s="2">
        <f>_xlfn.XLOOKUP(E111,[1]!Bookings[Booking Name],[1]!Bookings[Rejected Date])</f>
        <v>45918</v>
      </c>
      <c r="E111" s="39" t="s">
        <v>74</v>
      </c>
      <c r="F111" s="76" t="str">
        <f>_xlfn.XLOOKUP(E111,[1]!Bookings[Booking Name],[1]!Bookings[Booking Status])</f>
        <v>Rejected</v>
      </c>
      <c r="G111" s="2">
        <v>45828</v>
      </c>
      <c r="H111" s="3">
        <v>223</v>
      </c>
      <c r="I111" s="2" t="s">
        <v>442</v>
      </c>
      <c r="J111" s="2" t="s">
        <v>580</v>
      </c>
      <c r="K111" s="2" t="s">
        <v>444</v>
      </c>
      <c r="L111" s="2" t="s">
        <v>857</v>
      </c>
      <c r="M111" s="36" t="s">
        <v>619</v>
      </c>
      <c r="N111" s="2" t="s">
        <v>92</v>
      </c>
      <c r="O111" s="52" t="s">
        <v>858</v>
      </c>
      <c r="P111" s="2" t="s">
        <v>836</v>
      </c>
      <c r="Q111" s="4">
        <v>51113</v>
      </c>
      <c r="R111" s="27">
        <v>6.561360718870346E-2</v>
      </c>
      <c r="S111" s="4">
        <v>727887</v>
      </c>
      <c r="T111" s="4">
        <v>779000</v>
      </c>
      <c r="U111" s="34" t="s">
        <v>627</v>
      </c>
      <c r="V111" s="2" t="s">
        <v>837</v>
      </c>
      <c r="W111" s="82" t="s">
        <v>859</v>
      </c>
      <c r="X111" s="2" t="s">
        <v>429</v>
      </c>
      <c r="Y111" s="70" t="s">
        <v>209</v>
      </c>
      <c r="Z111" s="90">
        <v>32790.480000000003</v>
      </c>
      <c r="AA111" s="6">
        <v>4.5048860606110568E-2</v>
      </c>
      <c r="AB111" s="21" t="s">
        <v>31</v>
      </c>
      <c r="AC111" s="28" t="s">
        <v>93</v>
      </c>
      <c r="AD111" s="14" t="s">
        <v>318</v>
      </c>
      <c r="AE111" s="28" t="s">
        <v>93</v>
      </c>
      <c r="AF111" s="28" t="s">
        <v>96</v>
      </c>
    </row>
    <row r="112" spans="2:32" ht="50.25" customHeight="1" x14ac:dyDescent="0.3">
      <c r="B112" s="2" t="s">
        <v>159</v>
      </c>
      <c r="C112" s="2">
        <v>45916</v>
      </c>
      <c r="D112" s="2">
        <f>_xlfn.XLOOKUP(E112,[1]!Bookings[Booking Name],[1]!Bookings[Rejected Date])</f>
        <v>45922</v>
      </c>
      <c r="E112" s="39" t="s">
        <v>73</v>
      </c>
      <c r="F112" s="76" t="str">
        <f>_xlfn.XLOOKUP(E112,[1]!Bookings[Booking Name],[1]!Bookings[Booking Status])</f>
        <v>Rejected</v>
      </c>
      <c r="G112" s="2">
        <v>45815</v>
      </c>
      <c r="H112" s="3">
        <v>236</v>
      </c>
      <c r="I112" s="2" t="s">
        <v>442</v>
      </c>
      <c r="J112" s="2" t="s">
        <v>443</v>
      </c>
      <c r="K112" s="2" t="s">
        <v>485</v>
      </c>
      <c r="L112" s="2" t="s">
        <v>860</v>
      </c>
      <c r="M112" s="36" t="s">
        <v>619</v>
      </c>
      <c r="N112" s="2" t="s">
        <v>92</v>
      </c>
      <c r="O112" s="52" t="s">
        <v>861</v>
      </c>
      <c r="P112" s="2" t="s">
        <v>862</v>
      </c>
      <c r="Q112" s="4">
        <v>128000</v>
      </c>
      <c r="R112" s="27">
        <v>9.8461538461538461E-2</v>
      </c>
      <c r="S112" s="4">
        <v>1172000</v>
      </c>
      <c r="T112" s="4">
        <v>1300000</v>
      </c>
      <c r="U112" s="34" t="s">
        <v>565</v>
      </c>
      <c r="V112" s="2" t="s">
        <v>669</v>
      </c>
      <c r="W112" s="82" t="s">
        <v>863</v>
      </c>
      <c r="X112" s="2" t="s">
        <v>429</v>
      </c>
      <c r="Y112" s="70" t="s">
        <v>209</v>
      </c>
      <c r="Z112" s="90">
        <v>45000</v>
      </c>
      <c r="AA112" s="6">
        <v>3.839590443686007E-2</v>
      </c>
      <c r="AB112" s="20" t="s">
        <v>31</v>
      </c>
      <c r="AC112" s="28" t="s">
        <v>93</v>
      </c>
      <c r="AD112" s="14" t="s">
        <v>317</v>
      </c>
      <c r="AE112" s="28" t="s">
        <v>93</v>
      </c>
      <c r="AF112" s="28" t="s">
        <v>96</v>
      </c>
    </row>
    <row r="113" spans="2:32" ht="50.25" customHeight="1" x14ac:dyDescent="0.3">
      <c r="B113" s="2" t="s">
        <v>159</v>
      </c>
      <c r="C113" s="2">
        <v>45916</v>
      </c>
      <c r="D113" s="2">
        <f>_xlfn.XLOOKUP(E113,[1]!Bookings[Booking Name],[1]!Bookings[Rejected Date])</f>
        <v>45922</v>
      </c>
      <c r="E113" s="39" t="s">
        <v>72</v>
      </c>
      <c r="F113" s="76" t="str">
        <f>_xlfn.XLOOKUP(E113,[1]!Bookings[Booking Name],[1]!Bookings[Booking Status])</f>
        <v>Rejected</v>
      </c>
      <c r="G113" s="2">
        <v>45787</v>
      </c>
      <c r="H113" s="3">
        <v>264</v>
      </c>
      <c r="I113" s="2" t="s">
        <v>442</v>
      </c>
      <c r="J113" s="2" t="s">
        <v>580</v>
      </c>
      <c r="K113" s="2" t="s">
        <v>444</v>
      </c>
      <c r="L113" s="2" t="s">
        <v>864</v>
      </c>
      <c r="M113" s="36" t="s">
        <v>426</v>
      </c>
      <c r="N113" s="2" t="s">
        <v>92</v>
      </c>
      <c r="O113" s="52" t="s">
        <v>861</v>
      </c>
      <c r="P113" s="2" t="s">
        <v>862</v>
      </c>
      <c r="Q113" s="4">
        <v>101746</v>
      </c>
      <c r="R113" s="27">
        <v>0.12879240506329115</v>
      </c>
      <c r="S113" s="4">
        <v>688254</v>
      </c>
      <c r="T113" s="4">
        <v>790000</v>
      </c>
      <c r="U113" s="34" t="s">
        <v>865</v>
      </c>
      <c r="V113" s="2" t="s">
        <v>669</v>
      </c>
      <c r="W113" s="82" t="s">
        <v>866</v>
      </c>
      <c r="X113" s="2" t="s">
        <v>429</v>
      </c>
      <c r="Y113" s="70">
        <v>5000</v>
      </c>
      <c r="Z113" s="90">
        <v>68825.399999999994</v>
      </c>
      <c r="AA113" s="6">
        <v>9.9999999999999992E-2</v>
      </c>
      <c r="AB113" s="20" t="s">
        <v>31</v>
      </c>
      <c r="AC113" s="28" t="s">
        <v>93</v>
      </c>
      <c r="AD113" s="14" t="s">
        <v>316</v>
      </c>
      <c r="AE113" s="28" t="s">
        <v>93</v>
      </c>
      <c r="AF113" s="28" t="s">
        <v>96</v>
      </c>
    </row>
    <row r="114" spans="2:32" ht="50.25" customHeight="1" x14ac:dyDescent="0.3">
      <c r="B114" s="2" t="s">
        <v>159</v>
      </c>
      <c r="C114" s="2">
        <v>45915</v>
      </c>
      <c r="D114" s="2">
        <f>_xlfn.XLOOKUP(E114,[1]!Bookings[Booking Name],[1]!Bookings[Rejected Date])</f>
        <v>45918</v>
      </c>
      <c r="E114" s="39" t="s">
        <v>69</v>
      </c>
      <c r="F114" s="76" t="str">
        <f>_xlfn.XLOOKUP(E114,[1]!Bookings[Booking Name],[1]!Bookings[Booking Status])</f>
        <v>Rejected</v>
      </c>
      <c r="G114" s="2">
        <v>45904</v>
      </c>
      <c r="H114" s="3">
        <v>147</v>
      </c>
      <c r="I114" s="2" t="s">
        <v>442</v>
      </c>
      <c r="J114" s="2" t="s">
        <v>443</v>
      </c>
      <c r="K114" s="2" t="s">
        <v>444</v>
      </c>
      <c r="L114" s="2" t="s">
        <v>867</v>
      </c>
      <c r="M114" s="36" t="s">
        <v>446</v>
      </c>
      <c r="N114" s="2" t="s">
        <v>92</v>
      </c>
      <c r="O114" s="52" t="s">
        <v>648</v>
      </c>
      <c r="P114" s="2" t="s">
        <v>477</v>
      </c>
      <c r="Q114" s="4">
        <v>0</v>
      </c>
      <c r="R114" s="27">
        <v>0</v>
      </c>
      <c r="S114" s="4">
        <v>941000</v>
      </c>
      <c r="T114" s="4">
        <v>941000</v>
      </c>
      <c r="U114" s="34" t="s">
        <v>554</v>
      </c>
      <c r="V114" s="2" t="s">
        <v>649</v>
      </c>
      <c r="W114" s="82" t="s">
        <v>868</v>
      </c>
      <c r="X114" s="2" t="s">
        <v>429</v>
      </c>
      <c r="Y114" s="70" t="s">
        <v>209</v>
      </c>
      <c r="Z114" s="90">
        <v>5000</v>
      </c>
      <c r="AA114" s="6">
        <v>5.3134962805526037E-3</v>
      </c>
      <c r="AB114" s="21" t="s">
        <v>31</v>
      </c>
      <c r="AC114" s="12" t="s">
        <v>70</v>
      </c>
      <c r="AD114" s="107" t="s">
        <v>315</v>
      </c>
      <c r="AE114" s="28" t="s">
        <v>88</v>
      </c>
      <c r="AF114" s="28" t="s">
        <v>99</v>
      </c>
    </row>
    <row r="115" spans="2:32" ht="50.25" customHeight="1" x14ac:dyDescent="0.3">
      <c r="B115" s="2" t="s">
        <v>159</v>
      </c>
      <c r="C115" s="2">
        <v>45915</v>
      </c>
      <c r="D115" s="2">
        <f>_xlfn.XLOOKUP(E115,[1]!Bookings[Booking Name],[1]!Bookings[Rejected Date])</f>
        <v>45916</v>
      </c>
      <c r="E115" s="39" t="s">
        <v>68</v>
      </c>
      <c r="F115" s="76" t="str">
        <f>_xlfn.XLOOKUP(E115,[1]!Bookings[Booking Name],[1]!Bookings[Booking Status])</f>
        <v>Rejected</v>
      </c>
      <c r="G115" s="2">
        <v>45890</v>
      </c>
      <c r="H115" s="3">
        <v>161</v>
      </c>
      <c r="I115" s="2" t="s">
        <v>484</v>
      </c>
      <c r="J115" s="2" t="s">
        <v>424</v>
      </c>
      <c r="K115" s="2" t="s">
        <v>444</v>
      </c>
      <c r="L115" s="2" t="s">
        <v>869</v>
      </c>
      <c r="M115" s="36" t="s">
        <v>619</v>
      </c>
      <c r="N115" s="2" t="s">
        <v>92</v>
      </c>
      <c r="O115" s="52" t="s">
        <v>870</v>
      </c>
      <c r="P115" s="2" t="s">
        <v>871</v>
      </c>
      <c r="Q115" s="4">
        <v>25920</v>
      </c>
      <c r="R115" s="27">
        <v>0.02</v>
      </c>
      <c r="S115" s="4">
        <v>1270080</v>
      </c>
      <c r="T115" s="4">
        <v>1296000</v>
      </c>
      <c r="U115" s="34" t="s">
        <v>822</v>
      </c>
      <c r="V115" s="2" t="s">
        <v>872</v>
      </c>
      <c r="W115" s="82" t="s">
        <v>873</v>
      </c>
      <c r="X115" s="2" t="s">
        <v>429</v>
      </c>
      <c r="Y115" s="70" t="s">
        <v>209</v>
      </c>
      <c r="Z115" s="90">
        <v>31700</v>
      </c>
      <c r="AA115" s="6">
        <v>2.4959057697152936E-2</v>
      </c>
      <c r="AB115" s="21" t="s">
        <v>31</v>
      </c>
      <c r="AC115" s="12" t="s">
        <v>970</v>
      </c>
      <c r="AD115" s="107" t="s">
        <v>314</v>
      </c>
      <c r="AE115" s="28" t="s">
        <v>87</v>
      </c>
      <c r="AF115" s="28" t="s">
        <v>100</v>
      </c>
    </row>
    <row r="116" spans="2:32" ht="50.25" customHeight="1" x14ac:dyDescent="0.3">
      <c r="B116" s="2" t="s">
        <v>159</v>
      </c>
      <c r="C116" s="2">
        <v>45915</v>
      </c>
      <c r="D116" s="2">
        <f>_xlfn.XLOOKUP(E116,[1]!Bookings[Booking Name],[1]!Bookings[Rejected Date])</f>
        <v>45915</v>
      </c>
      <c r="E116" s="39" t="s">
        <v>67</v>
      </c>
      <c r="F116" s="76" t="str">
        <f>_xlfn.XLOOKUP(E116,[1]!Bookings[Booking Name],[1]!Bookings[Booking Status])</f>
        <v>Rejected</v>
      </c>
      <c r="G116" s="2">
        <v>45878</v>
      </c>
      <c r="H116" s="3">
        <v>173</v>
      </c>
      <c r="I116" s="2" t="s">
        <v>442</v>
      </c>
      <c r="J116" s="2" t="s">
        <v>443</v>
      </c>
      <c r="K116" s="2" t="s">
        <v>574</v>
      </c>
      <c r="L116" s="2" t="s">
        <v>874</v>
      </c>
      <c r="M116" s="36" t="s">
        <v>446</v>
      </c>
      <c r="N116" s="2" t="s">
        <v>92</v>
      </c>
      <c r="O116" s="52" t="s">
        <v>875</v>
      </c>
      <c r="P116" s="2" t="s">
        <v>660</v>
      </c>
      <c r="Q116" s="4">
        <v>151363.5</v>
      </c>
      <c r="R116" s="27">
        <v>8.9300000000000004E-2</v>
      </c>
      <c r="S116" s="4">
        <v>1543636.5</v>
      </c>
      <c r="T116" s="4">
        <v>1695000</v>
      </c>
      <c r="U116" s="34" t="s">
        <v>583</v>
      </c>
      <c r="V116" s="2" t="s">
        <v>521</v>
      </c>
      <c r="W116" s="82" t="s">
        <v>876</v>
      </c>
      <c r="X116" s="2" t="s">
        <v>429</v>
      </c>
      <c r="Y116" s="70" t="s">
        <v>209</v>
      </c>
      <c r="Z116" s="18"/>
      <c r="AA116" s="6">
        <v>0</v>
      </c>
      <c r="AB116" s="18"/>
      <c r="AC116" s="12" t="s">
        <v>71</v>
      </c>
      <c r="AD116" s="12" t="s">
        <v>422</v>
      </c>
      <c r="AE116" s="28" t="s">
        <v>94</v>
      </c>
      <c r="AF116" s="28" t="s">
        <v>101</v>
      </c>
    </row>
    <row r="117" spans="2:32" ht="50.25" customHeight="1" x14ac:dyDescent="0.3">
      <c r="B117" s="2" t="s">
        <v>159</v>
      </c>
      <c r="C117" s="2">
        <v>45911</v>
      </c>
      <c r="D117" s="2">
        <f>_xlfn.XLOOKUP(E117,[1]!Bookings[Booking Name],[1]!Bookings[Rejected Date])</f>
        <v>45911</v>
      </c>
      <c r="E117" s="39" t="s">
        <v>65</v>
      </c>
      <c r="F117" s="76" t="str">
        <f>_xlfn.XLOOKUP(E117,[1]!Bookings[Booking Name],[1]!Bookings[Booking Status])</f>
        <v>Rejected</v>
      </c>
      <c r="G117" s="2">
        <v>45877</v>
      </c>
      <c r="H117" s="3">
        <v>174</v>
      </c>
      <c r="I117" s="2" t="s">
        <v>442</v>
      </c>
      <c r="J117" s="2" t="s">
        <v>580</v>
      </c>
      <c r="K117" s="2" t="s">
        <v>574</v>
      </c>
      <c r="L117" s="2" t="s">
        <v>877</v>
      </c>
      <c r="M117" s="36" t="s">
        <v>426</v>
      </c>
      <c r="N117" s="2" t="s">
        <v>92</v>
      </c>
      <c r="O117" s="52" t="s">
        <v>878</v>
      </c>
      <c r="P117" s="2" t="s">
        <v>862</v>
      </c>
      <c r="Q117" s="4">
        <v>119350</v>
      </c>
      <c r="R117" s="27">
        <v>0.05</v>
      </c>
      <c r="S117" s="4">
        <v>2267650</v>
      </c>
      <c r="T117" s="4">
        <v>2387000</v>
      </c>
      <c r="U117" s="34" t="s">
        <v>541</v>
      </c>
      <c r="V117" s="2" t="s">
        <v>879</v>
      </c>
      <c r="W117" s="82" t="s">
        <v>880</v>
      </c>
      <c r="X117" s="2" t="s">
        <v>429</v>
      </c>
      <c r="Y117" s="70" t="s">
        <v>209</v>
      </c>
      <c r="Z117" s="18" t="s">
        <v>25</v>
      </c>
      <c r="AA117" s="19" t="s">
        <v>26</v>
      </c>
      <c r="AB117" s="18" t="s">
        <v>26</v>
      </c>
      <c r="AC117" s="28" t="s">
        <v>93</v>
      </c>
      <c r="AD117" s="14" t="s">
        <v>313</v>
      </c>
      <c r="AE117" s="28" t="s">
        <v>93</v>
      </c>
      <c r="AF117" s="28" t="s">
        <v>96</v>
      </c>
    </row>
    <row r="118" spans="2:32" ht="50.25" customHeight="1" x14ac:dyDescent="0.3">
      <c r="B118" s="2" t="s">
        <v>159</v>
      </c>
      <c r="C118" s="2">
        <v>45911</v>
      </c>
      <c r="D118" s="2">
        <f>_xlfn.XLOOKUP(E118,[1]!Bookings[Booking Name],[1]!Bookings[Rejected Date])</f>
        <v>45912</v>
      </c>
      <c r="E118" s="39" t="s">
        <v>63</v>
      </c>
      <c r="F118" s="76" t="str">
        <f>_xlfn.XLOOKUP(E118,[1]!Bookings[Booking Name],[1]!Bookings[Booking Status])</f>
        <v>Rejected</v>
      </c>
      <c r="G118" s="2">
        <v>45878</v>
      </c>
      <c r="H118" s="3">
        <v>173</v>
      </c>
      <c r="I118" s="2" t="s">
        <v>442</v>
      </c>
      <c r="J118" s="2" t="s">
        <v>443</v>
      </c>
      <c r="K118" s="2" t="s">
        <v>574</v>
      </c>
      <c r="L118" s="2" t="s">
        <v>881</v>
      </c>
      <c r="M118" s="36" t="s">
        <v>446</v>
      </c>
      <c r="N118" s="2" t="s">
        <v>92</v>
      </c>
      <c r="O118" s="52" t="s">
        <v>882</v>
      </c>
      <c r="P118" s="2" t="s">
        <v>883</v>
      </c>
      <c r="Q118" s="4">
        <v>40150</v>
      </c>
      <c r="R118" s="27">
        <v>2.5000000000000001E-2</v>
      </c>
      <c r="S118" s="4">
        <v>1565850</v>
      </c>
      <c r="T118" s="4">
        <v>1606000</v>
      </c>
      <c r="U118" s="34" t="s">
        <v>583</v>
      </c>
      <c r="V118" s="2" t="s">
        <v>521</v>
      </c>
      <c r="W118" s="82" t="s">
        <v>884</v>
      </c>
      <c r="X118" s="2" t="s">
        <v>429</v>
      </c>
      <c r="Y118" s="70" t="s">
        <v>209</v>
      </c>
      <c r="Z118" s="3" t="s">
        <v>25</v>
      </c>
      <c r="AA118" s="17" t="s">
        <v>26</v>
      </c>
      <c r="AB118" s="16" t="s">
        <v>26</v>
      </c>
      <c r="AC118" s="12" t="s">
        <v>64</v>
      </c>
      <c r="AD118" s="107" t="s">
        <v>312</v>
      </c>
      <c r="AE118" s="28" t="s">
        <v>89</v>
      </c>
      <c r="AF118" s="28" t="s">
        <v>102</v>
      </c>
    </row>
    <row r="119" spans="2:32" ht="50.25" customHeight="1" x14ac:dyDescent="0.3">
      <c r="B119" s="2" t="s">
        <v>159</v>
      </c>
      <c r="C119" s="2">
        <v>45911</v>
      </c>
      <c r="D119" s="2">
        <f>_xlfn.XLOOKUP(E119,[1]!Bookings[Booking Name],[1]!Bookings[Rejected Date])</f>
        <v>45922</v>
      </c>
      <c r="E119" s="39" t="s">
        <v>62</v>
      </c>
      <c r="F119" s="76" t="str">
        <f>_xlfn.XLOOKUP(E119,[1]!Bookings[Booking Name],[1]!Bookings[Booking Status])</f>
        <v>Rejected</v>
      </c>
      <c r="G119" s="2">
        <v>45731</v>
      </c>
      <c r="H119" s="3">
        <v>320</v>
      </c>
      <c r="I119" s="2" t="s">
        <v>442</v>
      </c>
      <c r="J119" s="2" t="s">
        <v>580</v>
      </c>
      <c r="K119" s="2" t="s">
        <v>574</v>
      </c>
      <c r="L119" s="2" t="s">
        <v>885</v>
      </c>
      <c r="M119" s="36" t="s">
        <v>431</v>
      </c>
      <c r="N119" s="2" t="s">
        <v>92</v>
      </c>
      <c r="O119" s="52" t="s">
        <v>886</v>
      </c>
      <c r="P119" s="2" t="s">
        <v>438</v>
      </c>
      <c r="Q119" s="4">
        <v>161399</v>
      </c>
      <c r="R119" s="27">
        <v>6.5582689963429502E-2</v>
      </c>
      <c r="S119" s="4">
        <v>2299601</v>
      </c>
      <c r="T119" s="4">
        <v>2461000</v>
      </c>
      <c r="U119" s="34" t="s">
        <v>79</v>
      </c>
      <c r="V119" s="2" t="s">
        <v>798</v>
      </c>
      <c r="W119" s="82" t="s">
        <v>887</v>
      </c>
      <c r="X119" s="2" t="s">
        <v>888</v>
      </c>
      <c r="Y119" s="70">
        <v>7000</v>
      </c>
      <c r="Z119" s="90">
        <v>100000</v>
      </c>
      <c r="AA119" s="6">
        <v>4.3485804711339053E-2</v>
      </c>
      <c r="AB119" s="16" t="s">
        <v>31</v>
      </c>
      <c r="AC119" s="60" t="s">
        <v>93</v>
      </c>
      <c r="AD119" s="14" t="s">
        <v>311</v>
      </c>
      <c r="AE119" s="28" t="s">
        <v>93</v>
      </c>
      <c r="AF119" s="28" t="s">
        <v>96</v>
      </c>
    </row>
    <row r="120" spans="2:32" ht="50.25" customHeight="1" x14ac:dyDescent="0.3">
      <c r="B120" s="2" t="s">
        <v>159</v>
      </c>
      <c r="C120" s="2">
        <v>45909</v>
      </c>
      <c r="D120" s="2">
        <f>_xlfn.XLOOKUP(E120,[1]!Bookings[Booking Name],[1]!Bookings[Rejected Date])</f>
        <v>45909</v>
      </c>
      <c r="E120" s="39" t="s">
        <v>60</v>
      </c>
      <c r="F120" s="76" t="str">
        <f>_xlfn.XLOOKUP(E120,[1]!Bookings[Booking Name],[1]!Bookings[Booking Status])</f>
        <v>Rejected</v>
      </c>
      <c r="G120" s="2">
        <v>45904</v>
      </c>
      <c r="H120" s="3">
        <v>147</v>
      </c>
      <c r="I120" s="2" t="s">
        <v>442</v>
      </c>
      <c r="J120" s="2" t="s">
        <v>580</v>
      </c>
      <c r="K120" s="2" t="s">
        <v>574</v>
      </c>
      <c r="L120" s="2" t="s">
        <v>889</v>
      </c>
      <c r="M120" s="36" t="s">
        <v>619</v>
      </c>
      <c r="N120" s="2" t="s">
        <v>92</v>
      </c>
      <c r="O120" s="52" t="s">
        <v>778</v>
      </c>
      <c r="P120" s="2" t="s">
        <v>438</v>
      </c>
      <c r="Q120" s="4">
        <v>129450</v>
      </c>
      <c r="R120" s="27">
        <v>0.05</v>
      </c>
      <c r="S120" s="4">
        <v>2459550</v>
      </c>
      <c r="T120" s="4">
        <v>2589000</v>
      </c>
      <c r="U120" s="34" t="s">
        <v>779</v>
      </c>
      <c r="V120" s="2" t="s">
        <v>890</v>
      </c>
      <c r="W120" s="82" t="s">
        <v>891</v>
      </c>
      <c r="X120" s="2" t="s">
        <v>429</v>
      </c>
      <c r="Y120" s="70" t="s">
        <v>209</v>
      </c>
      <c r="Z120" s="90">
        <v>50000</v>
      </c>
      <c r="AA120" s="6">
        <v>2.0328921957268604E-2</v>
      </c>
      <c r="AB120" s="15" t="s">
        <v>31</v>
      </c>
      <c r="AC120" s="12" t="s">
        <v>61</v>
      </c>
      <c r="AD120" s="107" t="s">
        <v>310</v>
      </c>
      <c r="AE120" s="28" t="s">
        <v>87</v>
      </c>
      <c r="AF120" s="28" t="s">
        <v>103</v>
      </c>
    </row>
    <row r="121" spans="2:32" ht="50.25" customHeight="1" x14ac:dyDescent="0.3">
      <c r="B121" s="2" t="s">
        <v>159</v>
      </c>
      <c r="C121" s="2">
        <v>45908</v>
      </c>
      <c r="D121" s="2">
        <f>_xlfn.XLOOKUP(E121,[1]!Bookings[Booking Name],[1]!Bookings[Rejected Date])</f>
        <v>45911</v>
      </c>
      <c r="E121" s="39" t="s">
        <v>58</v>
      </c>
      <c r="F121" s="76" t="str">
        <f>_xlfn.XLOOKUP(E121,[1]!Bookings[Booking Name],[1]!Bookings[Booking Status])</f>
        <v>Rejected</v>
      </c>
      <c r="G121" s="2">
        <v>45903</v>
      </c>
      <c r="H121" s="3">
        <v>148</v>
      </c>
      <c r="I121" s="2" t="s">
        <v>442</v>
      </c>
      <c r="J121" s="2" t="s">
        <v>580</v>
      </c>
      <c r="K121" s="2" t="s">
        <v>444</v>
      </c>
      <c r="L121" s="2" t="s">
        <v>892</v>
      </c>
      <c r="M121" s="36" t="s">
        <v>619</v>
      </c>
      <c r="N121" s="2" t="s">
        <v>92</v>
      </c>
      <c r="O121" s="52" t="s">
        <v>893</v>
      </c>
      <c r="P121" s="2" t="s">
        <v>605</v>
      </c>
      <c r="Q121" s="4">
        <v>0</v>
      </c>
      <c r="R121" s="27">
        <v>0</v>
      </c>
      <c r="S121" s="4">
        <v>896000</v>
      </c>
      <c r="T121" s="4">
        <v>896000</v>
      </c>
      <c r="U121" s="34" t="s">
        <v>606</v>
      </c>
      <c r="V121" s="2" t="s">
        <v>894</v>
      </c>
      <c r="W121" s="82" t="s">
        <v>895</v>
      </c>
      <c r="X121" s="2" t="s">
        <v>429</v>
      </c>
      <c r="Y121" s="70" t="s">
        <v>209</v>
      </c>
      <c r="Z121" s="90">
        <v>2400</v>
      </c>
      <c r="AA121" s="6">
        <v>2.6785714285714286E-3</v>
      </c>
      <c r="AB121" s="13" t="s">
        <v>26</v>
      </c>
      <c r="AC121" s="12" t="s">
        <v>59</v>
      </c>
      <c r="AD121" s="107" t="s">
        <v>309</v>
      </c>
      <c r="AE121" s="28" t="s">
        <v>32</v>
      </c>
      <c r="AF121" s="28" t="s">
        <v>104</v>
      </c>
    </row>
    <row r="122" spans="2:32" ht="50.25" customHeight="1" x14ac:dyDescent="0.3">
      <c r="B122" s="2" t="s">
        <v>159</v>
      </c>
      <c r="C122" s="2">
        <v>45903</v>
      </c>
      <c r="D122" s="2">
        <f>_xlfn.XLOOKUP(E122,[1]!Bookings[Booking Name],[1]!Bookings[Rejected Date])</f>
        <v>45904</v>
      </c>
      <c r="E122" s="39" t="s">
        <v>55</v>
      </c>
      <c r="F122" s="76" t="str">
        <f>_xlfn.XLOOKUP(E122,[1]!Bookings[Booking Name],[1]!Bookings[Booking Status])</f>
        <v>Rejected</v>
      </c>
      <c r="G122" s="2">
        <v>45902</v>
      </c>
      <c r="H122" s="3">
        <v>149</v>
      </c>
      <c r="I122" s="2" t="s">
        <v>484</v>
      </c>
      <c r="J122" s="2" t="s">
        <v>424</v>
      </c>
      <c r="K122" s="2" t="s">
        <v>485</v>
      </c>
      <c r="L122" s="2" t="s">
        <v>896</v>
      </c>
      <c r="M122" s="36" t="s">
        <v>619</v>
      </c>
      <c r="N122" s="2" t="s">
        <v>92</v>
      </c>
      <c r="O122" s="52" t="s">
        <v>897</v>
      </c>
      <c r="P122" s="2" t="s">
        <v>438</v>
      </c>
      <c r="Q122" s="4">
        <v>0</v>
      </c>
      <c r="R122" s="27">
        <v>0</v>
      </c>
      <c r="S122" s="4">
        <v>2646000</v>
      </c>
      <c r="T122" s="4">
        <v>2646000</v>
      </c>
      <c r="U122" s="34" t="s">
        <v>554</v>
      </c>
      <c r="V122" s="2" t="s">
        <v>898</v>
      </c>
      <c r="W122" s="82" t="s">
        <v>899</v>
      </c>
      <c r="X122" s="2" t="s">
        <v>429</v>
      </c>
      <c r="Y122" s="70" t="s">
        <v>209</v>
      </c>
      <c r="Z122" s="3" t="s">
        <v>25</v>
      </c>
      <c r="AA122" s="3" t="s">
        <v>26</v>
      </c>
      <c r="AB122" s="3" t="s">
        <v>26</v>
      </c>
      <c r="AC122" s="12" t="s">
        <v>56</v>
      </c>
      <c r="AD122" s="12" t="s">
        <v>422</v>
      </c>
      <c r="AE122" s="28" t="s">
        <v>89</v>
      </c>
      <c r="AF122" s="28" t="s">
        <v>105</v>
      </c>
    </row>
    <row r="123" spans="2:32" ht="50.25" customHeight="1" x14ac:dyDescent="0.3">
      <c r="B123" s="2" t="s">
        <v>160</v>
      </c>
      <c r="C123" s="2">
        <v>45898</v>
      </c>
      <c r="D123" s="2">
        <f>_xlfn.XLOOKUP(E123,[1]!Bookings[Booking Name],[1]!Bookings[Rejected Date])</f>
        <v>45901</v>
      </c>
      <c r="E123" s="39" t="s">
        <v>53</v>
      </c>
      <c r="F123" s="76" t="str">
        <f>_xlfn.XLOOKUP(E123,[1]!Bookings[Booking Name],[1]!Bookings[Booking Status])</f>
        <v>Rejected</v>
      </c>
      <c r="G123" s="2">
        <v>45875</v>
      </c>
      <c r="H123" s="3">
        <v>176</v>
      </c>
      <c r="I123" s="2" t="s">
        <v>484</v>
      </c>
      <c r="J123" s="2" t="s">
        <v>424</v>
      </c>
      <c r="K123" s="2" t="s">
        <v>444</v>
      </c>
      <c r="L123" s="2" t="s">
        <v>900</v>
      </c>
      <c r="M123" s="36" t="s">
        <v>619</v>
      </c>
      <c r="N123" s="2" t="s">
        <v>92</v>
      </c>
      <c r="O123" s="52" t="s">
        <v>901</v>
      </c>
      <c r="P123" s="2" t="s">
        <v>871</v>
      </c>
      <c r="Q123" s="4">
        <v>0</v>
      </c>
      <c r="R123" s="27">
        <v>0</v>
      </c>
      <c r="S123" s="4">
        <v>1184000</v>
      </c>
      <c r="T123" s="4">
        <v>1184000</v>
      </c>
      <c r="U123" s="34" t="s">
        <v>902</v>
      </c>
      <c r="V123" s="2" t="s">
        <v>903</v>
      </c>
      <c r="W123" s="82" t="s">
        <v>904</v>
      </c>
      <c r="X123" s="2" t="s">
        <v>429</v>
      </c>
      <c r="Y123" s="70" t="s">
        <v>209</v>
      </c>
      <c r="Z123" s="90">
        <v>50000</v>
      </c>
      <c r="AA123" s="6">
        <v>4.2229729729729729E-2</v>
      </c>
      <c r="AB123" s="11" t="s">
        <v>37</v>
      </c>
      <c r="AC123" s="12" t="s">
        <v>57</v>
      </c>
      <c r="AD123" s="107" t="s">
        <v>308</v>
      </c>
      <c r="AE123" s="28" t="s">
        <v>32</v>
      </c>
      <c r="AF123" s="29" t="s">
        <v>114</v>
      </c>
    </row>
    <row r="124" spans="2:32" ht="50.25" customHeight="1" x14ac:dyDescent="0.3">
      <c r="B124" s="2" t="s">
        <v>160</v>
      </c>
      <c r="C124" s="2">
        <v>45895</v>
      </c>
      <c r="D124" s="2">
        <f>_xlfn.XLOOKUP(E124,[1]!Bookings[Booking Name],[1]!Bookings[Rejected Date])</f>
        <v>45895</v>
      </c>
      <c r="E124" s="39" t="s">
        <v>143</v>
      </c>
      <c r="F124" s="76" t="str">
        <f>_xlfn.XLOOKUP(E124,[1]!Bookings[Booking Name],[1]!Bookings[Booking Status])</f>
        <v>Rejected</v>
      </c>
      <c r="G124" s="2">
        <v>45895</v>
      </c>
      <c r="H124" s="3">
        <v>156</v>
      </c>
      <c r="I124" s="2" t="s">
        <v>442</v>
      </c>
      <c r="J124" s="2" t="s">
        <v>580</v>
      </c>
      <c r="K124" s="2" t="s">
        <v>485</v>
      </c>
      <c r="L124" s="2" t="s">
        <v>905</v>
      </c>
      <c r="M124" s="36" t="s">
        <v>619</v>
      </c>
      <c r="N124" s="2" t="s">
        <v>92</v>
      </c>
      <c r="O124" s="52" t="s">
        <v>906</v>
      </c>
      <c r="P124" s="2" t="s">
        <v>525</v>
      </c>
      <c r="Q124" s="4">
        <v>0</v>
      </c>
      <c r="R124" s="27">
        <v>0</v>
      </c>
      <c r="S124" s="4">
        <v>1342000</v>
      </c>
      <c r="T124" s="4">
        <v>1342000</v>
      </c>
      <c r="U124" s="34" t="s">
        <v>583</v>
      </c>
      <c r="V124" s="2" t="s">
        <v>688</v>
      </c>
      <c r="W124" s="82" t="s">
        <v>907</v>
      </c>
      <c r="X124" s="2" t="s">
        <v>429</v>
      </c>
      <c r="Y124" s="70" t="s">
        <v>209</v>
      </c>
      <c r="Z124" s="3" t="s">
        <v>25</v>
      </c>
      <c r="AA124" s="3" t="s">
        <v>26</v>
      </c>
      <c r="AB124" s="3" t="s">
        <v>26</v>
      </c>
      <c r="AC124" s="37" t="s">
        <v>289</v>
      </c>
      <c r="AD124" s="12" t="s">
        <v>422</v>
      </c>
      <c r="AE124" s="12" t="s">
        <v>146</v>
      </c>
      <c r="AF124" s="37" t="s">
        <v>147</v>
      </c>
    </row>
    <row r="125" spans="2:32" ht="50.25" customHeight="1" x14ac:dyDescent="0.3">
      <c r="B125" s="2" t="s">
        <v>160</v>
      </c>
      <c r="C125" s="2">
        <v>45895</v>
      </c>
      <c r="D125" s="2">
        <f>_xlfn.XLOOKUP(E125,[1]!Bookings[Booking Name],[1]!Bookings[Rejected Date])</f>
        <v>45895</v>
      </c>
      <c r="E125" s="39" t="s">
        <v>144</v>
      </c>
      <c r="F125" s="76" t="str">
        <f>_xlfn.XLOOKUP(E125,[1]!Bookings[Booking Name],[1]!Bookings[Booking Status])</f>
        <v>Rejected</v>
      </c>
      <c r="G125" s="2">
        <v>45895</v>
      </c>
      <c r="H125" s="3">
        <v>156</v>
      </c>
      <c r="I125" s="2" t="s">
        <v>442</v>
      </c>
      <c r="J125" s="2" t="s">
        <v>580</v>
      </c>
      <c r="K125" s="2" t="s">
        <v>444</v>
      </c>
      <c r="L125" s="2" t="s">
        <v>908</v>
      </c>
      <c r="M125" s="36" t="s">
        <v>619</v>
      </c>
      <c r="N125" s="2" t="s">
        <v>92</v>
      </c>
      <c r="O125" s="52" t="s">
        <v>909</v>
      </c>
      <c r="P125" s="2" t="s">
        <v>438</v>
      </c>
      <c r="Q125" s="4">
        <v>0</v>
      </c>
      <c r="R125" s="27">
        <v>0</v>
      </c>
      <c r="S125" s="4">
        <v>787000</v>
      </c>
      <c r="T125" s="4">
        <v>787000</v>
      </c>
      <c r="U125" s="34" t="s">
        <v>583</v>
      </c>
      <c r="V125" s="2" t="s">
        <v>688</v>
      </c>
      <c r="W125" s="82" t="s">
        <v>910</v>
      </c>
      <c r="X125" s="2" t="s">
        <v>429</v>
      </c>
      <c r="Y125" s="70" t="s">
        <v>209</v>
      </c>
      <c r="Z125" s="3" t="s">
        <v>25</v>
      </c>
      <c r="AA125" s="3" t="s">
        <v>26</v>
      </c>
      <c r="AB125" s="3" t="s">
        <v>26</v>
      </c>
      <c r="AC125" s="37" t="s">
        <v>289</v>
      </c>
      <c r="AD125" s="12" t="s">
        <v>422</v>
      </c>
      <c r="AE125" s="12" t="s">
        <v>146</v>
      </c>
      <c r="AF125" s="37" t="s">
        <v>147</v>
      </c>
    </row>
    <row r="126" spans="2:32" ht="50.25" customHeight="1" x14ac:dyDescent="0.3">
      <c r="B126" s="2" t="s">
        <v>160</v>
      </c>
      <c r="C126" s="2">
        <v>45895</v>
      </c>
      <c r="D126" s="2">
        <f>_xlfn.XLOOKUP(E126,[1]!Bookings[Booking Name],[1]!Bookings[Rejected Date])</f>
        <v>45895</v>
      </c>
      <c r="E126" s="39" t="s">
        <v>52</v>
      </c>
      <c r="F126" s="76" t="str">
        <f>_xlfn.XLOOKUP(E126,[1]!Bookings[Booking Name],[1]!Bookings[Booking Status])</f>
        <v>Rejected</v>
      </c>
      <c r="G126" s="2">
        <v>45869</v>
      </c>
      <c r="H126" s="3">
        <v>182</v>
      </c>
      <c r="I126" s="2" t="s">
        <v>442</v>
      </c>
      <c r="J126" s="2" t="s">
        <v>580</v>
      </c>
      <c r="K126" s="2" t="s">
        <v>485</v>
      </c>
      <c r="L126" s="2" t="s">
        <v>905</v>
      </c>
      <c r="M126" s="36" t="s">
        <v>619</v>
      </c>
      <c r="N126" s="2" t="s">
        <v>92</v>
      </c>
      <c r="O126" s="52" t="s">
        <v>909</v>
      </c>
      <c r="P126" s="2" t="s">
        <v>438</v>
      </c>
      <c r="Q126" s="4">
        <v>67100</v>
      </c>
      <c r="R126" s="27">
        <v>0.05</v>
      </c>
      <c r="S126" s="4">
        <v>1274900</v>
      </c>
      <c r="T126" s="4">
        <v>1342000</v>
      </c>
      <c r="U126" s="34" t="s">
        <v>583</v>
      </c>
      <c r="V126" s="2" t="s">
        <v>688</v>
      </c>
      <c r="W126" s="82" t="s">
        <v>911</v>
      </c>
      <c r="X126" s="2" t="s">
        <v>429</v>
      </c>
      <c r="Y126" s="70" t="s">
        <v>209</v>
      </c>
      <c r="Z126" s="90">
        <v>25000</v>
      </c>
      <c r="AA126" s="6">
        <v>1.8628912071535022E-2</v>
      </c>
      <c r="AB126" s="11" t="s">
        <v>31</v>
      </c>
      <c r="AC126" s="11" t="s">
        <v>54</v>
      </c>
      <c r="AD126" s="14" t="s">
        <v>307</v>
      </c>
      <c r="AE126" s="28" t="s">
        <v>88</v>
      </c>
      <c r="AF126" s="28" t="s">
        <v>106</v>
      </c>
    </row>
    <row r="127" spans="2:32" ht="50.25" customHeight="1" x14ac:dyDescent="0.3">
      <c r="B127" s="2" t="s">
        <v>160</v>
      </c>
      <c r="C127" s="2">
        <v>45894</v>
      </c>
      <c r="D127" s="2">
        <f>_xlfn.XLOOKUP(E127,[1]!Bookings[Booking Name],[1]!Bookings[Rejected Date])</f>
        <v>45895</v>
      </c>
      <c r="E127" s="39" t="s">
        <v>49</v>
      </c>
      <c r="F127" s="76" t="str">
        <f>_xlfn.XLOOKUP(E127,[1]!Bookings[Booking Name],[1]!Bookings[Booking Status])</f>
        <v>Rejected</v>
      </c>
      <c r="G127" s="2">
        <v>45856</v>
      </c>
      <c r="H127" s="3">
        <v>195</v>
      </c>
      <c r="I127" s="2" t="s">
        <v>442</v>
      </c>
      <c r="J127" s="2" t="s">
        <v>580</v>
      </c>
      <c r="K127" s="2" t="s">
        <v>444</v>
      </c>
      <c r="L127" s="2" t="s">
        <v>908</v>
      </c>
      <c r="M127" s="36" t="s">
        <v>619</v>
      </c>
      <c r="N127" s="2" t="s">
        <v>92</v>
      </c>
      <c r="O127" s="52" t="s">
        <v>912</v>
      </c>
      <c r="P127" s="2" t="s">
        <v>883</v>
      </c>
      <c r="Q127" s="4">
        <v>39350</v>
      </c>
      <c r="R127" s="27">
        <v>0.05</v>
      </c>
      <c r="S127" s="4">
        <v>747650</v>
      </c>
      <c r="T127" s="4">
        <v>787000</v>
      </c>
      <c r="U127" s="34" t="s">
        <v>583</v>
      </c>
      <c r="V127" s="2" t="s">
        <v>584</v>
      </c>
      <c r="W127" s="82" t="s">
        <v>913</v>
      </c>
      <c r="X127" s="2" t="s">
        <v>429</v>
      </c>
      <c r="Y127" s="70" t="s">
        <v>209</v>
      </c>
      <c r="Z127" s="90">
        <v>5000</v>
      </c>
      <c r="AA127" s="6">
        <v>6.3532401524777635E-3</v>
      </c>
      <c r="AB127" s="11" t="s">
        <v>31</v>
      </c>
      <c r="AC127" s="12" t="s">
        <v>970</v>
      </c>
      <c r="AD127" s="14" t="s">
        <v>306</v>
      </c>
      <c r="AE127" s="28" t="s">
        <v>87</v>
      </c>
      <c r="AF127" s="28" t="s">
        <v>107</v>
      </c>
    </row>
    <row r="128" spans="2:32" s="1" customFormat="1" ht="50.25" customHeight="1" x14ac:dyDescent="0.3">
      <c r="B128" s="2" t="s">
        <v>160</v>
      </c>
      <c r="C128" s="2">
        <v>45894</v>
      </c>
      <c r="D128" s="2">
        <f>_xlfn.XLOOKUP(E128,[1]!Bookings[Booking Name],[1]!Bookings[Rejected Date])</f>
        <v>45903</v>
      </c>
      <c r="E128" s="39" t="s">
        <v>48</v>
      </c>
      <c r="F128" s="76" t="str">
        <f>_xlfn.XLOOKUP(E128,[1]!Bookings[Booking Name],[1]!Bookings[Booking Status])</f>
        <v>Rejected</v>
      </c>
      <c r="G128" s="2">
        <v>45756</v>
      </c>
      <c r="H128" s="3">
        <v>295</v>
      </c>
      <c r="I128" s="2" t="s">
        <v>442</v>
      </c>
      <c r="J128" s="2" t="s">
        <v>443</v>
      </c>
      <c r="K128" s="2" t="s">
        <v>444</v>
      </c>
      <c r="L128" s="2" t="s">
        <v>914</v>
      </c>
      <c r="M128" s="36" t="s">
        <v>619</v>
      </c>
      <c r="N128" s="2" t="s">
        <v>92</v>
      </c>
      <c r="O128" s="52" t="s">
        <v>915</v>
      </c>
      <c r="P128" s="2" t="s">
        <v>916</v>
      </c>
      <c r="Q128" s="4">
        <v>0</v>
      </c>
      <c r="R128" s="27">
        <v>0</v>
      </c>
      <c r="S128" s="4">
        <v>710000</v>
      </c>
      <c r="T128" s="4">
        <v>710000</v>
      </c>
      <c r="U128" s="34" t="s">
        <v>917</v>
      </c>
      <c r="V128" s="2" t="s">
        <v>918</v>
      </c>
      <c r="W128" s="82" t="s">
        <v>919</v>
      </c>
      <c r="X128" s="2" t="s">
        <v>920</v>
      </c>
      <c r="Y128" s="70" t="s">
        <v>209</v>
      </c>
      <c r="Z128" s="90">
        <v>183000</v>
      </c>
      <c r="AA128" s="6">
        <v>0.25774647887323943</v>
      </c>
      <c r="AB128" s="11" t="s">
        <v>31</v>
      </c>
      <c r="AC128" s="12" t="s">
        <v>970</v>
      </c>
      <c r="AD128" s="107" t="s">
        <v>305</v>
      </c>
      <c r="AE128" s="28" t="s">
        <v>87</v>
      </c>
      <c r="AF128" s="28" t="s">
        <v>108</v>
      </c>
    </row>
    <row r="129" spans="2:32" s="1" customFormat="1" ht="50.25" customHeight="1" x14ac:dyDescent="0.3">
      <c r="B129" s="2" t="s">
        <v>160</v>
      </c>
      <c r="C129" s="2">
        <v>45894</v>
      </c>
      <c r="D129" s="2">
        <f>_xlfn.XLOOKUP(E129,[1]!Bookings[Booking Name],[1]!Bookings[Rejected Date])</f>
        <v>45904</v>
      </c>
      <c r="E129" s="39" t="s">
        <v>47</v>
      </c>
      <c r="F129" s="76" t="str">
        <f>_xlfn.XLOOKUP(E129,[1]!Bookings[Booking Name],[1]!Bookings[Booking Status])</f>
        <v>Rejected</v>
      </c>
      <c r="G129" s="2">
        <v>45818</v>
      </c>
      <c r="H129" s="3">
        <v>233</v>
      </c>
      <c r="I129" s="2" t="s">
        <v>484</v>
      </c>
      <c r="J129" s="2" t="s">
        <v>424</v>
      </c>
      <c r="K129" s="2" t="s">
        <v>574</v>
      </c>
      <c r="L129" s="2" t="s">
        <v>921</v>
      </c>
      <c r="M129" s="36" t="s">
        <v>446</v>
      </c>
      <c r="N129" s="2" t="s">
        <v>92</v>
      </c>
      <c r="O129" s="52" t="s">
        <v>922</v>
      </c>
      <c r="P129" s="2" t="s">
        <v>836</v>
      </c>
      <c r="Q129" s="4">
        <v>1000000</v>
      </c>
      <c r="R129" s="27">
        <v>0.16393442622950818</v>
      </c>
      <c r="S129" s="4">
        <v>5100000</v>
      </c>
      <c r="T129" s="4">
        <v>6100000</v>
      </c>
      <c r="U129" s="34" t="s">
        <v>865</v>
      </c>
      <c r="V129" s="2" t="s">
        <v>923</v>
      </c>
      <c r="W129" s="82" t="s">
        <v>924</v>
      </c>
      <c r="X129" s="2" t="s">
        <v>429</v>
      </c>
      <c r="Y129" s="70" t="s">
        <v>209</v>
      </c>
      <c r="Z129" s="5">
        <v>100000</v>
      </c>
      <c r="AA129" s="6">
        <v>1.9607843137254902E-2</v>
      </c>
      <c r="AB129" s="7" t="s">
        <v>31</v>
      </c>
      <c r="AC129" s="8" t="s">
        <v>50</v>
      </c>
      <c r="AD129" s="107" t="s">
        <v>304</v>
      </c>
      <c r="AE129" s="28" t="s">
        <v>32</v>
      </c>
      <c r="AF129" s="29" t="s">
        <v>112</v>
      </c>
    </row>
    <row r="130" spans="2:32" s="1" customFormat="1" ht="50.25" customHeight="1" x14ac:dyDescent="0.3">
      <c r="B130" s="2" t="s">
        <v>160</v>
      </c>
      <c r="C130" s="2">
        <v>45894</v>
      </c>
      <c r="D130" s="2">
        <f>_xlfn.XLOOKUP(E130,[1]!Bookings[Booking Name],[1]!Bookings[Rejected Date])</f>
        <v>45904</v>
      </c>
      <c r="E130" s="39" t="s">
        <v>45</v>
      </c>
      <c r="F130" s="76" t="str">
        <f>_xlfn.XLOOKUP(E130,[1]!Bookings[Booking Name],[1]!Bookings[Booking Status])</f>
        <v>Rejected</v>
      </c>
      <c r="G130" s="2">
        <v>45872</v>
      </c>
      <c r="H130" s="3">
        <v>179</v>
      </c>
      <c r="I130" s="2" t="s">
        <v>484</v>
      </c>
      <c r="J130" s="2" t="s">
        <v>424</v>
      </c>
      <c r="K130" s="2" t="s">
        <v>444</v>
      </c>
      <c r="L130" s="2" t="s">
        <v>925</v>
      </c>
      <c r="M130" s="36" t="s">
        <v>619</v>
      </c>
      <c r="N130" s="2" t="s">
        <v>92</v>
      </c>
      <c r="O130" s="52" t="s">
        <v>926</v>
      </c>
      <c r="P130" s="2" t="s">
        <v>916</v>
      </c>
      <c r="Q130" s="4">
        <v>22980</v>
      </c>
      <c r="R130" s="27">
        <v>0.02</v>
      </c>
      <c r="S130" s="4">
        <v>1126020</v>
      </c>
      <c r="T130" s="4">
        <v>1149000</v>
      </c>
      <c r="U130" s="34" t="s">
        <v>917</v>
      </c>
      <c r="V130" s="2" t="s">
        <v>927</v>
      </c>
      <c r="W130" s="82" t="s">
        <v>928</v>
      </c>
      <c r="X130" s="2" t="s">
        <v>429</v>
      </c>
      <c r="Y130" s="70" t="s">
        <v>209</v>
      </c>
      <c r="Z130" s="90">
        <v>4000</v>
      </c>
      <c r="AA130" s="6">
        <v>3.4812880765883376E-3</v>
      </c>
      <c r="AB130" s="3" t="s">
        <v>26</v>
      </c>
      <c r="AC130" s="8" t="s">
        <v>46</v>
      </c>
      <c r="AD130" s="107" t="s">
        <v>303</v>
      </c>
      <c r="AE130" s="28" t="s">
        <v>93</v>
      </c>
      <c r="AF130" s="28" t="s">
        <v>109</v>
      </c>
    </row>
    <row r="131" spans="2:32" s="1" customFormat="1" ht="50.25" customHeight="1" x14ac:dyDescent="0.3">
      <c r="B131" s="2" t="s">
        <v>160</v>
      </c>
      <c r="C131" s="2">
        <v>45873</v>
      </c>
      <c r="D131" s="2">
        <f>_xlfn.XLOOKUP(E131,[1]!Bookings[Booking Name],[1]!Bookings[Rejected Date])</f>
        <v>45876</v>
      </c>
      <c r="E131" s="39" t="s">
        <v>24</v>
      </c>
      <c r="F131" s="76" t="str">
        <f>_xlfn.XLOOKUP(E131,[1]!Bookings[Booking Name],[1]!Bookings[Booking Status])</f>
        <v>Rejected</v>
      </c>
      <c r="G131" s="2">
        <v>45859</v>
      </c>
      <c r="H131" s="3">
        <v>192</v>
      </c>
      <c r="I131" s="2" t="s">
        <v>442</v>
      </c>
      <c r="J131" s="2" t="s">
        <v>580</v>
      </c>
      <c r="K131" s="2" t="s">
        <v>574</v>
      </c>
      <c r="L131" s="2" t="s">
        <v>929</v>
      </c>
      <c r="M131" s="36" t="s">
        <v>426</v>
      </c>
      <c r="N131" s="2" t="s">
        <v>92</v>
      </c>
      <c r="O131" s="52" t="s">
        <v>930</v>
      </c>
      <c r="P131" s="2" t="s">
        <v>460</v>
      </c>
      <c r="Q131" s="4">
        <v>155850</v>
      </c>
      <c r="R131" s="27">
        <v>9.5321100917431192E-2</v>
      </c>
      <c r="S131" s="4">
        <v>1479150</v>
      </c>
      <c r="T131" s="4">
        <v>1635000</v>
      </c>
      <c r="U131" s="34" t="s">
        <v>741</v>
      </c>
      <c r="V131" s="2" t="s">
        <v>688</v>
      </c>
      <c r="W131" s="82" t="s">
        <v>931</v>
      </c>
      <c r="X131" s="2" t="s">
        <v>429</v>
      </c>
      <c r="Y131" s="70" t="s">
        <v>209</v>
      </c>
      <c r="Z131" s="3" t="s">
        <v>25</v>
      </c>
      <c r="AA131" s="3" t="s">
        <v>26</v>
      </c>
      <c r="AB131" s="3" t="s">
        <v>26</v>
      </c>
      <c r="AC131" s="9" t="s">
        <v>44</v>
      </c>
      <c r="AD131" s="107" t="s">
        <v>302</v>
      </c>
      <c r="AE131" s="28" t="s">
        <v>32</v>
      </c>
      <c r="AF131" s="29" t="s">
        <v>97</v>
      </c>
    </row>
    <row r="132" spans="2:32" ht="50.25" customHeight="1" x14ac:dyDescent="0.3">
      <c r="B132" s="2" t="s">
        <v>161</v>
      </c>
      <c r="C132" s="2">
        <v>45853</v>
      </c>
      <c r="D132" s="2">
        <f>_xlfn.XLOOKUP(E132,[1]!Bookings[Booking Name],[1]!Bookings[Rejected Date])</f>
        <v>45859</v>
      </c>
      <c r="E132" s="39" t="s">
        <v>27</v>
      </c>
      <c r="F132" s="76" t="str">
        <f>_xlfn.XLOOKUP(E132,[1]!Bookings[Booking Name],[1]!Bookings[Booking Status])</f>
        <v>Rejected</v>
      </c>
      <c r="G132" s="2">
        <v>45843</v>
      </c>
      <c r="H132" s="3">
        <v>208</v>
      </c>
      <c r="I132" s="2" t="s">
        <v>484</v>
      </c>
      <c r="J132" s="2" t="s">
        <v>424</v>
      </c>
      <c r="K132" s="2" t="s">
        <v>444</v>
      </c>
      <c r="L132" s="2" t="s">
        <v>869</v>
      </c>
      <c r="M132" s="36" t="s">
        <v>619</v>
      </c>
      <c r="N132" s="2" t="s">
        <v>92</v>
      </c>
      <c r="O132" s="52" t="s">
        <v>552</v>
      </c>
      <c r="P132" s="2" t="s">
        <v>553</v>
      </c>
      <c r="Q132" s="4">
        <v>0</v>
      </c>
      <c r="R132" s="27">
        <v>0</v>
      </c>
      <c r="S132" s="4">
        <v>1296000</v>
      </c>
      <c r="T132" s="4">
        <v>1296000</v>
      </c>
      <c r="U132" s="34" t="s">
        <v>554</v>
      </c>
      <c r="V132" s="2" t="s">
        <v>555</v>
      </c>
      <c r="W132" s="82" t="s">
        <v>932</v>
      </c>
      <c r="X132" s="2" t="s">
        <v>429</v>
      </c>
      <c r="Y132" s="70" t="s">
        <v>209</v>
      </c>
      <c r="Z132" s="3" t="s">
        <v>25</v>
      </c>
      <c r="AA132" s="110" t="s">
        <v>26</v>
      </c>
      <c r="AB132" s="110" t="s">
        <v>26</v>
      </c>
      <c r="AC132" s="9" t="s">
        <v>28</v>
      </c>
      <c r="AD132" s="107" t="s">
        <v>301</v>
      </c>
      <c r="AE132" s="28" t="s">
        <v>32</v>
      </c>
      <c r="AF132" s="28" t="s">
        <v>110</v>
      </c>
    </row>
    <row r="133" spans="2:32" ht="50.25" customHeight="1" x14ac:dyDescent="0.3">
      <c r="B133" s="2" t="s">
        <v>161</v>
      </c>
      <c r="C133" s="2">
        <v>45853</v>
      </c>
      <c r="D133" s="2">
        <f>_xlfn.XLOOKUP(E133,[1]!Bookings[Booking Name],[1]!Bookings[Rejected Date])</f>
        <v>45859</v>
      </c>
      <c r="E133" s="39" t="s">
        <v>29</v>
      </c>
      <c r="F133" s="76" t="str">
        <f>_xlfn.XLOOKUP(E133,[1]!Bookings[Booking Name],[1]!Bookings[Booking Status])</f>
        <v>Rejected</v>
      </c>
      <c r="G133" s="2">
        <v>45843</v>
      </c>
      <c r="H133" s="3">
        <v>208</v>
      </c>
      <c r="I133" s="2" t="s">
        <v>484</v>
      </c>
      <c r="J133" s="2" t="s">
        <v>424</v>
      </c>
      <c r="K133" s="2" t="s">
        <v>485</v>
      </c>
      <c r="L133" s="2" t="s">
        <v>933</v>
      </c>
      <c r="M133" s="36" t="s">
        <v>431</v>
      </c>
      <c r="N133" s="2" t="s">
        <v>92</v>
      </c>
      <c r="O133" s="52" t="s">
        <v>552</v>
      </c>
      <c r="P133" s="2" t="s">
        <v>553</v>
      </c>
      <c r="Q133" s="4">
        <v>0</v>
      </c>
      <c r="R133" s="27">
        <v>0</v>
      </c>
      <c r="S133" s="4">
        <v>2191000</v>
      </c>
      <c r="T133" s="4">
        <v>2191000</v>
      </c>
      <c r="U133" s="34" t="s">
        <v>554</v>
      </c>
      <c r="V133" s="2" t="s">
        <v>555</v>
      </c>
      <c r="W133" s="82" t="s">
        <v>934</v>
      </c>
      <c r="X133" s="2" t="s">
        <v>429</v>
      </c>
      <c r="Y133" s="70" t="s">
        <v>209</v>
      </c>
      <c r="Z133" s="3" t="s">
        <v>25</v>
      </c>
      <c r="AA133" s="110"/>
      <c r="AB133" s="110"/>
      <c r="AC133" s="9" t="s">
        <v>28</v>
      </c>
      <c r="AD133" s="107" t="s">
        <v>300</v>
      </c>
      <c r="AE133" s="28" t="s">
        <v>32</v>
      </c>
      <c r="AF133" s="28" t="s">
        <v>110</v>
      </c>
    </row>
    <row r="134" spans="2:32" ht="50.25" customHeight="1" x14ac:dyDescent="0.3">
      <c r="B134" s="2" t="s">
        <v>161</v>
      </c>
      <c r="C134" s="2">
        <v>45853</v>
      </c>
      <c r="D134" s="2">
        <f>_xlfn.XLOOKUP(E134,[1]!Bookings[Booking Name],[1]!Bookings[Rejected Date])</f>
        <v>45859</v>
      </c>
      <c r="E134" s="39" t="s">
        <v>30</v>
      </c>
      <c r="F134" s="76" t="str">
        <f>_xlfn.XLOOKUP(E134,[1]!Bookings[Booking Name],[1]!Bookings[Booking Status])</f>
        <v>Rejected</v>
      </c>
      <c r="G134" s="2">
        <v>45837</v>
      </c>
      <c r="H134" s="3">
        <v>214</v>
      </c>
      <c r="I134" s="2" t="s">
        <v>442</v>
      </c>
      <c r="J134" s="2" t="s">
        <v>580</v>
      </c>
      <c r="K134" s="2" t="s">
        <v>444</v>
      </c>
      <c r="L134" s="2" t="s">
        <v>935</v>
      </c>
      <c r="M134" s="36" t="s">
        <v>426</v>
      </c>
      <c r="N134" s="2" t="s">
        <v>92</v>
      </c>
      <c r="O134" s="52" t="s">
        <v>936</v>
      </c>
      <c r="P134" s="2" t="s">
        <v>871</v>
      </c>
      <c r="Q134" s="4">
        <v>53000</v>
      </c>
      <c r="R134" s="27">
        <v>6.5594059405940597E-2</v>
      </c>
      <c r="S134" s="4">
        <v>755000</v>
      </c>
      <c r="T134" s="4">
        <v>808000</v>
      </c>
      <c r="U134" s="34" t="s">
        <v>741</v>
      </c>
      <c r="V134" s="2" t="s">
        <v>688</v>
      </c>
      <c r="W134" s="82" t="s">
        <v>937</v>
      </c>
      <c r="X134" s="2" t="s">
        <v>429</v>
      </c>
      <c r="Y134" s="70" t="s">
        <v>209</v>
      </c>
      <c r="Z134" s="90">
        <v>15100</v>
      </c>
      <c r="AA134" s="6">
        <v>1.8688118811881187E-2</v>
      </c>
      <c r="AB134" s="3" t="s">
        <v>31</v>
      </c>
      <c r="AC134" s="9" t="s">
        <v>32</v>
      </c>
      <c r="AD134" s="107" t="s">
        <v>299</v>
      </c>
      <c r="AE134" s="28" t="s">
        <v>32</v>
      </c>
      <c r="AF134" s="29" t="s">
        <v>97</v>
      </c>
    </row>
    <row r="135" spans="2:32" ht="50.25" customHeight="1" x14ac:dyDescent="0.3">
      <c r="B135" s="2" t="s">
        <v>161</v>
      </c>
      <c r="C135" s="2">
        <v>45853</v>
      </c>
      <c r="D135" s="2">
        <f>_xlfn.XLOOKUP(E135,[1]!Bookings[Booking Name],[1]!Bookings[Rejected Date])</f>
        <v>45859</v>
      </c>
      <c r="E135" s="39" t="s">
        <v>33</v>
      </c>
      <c r="F135" s="76" t="str">
        <f>_xlfn.XLOOKUP(E135,[1]!Bookings[Booking Name],[1]!Bookings[Booking Status])</f>
        <v>Rejected</v>
      </c>
      <c r="G135" s="2">
        <v>45833</v>
      </c>
      <c r="H135" s="3">
        <v>218</v>
      </c>
      <c r="I135" s="2" t="s">
        <v>484</v>
      </c>
      <c r="J135" s="2" t="s">
        <v>424</v>
      </c>
      <c r="K135" s="2" t="s">
        <v>444</v>
      </c>
      <c r="L135" s="2" t="s">
        <v>938</v>
      </c>
      <c r="M135" s="36" t="s">
        <v>619</v>
      </c>
      <c r="N135" s="2" t="s">
        <v>92</v>
      </c>
      <c r="O135" s="52" t="s">
        <v>939</v>
      </c>
      <c r="P135" s="2" t="s">
        <v>559</v>
      </c>
      <c r="Q135" s="4">
        <v>0</v>
      </c>
      <c r="R135" s="27">
        <v>0</v>
      </c>
      <c r="S135" s="4">
        <v>1184000</v>
      </c>
      <c r="T135" s="4">
        <v>1184000</v>
      </c>
      <c r="U135" s="34" t="s">
        <v>79</v>
      </c>
      <c r="V135" s="2" t="s">
        <v>940</v>
      </c>
      <c r="W135" s="82" t="s">
        <v>941</v>
      </c>
      <c r="X135" s="2" t="s">
        <v>429</v>
      </c>
      <c r="Y135" s="70" t="s">
        <v>209</v>
      </c>
      <c r="Z135" s="3" t="s">
        <v>25</v>
      </c>
      <c r="AA135" s="3" t="s">
        <v>26</v>
      </c>
      <c r="AB135" s="3" t="s">
        <v>26</v>
      </c>
      <c r="AC135" s="9" t="s">
        <v>34</v>
      </c>
      <c r="AD135" s="107" t="s">
        <v>298</v>
      </c>
      <c r="AE135" s="28" t="s">
        <v>94</v>
      </c>
      <c r="AF135" s="28" t="s">
        <v>79</v>
      </c>
    </row>
    <row r="136" spans="2:32" ht="50.25" customHeight="1" x14ac:dyDescent="0.3">
      <c r="B136" s="2" t="s">
        <v>161</v>
      </c>
      <c r="C136" s="2">
        <v>45853</v>
      </c>
      <c r="D136" s="2">
        <f>_xlfn.XLOOKUP(E136,[1]!Bookings[Booking Name],[1]!Bookings[Rejected Date])</f>
        <v>45859</v>
      </c>
      <c r="E136" s="39" t="s">
        <v>35</v>
      </c>
      <c r="F136" s="76" t="str">
        <f>_xlfn.XLOOKUP(E136,[1]!Bookings[Booking Name],[1]!Bookings[Booking Status])</f>
        <v>Rejected</v>
      </c>
      <c r="G136" s="2">
        <v>45818</v>
      </c>
      <c r="H136" s="3">
        <v>233</v>
      </c>
      <c r="I136" s="2" t="s">
        <v>484</v>
      </c>
      <c r="J136" s="2" t="s">
        <v>424</v>
      </c>
      <c r="K136" s="2" t="s">
        <v>485</v>
      </c>
      <c r="L136" s="2" t="s">
        <v>942</v>
      </c>
      <c r="M136" s="36" t="s">
        <v>619</v>
      </c>
      <c r="N136" s="2" t="s">
        <v>92</v>
      </c>
      <c r="O136" s="52" t="s">
        <v>943</v>
      </c>
      <c r="P136" s="2" t="s">
        <v>525</v>
      </c>
      <c r="Q136" s="4">
        <v>0</v>
      </c>
      <c r="R136" s="27">
        <v>0</v>
      </c>
      <c r="S136" s="4">
        <v>2274000</v>
      </c>
      <c r="T136" s="4">
        <v>2274000</v>
      </c>
      <c r="U136" s="34" t="s">
        <v>822</v>
      </c>
      <c r="V136" s="2" t="s">
        <v>944</v>
      </c>
      <c r="W136" s="82" t="s">
        <v>945</v>
      </c>
      <c r="X136" s="2" t="s">
        <v>429</v>
      </c>
      <c r="Y136" s="70" t="s">
        <v>209</v>
      </c>
      <c r="Z136" s="3" t="s">
        <v>25</v>
      </c>
      <c r="AA136" s="6" t="s">
        <v>26</v>
      </c>
      <c r="AB136" s="3" t="s">
        <v>31</v>
      </c>
      <c r="AC136" s="104" t="s">
        <v>244</v>
      </c>
      <c r="AD136" s="107" t="s">
        <v>297</v>
      </c>
      <c r="AE136" s="28" t="s">
        <v>93</v>
      </c>
      <c r="AF136" s="28" t="s">
        <v>96</v>
      </c>
    </row>
    <row r="137" spans="2:32" ht="50.25" customHeight="1" x14ac:dyDescent="0.3">
      <c r="B137" s="2" t="s">
        <v>161</v>
      </c>
      <c r="C137" s="2">
        <v>45853</v>
      </c>
      <c r="D137" s="2">
        <f>_xlfn.XLOOKUP(E137,[1]!Bookings[Booking Name],[1]!Bookings[Rejected Date])</f>
        <v>45859</v>
      </c>
      <c r="E137" s="39" t="s">
        <v>36</v>
      </c>
      <c r="F137" s="76" t="str">
        <f>_xlfn.XLOOKUP(E137,[1]!Bookings[Booking Name],[1]!Bookings[Booking Status])</f>
        <v>Rejected</v>
      </c>
      <c r="G137" s="2">
        <v>45818</v>
      </c>
      <c r="H137" s="3">
        <v>233</v>
      </c>
      <c r="I137" s="2" t="s">
        <v>484</v>
      </c>
      <c r="J137" s="2" t="s">
        <v>424</v>
      </c>
      <c r="K137" s="2" t="s">
        <v>444</v>
      </c>
      <c r="L137" s="2" t="s">
        <v>946</v>
      </c>
      <c r="M137" s="36" t="s">
        <v>619</v>
      </c>
      <c r="N137" s="2" t="s">
        <v>92</v>
      </c>
      <c r="O137" s="52" t="s">
        <v>947</v>
      </c>
      <c r="P137" s="2" t="s">
        <v>862</v>
      </c>
      <c r="Q137" s="4">
        <v>0</v>
      </c>
      <c r="R137" s="27">
        <v>0</v>
      </c>
      <c r="S137" s="4">
        <v>1215000</v>
      </c>
      <c r="T137" s="4">
        <v>1215000</v>
      </c>
      <c r="U137" s="34" t="s">
        <v>541</v>
      </c>
      <c r="V137" s="2" t="s">
        <v>948</v>
      </c>
      <c r="W137" s="82" t="s">
        <v>949</v>
      </c>
      <c r="X137" s="2" t="s">
        <v>429</v>
      </c>
      <c r="Y137" s="70" t="s">
        <v>209</v>
      </c>
      <c r="Z137" s="90">
        <v>50010</v>
      </c>
      <c r="AA137" s="6">
        <v>4.1160493827160492E-2</v>
      </c>
      <c r="AB137" s="3" t="s">
        <v>37</v>
      </c>
      <c r="AC137" s="104" t="s">
        <v>244</v>
      </c>
      <c r="AD137" s="107" t="s">
        <v>296</v>
      </c>
      <c r="AE137" s="28" t="s">
        <v>93</v>
      </c>
      <c r="AF137" s="28" t="s">
        <v>96</v>
      </c>
    </row>
    <row r="138" spans="2:32" ht="50.25" customHeight="1" x14ac:dyDescent="0.3">
      <c r="B138" s="2" t="s">
        <v>161</v>
      </c>
      <c r="C138" s="2">
        <v>45853</v>
      </c>
      <c r="D138" s="2">
        <f>_xlfn.XLOOKUP(E138,[1]!Bookings[Booking Name],[1]!Bookings[Rejected Date])</f>
        <v>45855</v>
      </c>
      <c r="E138" s="39" t="s">
        <v>38</v>
      </c>
      <c r="F138" s="76" t="str">
        <f>_xlfn.XLOOKUP(E138,[1]!Bookings[Booking Name],[1]!Bookings[Booking Status])</f>
        <v>Rejected</v>
      </c>
      <c r="G138" s="2">
        <v>45817</v>
      </c>
      <c r="H138" s="3">
        <v>234</v>
      </c>
      <c r="I138" s="2" t="s">
        <v>484</v>
      </c>
      <c r="J138" s="2" t="s">
        <v>424</v>
      </c>
      <c r="K138" s="2" t="s">
        <v>485</v>
      </c>
      <c r="L138" s="2" t="s">
        <v>950</v>
      </c>
      <c r="M138" s="36" t="s">
        <v>619</v>
      </c>
      <c r="N138" s="2" t="s">
        <v>92</v>
      </c>
      <c r="O138" s="52" t="s">
        <v>951</v>
      </c>
      <c r="P138" s="2" t="s">
        <v>836</v>
      </c>
      <c r="Q138" s="4">
        <v>0</v>
      </c>
      <c r="R138" s="27">
        <v>0</v>
      </c>
      <c r="S138" s="4">
        <v>2654000</v>
      </c>
      <c r="T138" s="4">
        <v>2654000</v>
      </c>
      <c r="U138" s="34" t="s">
        <v>79</v>
      </c>
      <c r="V138" s="2" t="s">
        <v>952</v>
      </c>
      <c r="W138" s="82" t="s">
        <v>953</v>
      </c>
      <c r="X138" s="2" t="s">
        <v>429</v>
      </c>
      <c r="Y138" s="70" t="s">
        <v>209</v>
      </c>
      <c r="Z138" s="90">
        <v>199268.78</v>
      </c>
      <c r="AA138" s="10">
        <v>7.5082434061793518E-2</v>
      </c>
      <c r="AB138" s="3" t="s">
        <v>37</v>
      </c>
      <c r="AC138" s="9" t="s">
        <v>39</v>
      </c>
      <c r="AD138" s="107" t="s">
        <v>295</v>
      </c>
      <c r="AE138" s="28" t="s">
        <v>32</v>
      </c>
      <c r="AF138" s="29" t="s">
        <v>113</v>
      </c>
    </row>
    <row r="139" spans="2:32" ht="50.25" customHeight="1" x14ac:dyDescent="0.3">
      <c r="B139" s="2" t="s">
        <v>161</v>
      </c>
      <c r="C139" s="2">
        <v>45853</v>
      </c>
      <c r="D139" s="2">
        <f>_xlfn.XLOOKUP(E139,[1]!Bookings[Booking Name],[1]!Bookings[Rejected Date])</f>
        <v>45859</v>
      </c>
      <c r="E139" s="39" t="s">
        <v>40</v>
      </c>
      <c r="F139" s="76" t="str">
        <f>_xlfn.XLOOKUP(E139,[1]!Bookings[Booking Name],[1]!Bookings[Booking Status])</f>
        <v>Rejected</v>
      </c>
      <c r="G139" s="2">
        <v>45740</v>
      </c>
      <c r="H139" s="3">
        <v>311</v>
      </c>
      <c r="I139" s="2" t="s">
        <v>442</v>
      </c>
      <c r="J139" s="2" t="s">
        <v>580</v>
      </c>
      <c r="K139" s="2" t="s">
        <v>444</v>
      </c>
      <c r="L139" s="2" t="s">
        <v>954</v>
      </c>
      <c r="M139" s="36" t="s">
        <v>426</v>
      </c>
      <c r="N139" s="2" t="s">
        <v>92</v>
      </c>
      <c r="O139" s="52" t="s">
        <v>955</v>
      </c>
      <c r="P139" s="2" t="s">
        <v>471</v>
      </c>
      <c r="Q139" s="4">
        <v>52000</v>
      </c>
      <c r="R139" s="27">
        <v>6.5822784810126586E-2</v>
      </c>
      <c r="S139" s="4">
        <v>738000</v>
      </c>
      <c r="T139" s="4">
        <v>790000</v>
      </c>
      <c r="U139" s="34" t="s">
        <v>653</v>
      </c>
      <c r="V139" s="2" t="s">
        <v>903</v>
      </c>
      <c r="W139" s="82" t="s">
        <v>956</v>
      </c>
      <c r="X139" s="2" t="s">
        <v>957</v>
      </c>
      <c r="Y139" s="70" t="s">
        <v>209</v>
      </c>
      <c r="Z139" s="90">
        <v>20000</v>
      </c>
      <c r="AA139" s="10">
        <v>2.5316455696202531E-2</v>
      </c>
      <c r="AB139" s="3" t="s">
        <v>31</v>
      </c>
      <c r="AC139" s="3" t="s">
        <v>41</v>
      </c>
      <c r="AD139" s="14" t="s">
        <v>294</v>
      </c>
      <c r="AE139" s="28" t="s">
        <v>93</v>
      </c>
      <c r="AF139" s="28" t="s">
        <v>96</v>
      </c>
    </row>
    <row r="140" spans="2:32" ht="50.25" customHeight="1" x14ac:dyDescent="0.3">
      <c r="B140" s="2" t="s">
        <v>161</v>
      </c>
      <c r="C140" s="2">
        <v>45853</v>
      </c>
      <c r="D140" s="2">
        <f>_xlfn.XLOOKUP(E140,[1]!Bookings[Booking Name],[1]!Bookings[Rejected Date])</f>
        <v>45859</v>
      </c>
      <c r="E140" s="39" t="s">
        <v>42</v>
      </c>
      <c r="F140" s="76" t="str">
        <f>_xlfn.XLOOKUP(E140,[1]!Bookings[Booking Name],[1]!Bookings[Booking Status])</f>
        <v>Rejected</v>
      </c>
      <c r="G140" s="2">
        <v>45630</v>
      </c>
      <c r="H140" s="3">
        <v>421</v>
      </c>
      <c r="I140" s="2" t="s">
        <v>442</v>
      </c>
      <c r="J140" s="2" t="s">
        <v>580</v>
      </c>
      <c r="K140" s="2" t="s">
        <v>769</v>
      </c>
      <c r="L140" s="2" t="s">
        <v>958</v>
      </c>
      <c r="M140" s="36" t="s">
        <v>446</v>
      </c>
      <c r="N140" s="2" t="s">
        <v>92</v>
      </c>
      <c r="O140" s="52" t="s">
        <v>959</v>
      </c>
      <c r="P140" s="2" t="s">
        <v>960</v>
      </c>
      <c r="Q140" s="4">
        <v>797000</v>
      </c>
      <c r="R140" s="27">
        <v>0.15046252595808948</v>
      </c>
      <c r="S140" s="4">
        <v>4500000</v>
      </c>
      <c r="T140" s="4">
        <v>5297000</v>
      </c>
      <c r="U140" s="34" t="s">
        <v>865</v>
      </c>
      <c r="V140" s="2" t="s">
        <v>628</v>
      </c>
      <c r="W140" s="82" t="s">
        <v>961</v>
      </c>
      <c r="X140" s="2" t="s">
        <v>962</v>
      </c>
      <c r="Y140" s="70" t="s">
        <v>209</v>
      </c>
      <c r="Z140" s="90">
        <v>680000</v>
      </c>
      <c r="AA140" s="6">
        <v>0.12837455163299982</v>
      </c>
      <c r="AB140" s="3" t="s">
        <v>31</v>
      </c>
      <c r="AC140" s="9" t="s">
        <v>43</v>
      </c>
      <c r="AD140" s="107" t="s">
        <v>293</v>
      </c>
      <c r="AE140" s="28" t="s">
        <v>88</v>
      </c>
      <c r="AF140" s="28" t="s">
        <v>111</v>
      </c>
    </row>
  </sheetData>
  <mergeCells count="2">
    <mergeCell ref="AA132:AA133"/>
    <mergeCell ref="AB132:AB133"/>
  </mergeCells>
  <phoneticPr fontId="65" type="noConversion"/>
  <conditionalFormatting sqref="C62">
    <cfRule type="duplicateValues" dxfId="6" priority="3"/>
    <cfRule type="duplicateValues" dxfId="5" priority="4"/>
  </conditionalFormatting>
  <conditionalFormatting sqref="E1:E1048576">
    <cfRule type="duplicateValues" dxfId="4" priority="1"/>
    <cfRule type="duplicateValues" dxfId="3" priority="2"/>
    <cfRule type="duplicateValues" dxfId="2" priority="40"/>
  </conditionalFormatting>
  <conditionalFormatting sqref="R2:R140">
    <cfRule type="cellIs" dxfId="1" priority="5" operator="greaterThan">
      <formula>0.05</formula>
    </cfRule>
  </conditionalFormatting>
  <conditionalFormatting sqref="E2:E140">
    <cfRule type="duplicateValues" dxfId="0" priority="65"/>
  </conditionalFormatting>
  <hyperlinks>
    <hyperlink ref="E133" r:id="rId1" tooltip="Booking-804" display="https://power-speed-215.lightning.force.com/lightning/r/04iJ6000000lO3mIAE/view" xr:uid="{5AD42B37-2E88-44AC-9C0C-50A1FAB41062}"/>
    <hyperlink ref="E132" r:id="rId2" tooltip="Booking-806" display="https://power-speed-215.lightning.force.com/lightning/r/04iJ6000000lO3hIAE/view" xr:uid="{C32605E8-7D63-41DE-AFBB-A77D48AFEBF2}"/>
    <hyperlink ref="E135" r:id="rId3" tooltip="Booking-786" display="https://power-speed-215.lightning.force.com/lightning/r/04iJ6000000lNgnIAE/view" xr:uid="{B6F55839-2DA4-4CB3-A366-220EF31A1EBE}"/>
    <hyperlink ref="E140" r:id="rId4" tooltip="Booking-208" display="https://power-speed-215.lightning.force.com/lightning/r/04iJ6000000lNgiIAE/view" xr:uid="{FAC1AA98-EB95-4923-B362-C4A1CDA27295}"/>
    <hyperlink ref="E139" r:id="rId5" tooltip="Booking-541" display="https://power-speed-215.lightning.force.com/lightning/r/04iJ6000000lNgTIAU/view" xr:uid="{9CD95EDB-F2AB-4535-97BD-F770794E9ACC}"/>
    <hyperlink ref="E134" r:id="rId6" tooltip="Booking-795" display="https://power-speed-215.lightning.force.com/lightning/r/04iJ6000000lNDgIAM/view" xr:uid="{D25AFF07-9633-4A94-9B8B-2684DA704B87}"/>
    <hyperlink ref="E137" r:id="rId7" tooltip="Booking-734" display="https://power-speed-215.lightning.force.com/lightning/r/04iJ6000000lNDMIA2/view" xr:uid="{66DF6052-038A-41B8-8214-E9D137D6B70B}"/>
    <hyperlink ref="E138" r:id="rId8" tooltip="Booking-722" display="https://power-speed-215.lightning.force.com/lightning/r/04iJ6000000lMpFIAU/view" xr:uid="{AE0019AF-7973-4779-9D7E-E27E9D0DFA87}"/>
    <hyperlink ref="E131" r:id="rId9" display="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xr:uid="{1FB2687A-D79F-4837-B0E2-791C614C2B73}"/>
    <hyperlink ref="E136" r:id="rId10" tooltip="Booking-735" display="https://power-speed-215.lightning.force.com/lightning/r/04iJ6000000lNDWIA2/view" xr:uid="{2D8B131E-92E4-471E-A73D-534DF60A7B24}"/>
    <hyperlink ref="AD7" r:id="rId11" xr:uid="{89FE9E8C-FFD4-43EA-92F9-402A7B876AA8}"/>
    <hyperlink ref="AD8" r:id="rId12" xr:uid="{73361EE3-F9BC-4A6D-9E43-A54836300CC2}"/>
    <hyperlink ref="AD9" r:id="rId13" xr:uid="{AD3F7AF2-140B-4207-BC9F-F4B96333F9CD}"/>
    <hyperlink ref="AD10" r:id="rId14" xr:uid="{15E9FE3E-0E3E-4E17-9F8B-4779B30BEBCD}"/>
    <hyperlink ref="AD140" r:id="rId15" xr:uid="{7234B6E0-1261-4A45-9FE6-38CFFEA30982}"/>
    <hyperlink ref="AD139" r:id="rId16" xr:uid="{AD3FC4C9-EBF2-4B39-9168-F8ECBD3F600F}"/>
    <hyperlink ref="AD138" r:id="rId17" xr:uid="{75ED8ACD-B2CC-41C2-9740-94589AA63E99}"/>
    <hyperlink ref="AD137" r:id="rId18" xr:uid="{6EC6E22F-D1B9-4BD7-9264-B042B964102F}"/>
    <hyperlink ref="AD136" r:id="rId19" xr:uid="{76D5AA1C-C3A2-4B76-9675-39F09BE315A9}"/>
    <hyperlink ref="AD135" r:id="rId20" xr:uid="{48E7B35A-710C-487B-A7EC-633D90D4D88A}"/>
    <hyperlink ref="AD134" r:id="rId21" xr:uid="{CC514B1F-C1FB-4DDF-974B-78C60EB36A6E}"/>
    <hyperlink ref="AD133" r:id="rId22" xr:uid="{A75CC40E-890D-4571-8361-496B37DB26EF}"/>
    <hyperlink ref="AD132" r:id="rId23" xr:uid="{A6C79AD8-DD0C-4E33-ADA0-58D28F3179DF}"/>
    <hyperlink ref="AD131" r:id="rId24" xr:uid="{CAC05F22-F677-4516-AE63-A4DA9DFC2278}"/>
    <hyperlink ref="AD130" r:id="rId25" xr:uid="{8D4B0256-A881-4A3A-9ACA-0F0345BF1FBA}"/>
    <hyperlink ref="AD129" r:id="rId26" xr:uid="{96397653-DA61-48E6-9CB8-76B18F8F613F}"/>
    <hyperlink ref="AD128" r:id="rId27" xr:uid="{2AB2D764-5C9F-40E8-B7AB-1D4896B07F38}"/>
    <hyperlink ref="AD127" r:id="rId28" xr:uid="{8C8549C9-9E0D-4E46-BA44-1BE0A8C006A5}"/>
    <hyperlink ref="AD126" r:id="rId29" xr:uid="{B9BE5B94-129C-4298-BC2C-2FA49568C29A}"/>
    <hyperlink ref="AD123" r:id="rId30" xr:uid="{7B9F10BF-D331-4AD9-992C-105161A43162}"/>
    <hyperlink ref="AD121" r:id="rId31" xr:uid="{4EEF1287-BE59-4F23-A29D-018453E6567A}"/>
    <hyperlink ref="AD120" r:id="rId32" xr:uid="{B2AF063B-D0BA-4D2C-9B0C-B9DD7A2BBBC9}"/>
    <hyperlink ref="AD119" r:id="rId33" xr:uid="{97F1BB97-1BDA-4218-B241-5C51563900A9}"/>
    <hyperlink ref="AD118" r:id="rId34" xr:uid="{4EFDA98E-BB44-46A1-A706-E8F0E61329C4}"/>
    <hyperlink ref="AD117" r:id="rId35" xr:uid="{B291CD60-EC3D-4D5C-B7B7-027AAF8E06FB}"/>
    <hyperlink ref="AD115" r:id="rId36" xr:uid="{6816E971-A5D5-4B66-ADB3-C2FFB12AE068}"/>
    <hyperlink ref="AD114" r:id="rId37" xr:uid="{634707A0-1D4B-4F79-9927-EEC9408B1808}"/>
    <hyperlink ref="AD113" r:id="rId38" xr:uid="{65F165AB-1CC9-4842-813B-D402EB8ABE60}"/>
    <hyperlink ref="AD112" r:id="rId39" xr:uid="{ADD77CBC-01A4-4681-AF58-95AF15F7DD50}"/>
    <hyperlink ref="AD111" r:id="rId40" xr:uid="{F540587E-C354-412B-A4EE-69718B84A116}"/>
    <hyperlink ref="AD110" r:id="rId41" xr:uid="{E762E8C6-6F53-40D3-8F54-87FFBFACE33D}"/>
    <hyperlink ref="AD109" r:id="rId42" xr:uid="{ACE5A257-7C64-4310-B263-9FE946DE7DA6}"/>
    <hyperlink ref="AD108" r:id="rId43" xr:uid="{959B4262-F551-4DE2-99B7-71B32BD5E720}"/>
    <hyperlink ref="AD107" r:id="rId44" xr:uid="{42610CB0-9A3C-4059-A8E3-97C9D8CED267}"/>
    <hyperlink ref="AD106" r:id="rId45" xr:uid="{70801D2B-9DDD-4B15-83B3-E2CB5623C8D0}"/>
    <hyperlink ref="AD105" r:id="rId46" xr:uid="{BD7EC933-5C52-4187-ABD4-EDE08B940D02}"/>
    <hyperlink ref="AD104" r:id="rId47" xr:uid="{BCCC45AF-5608-40B3-965E-7CD67DF57D24}"/>
    <hyperlink ref="AD103" r:id="rId48" xr:uid="{5B2515F2-FA0F-4DE8-BE6F-6008FDAAE57E}"/>
    <hyperlink ref="AD102" r:id="rId49" xr:uid="{1306E2D1-9CCC-480D-BF54-2397C1064CB3}"/>
    <hyperlink ref="AD101" r:id="rId50" xr:uid="{E102A361-0B46-444C-9E8D-0161E5FD730C}"/>
    <hyperlink ref="AD100" r:id="rId51" xr:uid="{A9BD500B-E9ED-426D-A95D-9DC795D27F65}"/>
    <hyperlink ref="AD11" r:id="rId52" xr:uid="{C98D12FE-0A2D-4705-AE41-BBEE509AFD3E}"/>
    <hyperlink ref="AD12" r:id="rId53" xr:uid="{4305CC23-5262-4705-991A-CBCCC8AEA38D}"/>
    <hyperlink ref="AD13" r:id="rId54" xr:uid="{20A17B53-BC3F-4B5A-8F78-4CED1F4ADB45}"/>
    <hyperlink ref="AD14" r:id="rId55" xr:uid="{AC8B61A3-2DE2-483D-95BD-17A5FAB7A70D}"/>
    <hyperlink ref="AD15" r:id="rId56" xr:uid="{BE50AF03-54D5-4CF6-A71C-B9AF1A93FD4A}"/>
    <hyperlink ref="AD16" r:id="rId57" xr:uid="{3EED48C3-710C-4B20-B8C1-871078764EFE}"/>
    <hyperlink ref="AD17" r:id="rId58" xr:uid="{0AB33B4E-6C24-4C5A-843E-46C57A3A32C9}"/>
    <hyperlink ref="AD18" r:id="rId59" xr:uid="{720DB071-48FC-4967-8097-2AF1AE9C039F}"/>
    <hyperlink ref="AD19" r:id="rId60" xr:uid="{8009D7F3-168B-4027-A2D0-496E75217E4A}"/>
    <hyperlink ref="AD20" r:id="rId61" xr:uid="{D4030F83-5A35-4584-9735-18D2BC2DC98D}"/>
    <hyperlink ref="AD21" r:id="rId62" xr:uid="{8CAEAB4D-3AC9-4ED4-A2CF-CD212B28A7AB}"/>
    <hyperlink ref="AD22" r:id="rId63" xr:uid="{D523D8E7-1D3D-4AD6-BE79-25AECD1D0F25}"/>
    <hyperlink ref="AD23" r:id="rId64" xr:uid="{B54F7EFE-4CA4-406D-9227-ABB6E688030C}"/>
    <hyperlink ref="AD24" r:id="rId65" xr:uid="{EB2B305B-345A-4114-AD70-735D0AF1C2DF}"/>
    <hyperlink ref="AD25" r:id="rId66" xr:uid="{3764BAA0-D55C-4809-B073-6CE41B6022F4}"/>
    <hyperlink ref="AD26" r:id="rId67" xr:uid="{8B10A493-8C16-4EF9-BA38-7FF1651F2EFA}"/>
    <hyperlink ref="AD27" r:id="rId68" xr:uid="{46440612-FE9C-4580-A3C3-3878A7AE4357}"/>
    <hyperlink ref="AD28" r:id="rId69" xr:uid="{CC3CEDE4-1889-4410-8481-15B853CB2A9C}"/>
    <hyperlink ref="AD29" r:id="rId70" xr:uid="{39606A4A-6D34-4254-830B-910CC31E0C72}"/>
    <hyperlink ref="AD30" r:id="rId71" xr:uid="{3E787C46-5754-4956-B9D5-A0EE9DBE8401}"/>
    <hyperlink ref="AD31" r:id="rId72" xr:uid="{7319A0AF-D9BC-407F-B2A4-813AD3CF7FB3}"/>
    <hyperlink ref="AD32" r:id="rId73" xr:uid="{83B52F8B-111C-45FD-A4FF-BB84557374CB}"/>
    <hyperlink ref="AD33" r:id="rId74" xr:uid="{AC815383-0C2D-49E7-93C7-BC0285580AC5}"/>
    <hyperlink ref="AD34" r:id="rId75" xr:uid="{EB342976-32CF-442A-AEF1-AD17DE393B83}"/>
    <hyperlink ref="AD35" r:id="rId76" xr:uid="{B53DFB29-6264-401C-8B4A-B28EE3E0ED14}"/>
    <hyperlink ref="AD36" r:id="rId77" xr:uid="{60CB5531-F216-40AC-A2AB-504B63C7B09E}"/>
    <hyperlink ref="AD37" r:id="rId78" xr:uid="{73836B53-B15E-4BC2-A8EC-E5F1C259F4D2}"/>
    <hyperlink ref="AD38" r:id="rId79" xr:uid="{683873B6-139B-4F34-9D7E-8805EFC19456}"/>
    <hyperlink ref="AD39" r:id="rId80" xr:uid="{B3CBDDC9-73D2-4393-AC72-7A76EAA18F6F}"/>
    <hyperlink ref="AD40" r:id="rId81" xr:uid="{05AB22E7-D38A-4D3E-9752-8515D0ECC87A}"/>
    <hyperlink ref="AD41" r:id="rId82" xr:uid="{237320BE-8D97-44D7-A821-193B05638FFA}"/>
    <hyperlink ref="AD42" r:id="rId83" xr:uid="{E77CAD59-CF74-478D-800A-D91B948A47A5}"/>
    <hyperlink ref="AD43" r:id="rId84" xr:uid="{91BC1F73-5783-493E-8414-E148CF838E61}"/>
    <hyperlink ref="AD44" r:id="rId85" xr:uid="{F901DFAD-375D-435D-841F-6525F16B7FD6}"/>
    <hyperlink ref="AD45" r:id="rId86" xr:uid="{42205048-0E89-44AE-B07E-90B8E9F365C7}"/>
    <hyperlink ref="AD46" r:id="rId87" xr:uid="{96659F1B-2163-46F2-A709-B9CFEEAC9A61}"/>
    <hyperlink ref="AD47" r:id="rId88" xr:uid="{C97CB349-EA01-4BAB-AE05-D8E60875B99B}"/>
    <hyperlink ref="AD48" r:id="rId89" xr:uid="{D313A9D2-55C2-4E03-87C3-F75E6DC4CC3B}"/>
    <hyperlink ref="AD49" r:id="rId90" xr:uid="{8AACFA91-9858-424F-97FB-C4BA969416C5}"/>
    <hyperlink ref="AD50" r:id="rId91" xr:uid="{A3B188BA-3F00-433D-95E2-D2CF4EA31A08}"/>
    <hyperlink ref="AD51" r:id="rId92" xr:uid="{99C7DD2B-241A-4DEB-962B-E690F5B7208C}"/>
    <hyperlink ref="AD52" r:id="rId93" xr:uid="{204FAE0F-8AF6-47D8-9004-3813983F57F1}"/>
    <hyperlink ref="AD53" r:id="rId94" xr:uid="{3ECA1496-D278-4B2B-8D8F-91E74F80F115}"/>
    <hyperlink ref="AD99" r:id="rId95" xr:uid="{251868AE-7CA3-4A8E-8B34-E6B4E0516497}"/>
    <hyperlink ref="AD98" r:id="rId96" xr:uid="{5EBB66F7-9EDE-40FE-9760-327D205A5546}"/>
    <hyperlink ref="AD97" r:id="rId97" xr:uid="{EA091FDA-6001-4B0E-B6A7-8E3BEFE15271}"/>
    <hyperlink ref="AD96" r:id="rId98" xr:uid="{885E374F-3FEC-45F1-9DD5-2DD91B25B8E5}"/>
    <hyperlink ref="AD95" r:id="rId99" xr:uid="{FF68493D-8D9F-46A8-A293-7DB62ABADA40}"/>
    <hyperlink ref="AD94" r:id="rId100" xr:uid="{ABFB8D41-DF74-4CA9-9162-008EA9AE1254}"/>
    <hyperlink ref="AD93" r:id="rId101" xr:uid="{F61DCDCC-A0FE-4FB6-ACB5-72735AE7C168}"/>
    <hyperlink ref="AD92" r:id="rId102" xr:uid="{ACC6DFC3-8809-4E52-AF0D-58B96C791479}"/>
    <hyperlink ref="AD91" r:id="rId103" xr:uid="{DAB940C0-6D70-4EE8-B3C7-DCE8C10F6082}"/>
    <hyperlink ref="AD90" r:id="rId104" xr:uid="{2E890542-0D69-493E-B121-352DDCDC43B7}"/>
    <hyperlink ref="AD89" r:id="rId105" xr:uid="{1F56785E-8037-4DEA-BFDE-7E8105753449}"/>
    <hyperlink ref="AD88" r:id="rId106" xr:uid="{1E291266-1170-4884-97B1-57194AE413DF}"/>
    <hyperlink ref="AD87" r:id="rId107" xr:uid="{288782D2-92AF-4BA6-BE5E-456A72C4C784}"/>
    <hyperlink ref="AD86" r:id="rId108" xr:uid="{13823C9E-D859-43D7-B4AD-F2C2558CDF45}"/>
    <hyperlink ref="AD85" r:id="rId109" xr:uid="{D6C593EF-0956-4B01-A943-8993C2B1DF3A}"/>
    <hyperlink ref="AD84" r:id="rId110" xr:uid="{38A117C1-EBDC-4806-A2FE-703269E5D7E1}"/>
    <hyperlink ref="AD83" r:id="rId111" xr:uid="{A0930C84-B8A0-42DD-8666-5F3755461CBB}"/>
    <hyperlink ref="AD82" r:id="rId112" xr:uid="{2EF0475E-86A7-43E1-AD50-96835AD22768}"/>
    <hyperlink ref="AD81" r:id="rId113" xr:uid="{7345B0AB-4F1B-45B7-AE1E-14EEF2130F8D}"/>
    <hyperlink ref="AD80" r:id="rId114" xr:uid="{CF85FC86-0374-47D3-B7F3-18E3D087B85E}"/>
    <hyperlink ref="AD79" r:id="rId115" xr:uid="{C91192E1-7956-4756-9E7C-02D26EB8B75B}"/>
    <hyperlink ref="AD78" r:id="rId116" xr:uid="{DFFA3FFE-CCAE-49BC-93C0-7F8343E3C185}"/>
    <hyperlink ref="AD77" r:id="rId117" xr:uid="{A29C12D6-DF2F-4CC9-B6C5-279CD827EFB8}"/>
    <hyperlink ref="AD76" r:id="rId118" xr:uid="{338583E2-E230-4328-B6DA-E43D54FD3A75}"/>
    <hyperlink ref="AD75" r:id="rId119" xr:uid="{CCD71B13-0C5A-4D37-84FE-980244DBC317}"/>
    <hyperlink ref="AD74" r:id="rId120" xr:uid="{58A5B558-4B59-46C3-A245-46552046E41F}"/>
    <hyperlink ref="AD73" r:id="rId121" xr:uid="{5B1262CF-30EC-4572-80B0-E651CC0BDE53}"/>
    <hyperlink ref="AD72" r:id="rId122" xr:uid="{90B9B176-2E6F-422F-B435-0A9A7DDF180C}"/>
    <hyperlink ref="AD71" r:id="rId123" xr:uid="{1BD2DCFE-EA88-4088-B457-C26FF5C28B0D}"/>
    <hyperlink ref="AD70" r:id="rId124" xr:uid="{BC9FB265-AB3A-43BD-83B3-79D62E983495}"/>
    <hyperlink ref="AD69" r:id="rId125" xr:uid="{BDAE0906-57E0-4E1A-97C0-ACAE6482540A}"/>
    <hyperlink ref="AD68" r:id="rId126" xr:uid="{5FC8503A-94BA-4BD3-8052-7AE5051AE972}"/>
    <hyperlink ref="AD67" r:id="rId127" xr:uid="{3BCA7868-00EA-449B-BCA2-2E1A3F605B0B}"/>
    <hyperlink ref="AD66" r:id="rId128" xr:uid="{649DD187-7C1C-4640-AFCC-CA2D0E2E3A8E}"/>
    <hyperlink ref="AD65" r:id="rId129" xr:uid="{D42A80F2-8B80-4C80-86C9-0111FA4066BB}"/>
    <hyperlink ref="AD64" r:id="rId130" xr:uid="{8E757ED3-840A-422A-BCD8-AB075643C973}"/>
    <hyperlink ref="AD63" r:id="rId131" xr:uid="{01F97957-ED0F-4D24-B878-6AA7ECC2AD3A}"/>
    <hyperlink ref="AD62" r:id="rId132" xr:uid="{63730FFE-62AB-4320-BD10-7A2221AF73C3}"/>
    <hyperlink ref="AD61" r:id="rId133" xr:uid="{3F473BA7-E9E3-4729-8B3E-AB11D2DC2995}"/>
    <hyperlink ref="AD60" r:id="rId134" xr:uid="{E282BEAB-26A2-47E4-A180-3AD856A08815}"/>
    <hyperlink ref="AD59" r:id="rId135" xr:uid="{2777D459-2BD6-451F-9190-52A5953C96F9}"/>
    <hyperlink ref="AD58" r:id="rId136" xr:uid="{2830BEC0-6B8D-496E-9D0A-E9FEBAE7BE0A}"/>
    <hyperlink ref="AD57" r:id="rId137" xr:uid="{03F4CBC8-9212-4FB3-A371-24144C61FD07}"/>
    <hyperlink ref="AD56" r:id="rId138" xr:uid="{BE148C0E-95E3-4C55-9E04-147769023D4C}"/>
    <hyperlink ref="AD55" r:id="rId139" xr:uid="{5362CC92-ECB9-46CA-901E-12E884976B87}"/>
    <hyperlink ref="AD54" r:id="rId140" xr:uid="{DB2C55BF-841C-485C-85C3-0FDF0185B8C0}"/>
    <hyperlink ref="AD6" r:id="rId141" xr:uid="{B6604619-8B6F-4477-8D4D-445C919004EB}"/>
    <hyperlink ref="AD5" r:id="rId142" xr:uid="{524F36EA-A45D-44F6-9421-EFBE4382626D}"/>
    <hyperlink ref="AD4" r:id="rId143" xr:uid="{0EEF3E07-994F-4255-BBAF-BDC7EBAD8EBF}"/>
    <hyperlink ref="AD3" r:id="rId144" xr:uid="{1CCD1CA1-D283-4C94-AE32-0021D6B7C235}"/>
    <hyperlink ref="AD2" r:id="rId145" xr:uid="{129C040D-5C7F-4CEC-8414-414DFCAA1E92}"/>
  </hyperlinks>
  <pageMargins left="0.7" right="0.7" top="0.75" bottom="0.75" header="0.3" footer="0.3"/>
  <pageSetup orientation="portrait" r:id="rId146"/>
  <drawing r:id="rId147"/>
  <legacyDrawing r:id="rId1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52C4A-B54D-4472-85CD-608E7E87D056}">
  <dimension ref="B2:F70"/>
  <sheetViews>
    <sheetView showGridLines="0" zoomScale="85" zoomScaleNormal="85" workbookViewId="0">
      <selection activeCell="C16" sqref="C16"/>
    </sheetView>
  </sheetViews>
  <sheetFormatPr defaultColWidth="9" defaultRowHeight="16.5" x14ac:dyDescent="0.3"/>
  <cols>
    <col min="1" max="1" width="3" style="1" customWidth="1"/>
    <col min="2" max="2" width="18.5" style="1" bestFit="1" customWidth="1"/>
    <col min="3" max="3" width="6.375" style="1" bestFit="1" customWidth="1"/>
    <col min="4" max="4" width="5.125" style="1" customWidth="1"/>
    <col min="5" max="5" width="117.875" style="1" bestFit="1" customWidth="1"/>
    <col min="6" max="6" width="6.375" style="1" bestFit="1" customWidth="1"/>
    <col min="7" max="16384" width="9" style="1"/>
  </cols>
  <sheetData>
    <row r="2" spans="2:6" x14ac:dyDescent="0.3">
      <c r="E2" s="111" t="s">
        <v>118</v>
      </c>
      <c r="F2" s="111"/>
    </row>
    <row r="3" spans="2:6" x14ac:dyDescent="0.3">
      <c r="E3" s="31" t="s">
        <v>86</v>
      </c>
      <c r="F3" s="31" t="s">
        <v>116</v>
      </c>
    </row>
    <row r="4" spans="2:6" x14ac:dyDescent="0.3">
      <c r="E4" s="32" t="s">
        <v>93</v>
      </c>
      <c r="F4" s="33">
        <v>51</v>
      </c>
    </row>
    <row r="5" spans="2:6" x14ac:dyDescent="0.3">
      <c r="E5" s="108" t="s">
        <v>96</v>
      </c>
      <c r="F5" s="109">
        <v>35</v>
      </c>
    </row>
    <row r="6" spans="2:6" x14ac:dyDescent="0.3">
      <c r="E6" s="108" t="s">
        <v>139</v>
      </c>
      <c r="F6" s="109">
        <v>11</v>
      </c>
    </row>
    <row r="7" spans="2:6" x14ac:dyDescent="0.3">
      <c r="E7" s="108" t="s">
        <v>241</v>
      </c>
      <c r="F7" s="33">
        <v>4</v>
      </c>
    </row>
    <row r="8" spans="2:6" x14ac:dyDescent="0.3">
      <c r="E8" s="108" t="s">
        <v>109</v>
      </c>
      <c r="F8" s="109">
        <v>1</v>
      </c>
    </row>
    <row r="9" spans="2:6" x14ac:dyDescent="0.3">
      <c r="E9" s="32" t="s">
        <v>32</v>
      </c>
      <c r="F9" s="33">
        <v>23</v>
      </c>
    </row>
    <row r="10" spans="2:6" x14ac:dyDescent="0.3">
      <c r="E10" s="108" t="s">
        <v>97</v>
      </c>
      <c r="F10" s="109">
        <v>12</v>
      </c>
    </row>
    <row r="11" spans="2:6" x14ac:dyDescent="0.3">
      <c r="E11" s="108" t="s">
        <v>114</v>
      </c>
      <c r="F11" s="109">
        <v>5</v>
      </c>
    </row>
    <row r="12" spans="2:6" x14ac:dyDescent="0.3">
      <c r="E12" s="108" t="s">
        <v>110</v>
      </c>
      <c r="F12" s="109">
        <v>2</v>
      </c>
    </row>
    <row r="13" spans="2:6" x14ac:dyDescent="0.3">
      <c r="E13" s="108" t="s">
        <v>194</v>
      </c>
      <c r="F13" s="33">
        <v>1</v>
      </c>
    </row>
    <row r="14" spans="2:6" x14ac:dyDescent="0.3">
      <c r="B14" s="111" t="s">
        <v>117</v>
      </c>
      <c r="C14" s="111"/>
      <c r="E14" s="108" t="s">
        <v>104</v>
      </c>
      <c r="F14" s="109">
        <v>1</v>
      </c>
    </row>
    <row r="15" spans="2:6" x14ac:dyDescent="0.3">
      <c r="B15" s="31" t="s">
        <v>10</v>
      </c>
      <c r="C15" s="31" t="s">
        <v>116</v>
      </c>
      <c r="E15" s="108" t="s">
        <v>112</v>
      </c>
      <c r="F15" s="109">
        <v>1</v>
      </c>
    </row>
    <row r="16" spans="2:6" x14ac:dyDescent="0.3">
      <c r="B16" s="33" t="s">
        <v>92</v>
      </c>
      <c r="C16" s="33">
        <v>134</v>
      </c>
      <c r="E16" s="108" t="s">
        <v>113</v>
      </c>
      <c r="F16" s="109">
        <v>1</v>
      </c>
    </row>
    <row r="17" spans="2:6" x14ac:dyDescent="0.3">
      <c r="B17" s="33" t="s">
        <v>260</v>
      </c>
      <c r="C17" s="33">
        <v>1</v>
      </c>
      <c r="E17" s="32" t="s">
        <v>246</v>
      </c>
      <c r="F17" s="33">
        <v>16</v>
      </c>
    </row>
    <row r="18" spans="2:6" x14ac:dyDescent="0.3">
      <c r="B18" s="42" t="s">
        <v>115</v>
      </c>
      <c r="C18" s="42">
        <v>135</v>
      </c>
      <c r="E18" s="108" t="s">
        <v>246</v>
      </c>
      <c r="F18" s="33">
        <v>16</v>
      </c>
    </row>
    <row r="19" spans="2:6" x14ac:dyDescent="0.3">
      <c r="B19"/>
      <c r="C19"/>
      <c r="E19" s="32" t="s">
        <v>88</v>
      </c>
      <c r="F19" s="33">
        <v>15</v>
      </c>
    </row>
    <row r="20" spans="2:6" x14ac:dyDescent="0.3">
      <c r="E20" s="108" t="s">
        <v>105</v>
      </c>
      <c r="F20" s="109">
        <v>1</v>
      </c>
    </row>
    <row r="21" spans="2:6" x14ac:dyDescent="0.3">
      <c r="E21" s="108" t="s">
        <v>195</v>
      </c>
      <c r="F21" s="33">
        <v>1</v>
      </c>
    </row>
    <row r="22" spans="2:6" x14ac:dyDescent="0.3">
      <c r="E22" s="108" t="s">
        <v>170</v>
      </c>
      <c r="F22" s="33">
        <v>1</v>
      </c>
    </row>
    <row r="23" spans="2:6" x14ac:dyDescent="0.3">
      <c r="E23" s="108" t="s">
        <v>106</v>
      </c>
      <c r="F23" s="109">
        <v>1</v>
      </c>
    </row>
    <row r="24" spans="2:6" x14ac:dyDescent="0.3">
      <c r="E24" s="108" t="s">
        <v>250</v>
      </c>
      <c r="F24" s="33">
        <v>1</v>
      </c>
    </row>
    <row r="25" spans="2:6" x14ac:dyDescent="0.3">
      <c r="E25" s="108" t="s">
        <v>111</v>
      </c>
      <c r="F25" s="109">
        <v>1</v>
      </c>
    </row>
    <row r="26" spans="2:6" x14ac:dyDescent="0.3">
      <c r="E26" s="108" t="s">
        <v>163</v>
      </c>
      <c r="F26" s="33">
        <v>1</v>
      </c>
    </row>
    <row r="27" spans="2:6" x14ac:dyDescent="0.3">
      <c r="E27" s="108" t="s">
        <v>99</v>
      </c>
      <c r="F27" s="109">
        <v>1</v>
      </c>
    </row>
    <row r="28" spans="2:6" x14ac:dyDescent="0.3">
      <c r="E28" s="108" t="s">
        <v>198</v>
      </c>
      <c r="F28" s="33">
        <v>1</v>
      </c>
    </row>
    <row r="29" spans="2:6" x14ac:dyDescent="0.3">
      <c r="E29" s="108" t="s">
        <v>102</v>
      </c>
      <c r="F29" s="109">
        <v>1</v>
      </c>
    </row>
    <row r="30" spans="2:6" x14ac:dyDescent="0.3">
      <c r="E30" s="108" t="s">
        <v>267</v>
      </c>
      <c r="F30" s="33">
        <v>1</v>
      </c>
    </row>
    <row r="31" spans="2:6" x14ac:dyDescent="0.3">
      <c r="E31" s="108" t="s">
        <v>137</v>
      </c>
      <c r="F31" s="109">
        <v>1</v>
      </c>
    </row>
    <row r="32" spans="2:6" x14ac:dyDescent="0.3">
      <c r="E32" s="108" t="s">
        <v>284</v>
      </c>
      <c r="F32" s="33">
        <v>1</v>
      </c>
    </row>
    <row r="33" spans="5:6" x14ac:dyDescent="0.3">
      <c r="E33" s="108" t="s">
        <v>138</v>
      </c>
      <c r="F33" s="109">
        <v>1</v>
      </c>
    </row>
    <row r="34" spans="5:6" x14ac:dyDescent="0.3">
      <c r="E34" s="108" t="s">
        <v>157</v>
      </c>
      <c r="F34" s="33">
        <v>1</v>
      </c>
    </row>
    <row r="35" spans="5:6" x14ac:dyDescent="0.3">
      <c r="E35" s="32" t="s">
        <v>87</v>
      </c>
      <c r="F35" s="33">
        <v>8</v>
      </c>
    </row>
    <row r="36" spans="5:6" x14ac:dyDescent="0.3">
      <c r="E36" s="108" t="s">
        <v>213</v>
      </c>
      <c r="F36" s="33">
        <v>1</v>
      </c>
    </row>
    <row r="37" spans="5:6" x14ac:dyDescent="0.3">
      <c r="E37" s="108" t="s">
        <v>100</v>
      </c>
      <c r="F37" s="109">
        <v>1</v>
      </c>
    </row>
    <row r="38" spans="5:6" x14ac:dyDescent="0.3">
      <c r="E38" s="108" t="s">
        <v>107</v>
      </c>
      <c r="F38" s="109">
        <v>1</v>
      </c>
    </row>
    <row r="39" spans="5:6" x14ac:dyDescent="0.3">
      <c r="E39" s="108" t="s">
        <v>95</v>
      </c>
      <c r="F39" s="109">
        <v>1</v>
      </c>
    </row>
    <row r="40" spans="5:6" x14ac:dyDescent="0.3">
      <c r="E40" s="108" t="s">
        <v>145</v>
      </c>
      <c r="F40" s="33">
        <v>1</v>
      </c>
    </row>
    <row r="41" spans="5:6" x14ac:dyDescent="0.3">
      <c r="E41" s="108" t="s">
        <v>98</v>
      </c>
      <c r="F41" s="109">
        <v>1</v>
      </c>
    </row>
    <row r="42" spans="5:6" x14ac:dyDescent="0.3">
      <c r="E42" s="108" t="s">
        <v>108</v>
      </c>
      <c r="F42" s="109">
        <v>1</v>
      </c>
    </row>
    <row r="43" spans="5:6" x14ac:dyDescent="0.3">
      <c r="E43" s="108" t="s">
        <v>103</v>
      </c>
      <c r="F43" s="109">
        <v>1</v>
      </c>
    </row>
    <row r="44" spans="5:6" x14ac:dyDescent="0.3">
      <c r="E44" s="32" t="s">
        <v>221</v>
      </c>
      <c r="F44" s="33">
        <v>4</v>
      </c>
    </row>
    <row r="45" spans="5:6" x14ac:dyDescent="0.3">
      <c r="E45" s="108" t="s">
        <v>221</v>
      </c>
      <c r="F45" s="33">
        <v>4</v>
      </c>
    </row>
    <row r="46" spans="5:6" x14ac:dyDescent="0.3">
      <c r="E46" s="32" t="s">
        <v>94</v>
      </c>
      <c r="F46" s="33">
        <v>3</v>
      </c>
    </row>
    <row r="47" spans="5:6" x14ac:dyDescent="0.3">
      <c r="E47" s="108" t="s">
        <v>79</v>
      </c>
      <c r="F47" s="109">
        <v>2</v>
      </c>
    </row>
    <row r="48" spans="5:6" x14ac:dyDescent="0.3">
      <c r="E48" s="108" t="s">
        <v>101</v>
      </c>
      <c r="F48" s="109">
        <v>1</v>
      </c>
    </row>
    <row r="49" spans="5:6" x14ac:dyDescent="0.3">
      <c r="E49" s="32" t="s">
        <v>193</v>
      </c>
      <c r="F49" s="33">
        <v>2</v>
      </c>
    </row>
    <row r="50" spans="5:6" x14ac:dyDescent="0.3">
      <c r="E50" s="108" t="s">
        <v>192</v>
      </c>
      <c r="F50" s="33">
        <v>2</v>
      </c>
    </row>
    <row r="51" spans="5:6" x14ac:dyDescent="0.3">
      <c r="E51" s="32" t="s">
        <v>276</v>
      </c>
      <c r="F51" s="33">
        <v>2</v>
      </c>
    </row>
    <row r="52" spans="5:6" x14ac:dyDescent="0.3">
      <c r="E52" s="108" t="s">
        <v>282</v>
      </c>
      <c r="F52" s="33">
        <v>1</v>
      </c>
    </row>
    <row r="53" spans="5:6" x14ac:dyDescent="0.3">
      <c r="E53" s="108" t="s">
        <v>277</v>
      </c>
      <c r="F53" s="33">
        <v>1</v>
      </c>
    </row>
    <row r="54" spans="5:6" x14ac:dyDescent="0.3">
      <c r="E54" s="32" t="s">
        <v>289</v>
      </c>
      <c r="F54" s="33">
        <v>2</v>
      </c>
    </row>
    <row r="55" spans="5:6" x14ac:dyDescent="0.3">
      <c r="E55" s="108" t="s">
        <v>277</v>
      </c>
      <c r="F55" s="33">
        <v>2</v>
      </c>
    </row>
    <row r="56" spans="5:6" x14ac:dyDescent="0.3">
      <c r="E56" s="32" t="s">
        <v>131</v>
      </c>
      <c r="F56" s="33">
        <v>2</v>
      </c>
    </row>
    <row r="57" spans="5:6" x14ac:dyDescent="0.3">
      <c r="E57" s="108" t="s">
        <v>132</v>
      </c>
      <c r="F57" s="109">
        <v>2</v>
      </c>
    </row>
    <row r="58" spans="5:6" x14ac:dyDescent="0.3">
      <c r="E58" s="32" t="s">
        <v>146</v>
      </c>
      <c r="F58" s="33">
        <v>2</v>
      </c>
    </row>
    <row r="59" spans="5:6" x14ac:dyDescent="0.3">
      <c r="E59" s="108" t="s">
        <v>147</v>
      </c>
      <c r="F59" s="33">
        <v>2</v>
      </c>
    </row>
    <row r="60" spans="5:6" x14ac:dyDescent="0.3">
      <c r="E60" s="32" t="s">
        <v>290</v>
      </c>
      <c r="F60" s="33">
        <v>1</v>
      </c>
    </row>
    <row r="61" spans="5:6" x14ac:dyDescent="0.3">
      <c r="E61" s="108" t="s">
        <v>290</v>
      </c>
      <c r="F61" s="33">
        <v>1</v>
      </c>
    </row>
    <row r="62" spans="5:6" x14ac:dyDescent="0.3">
      <c r="E62" s="32" t="s">
        <v>176</v>
      </c>
      <c r="F62" s="33">
        <v>1</v>
      </c>
    </row>
    <row r="63" spans="5:6" x14ac:dyDescent="0.3">
      <c r="E63" s="108" t="s">
        <v>176</v>
      </c>
      <c r="F63" s="33">
        <v>1</v>
      </c>
    </row>
    <row r="64" spans="5:6" x14ac:dyDescent="0.3">
      <c r="E64" s="32" t="s">
        <v>141</v>
      </c>
      <c r="F64" s="33">
        <v>1</v>
      </c>
    </row>
    <row r="65" spans="5:6" x14ac:dyDescent="0.3">
      <c r="E65" s="108" t="s">
        <v>152</v>
      </c>
      <c r="F65" s="33">
        <v>1</v>
      </c>
    </row>
    <row r="66" spans="5:6" x14ac:dyDescent="0.3">
      <c r="E66" s="32" t="s">
        <v>253</v>
      </c>
      <c r="F66" s="33">
        <v>1</v>
      </c>
    </row>
    <row r="67" spans="5:6" x14ac:dyDescent="0.3">
      <c r="E67" s="108" t="s">
        <v>253</v>
      </c>
      <c r="F67" s="33">
        <v>1</v>
      </c>
    </row>
    <row r="68" spans="5:6" x14ac:dyDescent="0.3">
      <c r="E68" s="32" t="s">
        <v>178</v>
      </c>
      <c r="F68" s="33">
        <v>1</v>
      </c>
    </row>
    <row r="69" spans="5:6" x14ac:dyDescent="0.3">
      <c r="E69" s="108" t="s">
        <v>179</v>
      </c>
      <c r="F69" s="33">
        <v>1</v>
      </c>
    </row>
    <row r="70" spans="5:6" x14ac:dyDescent="0.3">
      <c r="E70" s="31" t="s">
        <v>115</v>
      </c>
      <c r="F70" s="31">
        <v>135</v>
      </c>
    </row>
  </sheetData>
  <mergeCells count="2">
    <mergeCell ref="E2:F2"/>
    <mergeCell ref="B14:C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45A699CB07A064196BBEBF5EFDF8D2B" ma:contentTypeVersion="12" ma:contentTypeDescription="Create a new document." ma:contentTypeScope="" ma:versionID="fa8c2141ed10354e8e6f10fb0ee33d29">
  <xsd:schema xmlns:xsd="http://www.w3.org/2001/XMLSchema" xmlns:xs="http://www.w3.org/2001/XMLSchema" xmlns:p="http://schemas.microsoft.com/office/2006/metadata/properties" xmlns:ns2="c7f59a0b-1b42-46b6-8657-dd6335d9912e" xmlns:ns3="9664fe52-1f57-4564-8c31-42882f7d6b14" targetNamespace="http://schemas.microsoft.com/office/2006/metadata/properties" ma:root="true" ma:fieldsID="3786aa672823bf3698a4eda5e7fa9ce7" ns2:_="" ns3:_="">
    <xsd:import namespace="c7f59a0b-1b42-46b6-8657-dd6335d9912e"/>
    <xsd:import namespace="9664fe52-1f57-4564-8c31-42882f7d6b1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f59a0b-1b42-46b6-8657-dd6335d991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6a5c31-0e00-4f4c-8e7b-7a1927c7b14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64fe52-1f57-4564-8c31-42882f7d6b1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0b7ea71-8f9d-4571-883a-a59026d93b34}" ma:internalName="TaxCatchAll" ma:showField="CatchAllData" ma:web="9664fe52-1f57-4564-8c31-42882f7d6b1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7f59a0b-1b42-46b6-8657-dd6335d9912e">
      <Terms xmlns="http://schemas.microsoft.com/office/infopath/2007/PartnerControls"/>
    </lcf76f155ced4ddcb4097134ff3c332f>
    <TaxCatchAll xmlns="9664fe52-1f57-4564-8c31-42882f7d6b1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B54404-DE12-4895-B77E-7320CA6AF1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f59a0b-1b42-46b6-8657-dd6335d9912e"/>
    <ds:schemaRef ds:uri="9664fe52-1f57-4564-8c31-42882f7d6b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A3DEEE9-5E21-493C-9A97-BFFB2316A78D}">
  <ds:schemaRefs>
    <ds:schemaRef ds:uri="http://schemas.microsoft.com/office/2006/metadata/properties"/>
    <ds:schemaRef ds:uri="http://schemas.microsoft.com/office/infopath/2007/PartnerControls"/>
    <ds:schemaRef ds:uri="c7f59a0b-1b42-46b6-8657-dd6335d9912e"/>
    <ds:schemaRef ds:uri="9664fe52-1f57-4564-8c31-42882f7d6b14"/>
  </ds:schemaRefs>
</ds:datastoreItem>
</file>

<file path=customXml/itemProps3.xml><?xml version="1.0" encoding="utf-8"?>
<ds:datastoreItem xmlns:ds="http://schemas.openxmlformats.org/officeDocument/2006/customXml" ds:itemID="{87BCE70C-AECF-4407-BA9A-F693A6D5212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Rejected Bookings</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Norton Araujo</dc:creator>
  <cp:lastModifiedBy>Norton Araujo</cp:lastModifiedBy>
  <dcterms:created xsi:type="dcterms:W3CDTF">2025-08-07T07:09:21Z</dcterms:created>
  <dcterms:modified xsi:type="dcterms:W3CDTF">2026-01-30T14:25:36Z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0x010100745A699CB07A064196BBEBF5EFDF8D2B</vt:lpwstr>
  </property>
  <property fmtid="{D5CDD505-2E9C-101B-9397-08002B2CF9AE}" pid="3" name="MediaServiceImageTags">
    <vt:lpwstr/>
  </property>
</Properties>
</file>