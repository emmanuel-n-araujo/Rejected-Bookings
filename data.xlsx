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https://onedevelopmentuae.sharepoint.com/sites/StrategyAnalytics/Shared Documents/03 Users/Norton/"/>
    </mc:Choice>
  </mc:AlternateContent>
  <xr:revisionPtr revIDLastSave="611" documentId="13_ncr:1_{A34007EC-B464-429B-A41A-3388CCFAC476}" xr6:coauthVersionLast="47" xr6:coauthVersionMax="47" xr10:uidLastSave="{8F90695B-45B5-46BC-B8DB-60BBCBC59132}"/>
  <bookViews>
    <workbookView xWindow="-120" yWindow="-120" windowWidth="29040" windowHeight="15720" xr2:uid="{CA9229F7-C805-43B7-9E99-AD5BEE88CCE6}"/>
  </bookViews>
  <sheets>
    <sheet name="Rejected Bookings" sheetId="1" r:id="rId1"/>
    <sheet name="Summary" sheetId="2" r:id="rId2"/>
  </sheets>
  <externalReferences>
    <externalReference r:id="rId3"/>
  </externalReferences>
  <definedNames>
    <definedName name="_xlnm._FilterDatabase" localSheetId="0" hidden="1">'Rejected Bookings'!$B$1:$AF$154</definedName>
  </definedNames>
  <calcPr calcId="191029"/>
  <pivotCaches>
    <pivotCache cacheId="1" r:id="rId4"/>
    <pivotCache cacheId="2"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 i="1" l="1"/>
  <c r="R8" i="1"/>
  <c r="R7" i="1"/>
  <c r="R10" i="1"/>
  <c r="R41" i="1"/>
  <c r="R13" i="1"/>
  <c r="R30" i="1"/>
  <c r="R28" i="1"/>
  <c r="R55" i="1"/>
  <c r="R51" i="1"/>
  <c r="R64" i="1"/>
  <c r="R66" i="1"/>
  <c r="R85" i="1"/>
  <c r="R65" i="1"/>
  <c r="R73" i="1"/>
  <c r="R48" i="1"/>
  <c r="R89" i="1"/>
  <c r="R90" i="1"/>
  <c r="R54" i="1"/>
  <c r="R97" i="1"/>
  <c r="R111" i="1"/>
  <c r="R100" i="1"/>
  <c r="R105" i="1"/>
  <c r="R135" i="1"/>
  <c r="R136" i="1"/>
  <c r="R59" i="1"/>
  <c r="R139" i="1"/>
  <c r="R122" i="1"/>
  <c r="R149" i="1"/>
  <c r="R150" i="1"/>
  <c r="R152" i="1"/>
  <c r="R142" i="1"/>
  <c r="R72" i="1"/>
  <c r="R154" i="1"/>
  <c r="R45" i="1"/>
  <c r="R144" i="1"/>
  <c r="R125" i="1"/>
  <c r="R99" i="1"/>
  <c r="R118" i="1"/>
  <c r="R120" i="1"/>
  <c r="R127" i="1"/>
  <c r="R37" i="1"/>
  <c r="R63" i="1"/>
  <c r="R70" i="1"/>
  <c r="R62" i="1"/>
  <c r="R112" i="1"/>
  <c r="R113" i="1"/>
  <c r="R115" i="1"/>
  <c r="R121" i="1"/>
  <c r="R129" i="1"/>
  <c r="R16" i="1"/>
  <c r="R24" i="1"/>
  <c r="R26" i="1"/>
  <c r="R40" i="1"/>
  <c r="R20" i="1"/>
  <c r="R36" i="1"/>
  <c r="R3" i="1"/>
  <c r="R25" i="1"/>
  <c r="R4" i="1"/>
  <c r="R86" i="1"/>
  <c r="R78" i="1"/>
  <c r="R87" i="1"/>
  <c r="R61" i="1"/>
  <c r="R57" i="1"/>
  <c r="R68" i="1"/>
  <c r="R102" i="1"/>
  <c r="R116" i="1"/>
  <c r="R50" i="1"/>
  <c r="R131" i="1"/>
  <c r="R140" i="1"/>
  <c r="R141" i="1"/>
  <c r="R6" i="1"/>
  <c r="R9" i="1"/>
  <c r="R35" i="1"/>
  <c r="R43" i="1"/>
  <c r="R18" i="1"/>
  <c r="R53" i="1"/>
  <c r="R93" i="1"/>
  <c r="R91" i="1"/>
  <c r="R114" i="1"/>
  <c r="R88" i="1"/>
  <c r="R60" i="1"/>
  <c r="R69" i="1"/>
  <c r="R137" i="1"/>
  <c r="R151" i="1"/>
  <c r="R148" i="1"/>
  <c r="R124" i="1"/>
  <c r="R79" i="1"/>
  <c r="R39" i="1"/>
  <c r="R71" i="1"/>
  <c r="R74" i="1"/>
  <c r="R81" i="1"/>
  <c r="R76" i="1"/>
  <c r="R23" i="1"/>
  <c r="R42" i="1"/>
  <c r="R44" i="1"/>
  <c r="R15" i="1"/>
  <c r="R46" i="1"/>
  <c r="R119" i="1"/>
  <c r="R21" i="1"/>
  <c r="R11" i="1"/>
  <c r="R67" i="1"/>
  <c r="R82" i="1"/>
  <c r="R134" i="1"/>
  <c r="F2" i="1"/>
  <c r="G2" i="1"/>
  <c r="H2" i="1"/>
  <c r="I2" i="1"/>
  <c r="J2" i="1"/>
  <c r="K2" i="1"/>
  <c r="L2" i="1"/>
  <c r="M2" i="1"/>
  <c r="N2" i="1"/>
  <c r="O2" i="1"/>
  <c r="P2" i="1"/>
  <c r="Q2" i="1"/>
  <c r="S2" i="1"/>
  <c r="T2" i="1"/>
  <c r="U2" i="1"/>
  <c r="V2" i="1"/>
  <c r="W2" i="1"/>
  <c r="X2" i="1"/>
  <c r="F3" i="1"/>
  <c r="G3" i="1"/>
  <c r="H3" i="1"/>
  <c r="I3" i="1"/>
  <c r="J3" i="1"/>
  <c r="K3" i="1"/>
  <c r="L3" i="1"/>
  <c r="M3" i="1"/>
  <c r="N3" i="1"/>
  <c r="O3" i="1"/>
  <c r="P3" i="1"/>
  <c r="Q3" i="1"/>
  <c r="S3" i="1"/>
  <c r="T3" i="1"/>
  <c r="U3" i="1"/>
  <c r="V3" i="1"/>
  <c r="W3" i="1"/>
  <c r="X3" i="1"/>
  <c r="D2" i="1"/>
  <c r="D3" i="1"/>
  <c r="D4" i="1"/>
  <c r="F4" i="1"/>
  <c r="G4" i="1"/>
  <c r="H4" i="1"/>
  <c r="I4" i="1"/>
  <c r="J4" i="1"/>
  <c r="K4" i="1"/>
  <c r="L4" i="1"/>
  <c r="M4" i="1"/>
  <c r="N4" i="1"/>
  <c r="O4" i="1"/>
  <c r="P4" i="1"/>
  <c r="Q4" i="1"/>
  <c r="S4" i="1"/>
  <c r="AA4" i="1" s="1"/>
  <c r="T4" i="1"/>
  <c r="U4" i="1"/>
  <c r="V4" i="1"/>
  <c r="W4" i="1"/>
  <c r="X4" i="1"/>
  <c r="D5" i="1"/>
  <c r="F5" i="1"/>
  <c r="G5" i="1"/>
  <c r="H5" i="1"/>
  <c r="I5" i="1"/>
  <c r="J5" i="1"/>
  <c r="K5" i="1"/>
  <c r="L5" i="1"/>
  <c r="M5" i="1"/>
  <c r="N5" i="1"/>
  <c r="O5" i="1"/>
  <c r="P5" i="1"/>
  <c r="Q5" i="1"/>
  <c r="R5" i="1"/>
  <c r="S5" i="1"/>
  <c r="AA5" i="1" s="1"/>
  <c r="T5" i="1"/>
  <c r="U5" i="1"/>
  <c r="V5" i="1"/>
  <c r="W5" i="1"/>
  <c r="X5" i="1"/>
  <c r="D6" i="1"/>
  <c r="F6" i="1"/>
  <c r="G6" i="1"/>
  <c r="H6" i="1"/>
  <c r="I6" i="1"/>
  <c r="J6" i="1"/>
  <c r="K6" i="1"/>
  <c r="L6" i="1"/>
  <c r="M6" i="1"/>
  <c r="N6" i="1"/>
  <c r="O6" i="1"/>
  <c r="P6" i="1"/>
  <c r="Q6" i="1"/>
  <c r="S6" i="1"/>
  <c r="T6" i="1"/>
  <c r="U6" i="1"/>
  <c r="V6" i="1"/>
  <c r="W6" i="1"/>
  <c r="X6" i="1"/>
  <c r="D7" i="1"/>
  <c r="F7" i="1"/>
  <c r="G7" i="1"/>
  <c r="H7" i="1"/>
  <c r="I7" i="1"/>
  <c r="J7" i="1"/>
  <c r="K7" i="1"/>
  <c r="L7" i="1"/>
  <c r="M7" i="1"/>
  <c r="N7" i="1"/>
  <c r="O7" i="1"/>
  <c r="P7" i="1"/>
  <c r="Q7" i="1"/>
  <c r="S7" i="1"/>
  <c r="T7" i="1"/>
  <c r="U7" i="1"/>
  <c r="V7" i="1"/>
  <c r="W7" i="1"/>
  <c r="X7" i="1"/>
  <c r="D8" i="1"/>
  <c r="F8" i="1"/>
  <c r="G8" i="1"/>
  <c r="H8" i="1"/>
  <c r="I8" i="1"/>
  <c r="J8" i="1"/>
  <c r="K8" i="1"/>
  <c r="L8" i="1"/>
  <c r="M8" i="1"/>
  <c r="N8" i="1"/>
  <c r="O8" i="1"/>
  <c r="P8" i="1"/>
  <c r="Q8" i="1"/>
  <c r="S8" i="1"/>
  <c r="T8" i="1"/>
  <c r="U8" i="1"/>
  <c r="V8" i="1"/>
  <c r="W8" i="1"/>
  <c r="X8" i="1"/>
  <c r="D9" i="1"/>
  <c r="F9" i="1"/>
  <c r="G9" i="1"/>
  <c r="H9" i="1"/>
  <c r="I9" i="1"/>
  <c r="J9" i="1"/>
  <c r="K9" i="1"/>
  <c r="L9" i="1"/>
  <c r="M9" i="1"/>
  <c r="N9" i="1"/>
  <c r="O9" i="1"/>
  <c r="P9" i="1"/>
  <c r="Q9" i="1"/>
  <c r="S9" i="1"/>
  <c r="T9" i="1"/>
  <c r="U9" i="1"/>
  <c r="V9" i="1"/>
  <c r="W9" i="1"/>
  <c r="X9" i="1"/>
  <c r="D10" i="1"/>
  <c r="F10" i="1"/>
  <c r="G10" i="1"/>
  <c r="H10" i="1"/>
  <c r="I10" i="1"/>
  <c r="J10" i="1"/>
  <c r="K10" i="1"/>
  <c r="L10" i="1"/>
  <c r="M10" i="1"/>
  <c r="N10" i="1"/>
  <c r="O10" i="1"/>
  <c r="P10" i="1"/>
  <c r="Q10" i="1"/>
  <c r="S10" i="1"/>
  <c r="T10" i="1"/>
  <c r="U10" i="1"/>
  <c r="V10" i="1"/>
  <c r="W10" i="1"/>
  <c r="X10" i="1"/>
  <c r="D11" i="1"/>
  <c r="F11" i="1"/>
  <c r="G11" i="1"/>
  <c r="H11" i="1"/>
  <c r="I11" i="1"/>
  <c r="J11" i="1"/>
  <c r="K11" i="1"/>
  <c r="L11" i="1"/>
  <c r="M11" i="1"/>
  <c r="N11" i="1"/>
  <c r="O11" i="1"/>
  <c r="P11" i="1"/>
  <c r="Q11" i="1"/>
  <c r="S11" i="1"/>
  <c r="T11" i="1"/>
  <c r="U11" i="1"/>
  <c r="V11" i="1"/>
  <c r="W11" i="1"/>
  <c r="X11" i="1"/>
  <c r="D12" i="1"/>
  <c r="F12" i="1"/>
  <c r="G12" i="1"/>
  <c r="H12" i="1"/>
  <c r="I12" i="1"/>
  <c r="J12" i="1"/>
  <c r="K12" i="1"/>
  <c r="L12" i="1"/>
  <c r="M12" i="1"/>
  <c r="N12" i="1"/>
  <c r="O12" i="1"/>
  <c r="P12" i="1"/>
  <c r="Q12" i="1"/>
  <c r="R12" i="1"/>
  <c r="S12" i="1"/>
  <c r="T12" i="1"/>
  <c r="U12" i="1"/>
  <c r="V12" i="1"/>
  <c r="W12" i="1"/>
  <c r="X12" i="1"/>
  <c r="D13" i="1"/>
  <c r="F13" i="1"/>
  <c r="G13" i="1"/>
  <c r="H13" i="1"/>
  <c r="I13" i="1"/>
  <c r="J13" i="1"/>
  <c r="K13" i="1"/>
  <c r="L13" i="1"/>
  <c r="M13" i="1"/>
  <c r="N13" i="1"/>
  <c r="O13" i="1"/>
  <c r="P13" i="1"/>
  <c r="Q13" i="1"/>
  <c r="S13" i="1"/>
  <c r="T13" i="1"/>
  <c r="U13" i="1"/>
  <c r="V13" i="1"/>
  <c r="W13" i="1"/>
  <c r="X13" i="1"/>
  <c r="D14" i="1"/>
  <c r="F14" i="1"/>
  <c r="G14" i="1"/>
  <c r="H14" i="1"/>
  <c r="I14" i="1"/>
  <c r="J14" i="1"/>
  <c r="K14" i="1"/>
  <c r="L14" i="1"/>
  <c r="M14" i="1"/>
  <c r="N14" i="1"/>
  <c r="O14" i="1"/>
  <c r="P14" i="1"/>
  <c r="Q14" i="1"/>
  <c r="R14" i="1"/>
  <c r="S14" i="1"/>
  <c r="T14" i="1"/>
  <c r="U14" i="1"/>
  <c r="V14" i="1"/>
  <c r="W14" i="1"/>
  <c r="X14" i="1"/>
  <c r="D15" i="1"/>
  <c r="F15" i="1"/>
  <c r="G15" i="1"/>
  <c r="H15" i="1"/>
  <c r="I15" i="1"/>
  <c r="J15" i="1"/>
  <c r="K15" i="1"/>
  <c r="L15" i="1"/>
  <c r="M15" i="1"/>
  <c r="N15" i="1"/>
  <c r="O15" i="1"/>
  <c r="P15" i="1"/>
  <c r="Q15" i="1"/>
  <c r="S15" i="1"/>
  <c r="T15" i="1"/>
  <c r="U15" i="1"/>
  <c r="V15" i="1"/>
  <c r="W15" i="1"/>
  <c r="X15" i="1"/>
  <c r="D16" i="1"/>
  <c r="F16" i="1"/>
  <c r="G16" i="1"/>
  <c r="H16" i="1"/>
  <c r="I16" i="1"/>
  <c r="J16" i="1"/>
  <c r="K16" i="1"/>
  <c r="L16" i="1"/>
  <c r="M16" i="1"/>
  <c r="N16" i="1"/>
  <c r="O16" i="1"/>
  <c r="P16" i="1"/>
  <c r="Q16" i="1"/>
  <c r="S16" i="1"/>
  <c r="T16" i="1"/>
  <c r="U16" i="1"/>
  <c r="V16" i="1"/>
  <c r="W16" i="1"/>
  <c r="X16" i="1"/>
  <c r="D17" i="1"/>
  <c r="F17" i="1"/>
  <c r="G17" i="1"/>
  <c r="H17" i="1"/>
  <c r="I17" i="1"/>
  <c r="J17" i="1"/>
  <c r="K17" i="1"/>
  <c r="L17" i="1"/>
  <c r="M17" i="1"/>
  <c r="N17" i="1"/>
  <c r="O17" i="1"/>
  <c r="P17" i="1"/>
  <c r="Q17" i="1"/>
  <c r="R17" i="1"/>
  <c r="S17" i="1"/>
  <c r="T17" i="1"/>
  <c r="U17" i="1"/>
  <c r="V17" i="1"/>
  <c r="W17" i="1"/>
  <c r="X17" i="1"/>
  <c r="D18" i="1"/>
  <c r="F18" i="1"/>
  <c r="G18" i="1"/>
  <c r="H18" i="1"/>
  <c r="I18" i="1"/>
  <c r="J18" i="1"/>
  <c r="K18" i="1"/>
  <c r="L18" i="1"/>
  <c r="M18" i="1"/>
  <c r="N18" i="1"/>
  <c r="O18" i="1"/>
  <c r="P18" i="1"/>
  <c r="Q18" i="1"/>
  <c r="S18" i="1"/>
  <c r="T18" i="1"/>
  <c r="U18" i="1"/>
  <c r="V18" i="1"/>
  <c r="W18" i="1"/>
  <c r="X18" i="1"/>
  <c r="D19" i="1"/>
  <c r="F19" i="1"/>
  <c r="G19" i="1"/>
  <c r="H19" i="1"/>
  <c r="I19" i="1"/>
  <c r="J19" i="1"/>
  <c r="K19" i="1"/>
  <c r="L19" i="1"/>
  <c r="M19" i="1"/>
  <c r="N19" i="1"/>
  <c r="O19" i="1"/>
  <c r="P19" i="1"/>
  <c r="Q19" i="1"/>
  <c r="R19" i="1"/>
  <c r="S19" i="1"/>
  <c r="T19" i="1"/>
  <c r="U19" i="1"/>
  <c r="V19" i="1"/>
  <c r="W19" i="1"/>
  <c r="X19" i="1"/>
  <c r="D20" i="1"/>
  <c r="F20" i="1"/>
  <c r="G20" i="1"/>
  <c r="H20" i="1"/>
  <c r="I20" i="1"/>
  <c r="J20" i="1"/>
  <c r="K20" i="1"/>
  <c r="L20" i="1"/>
  <c r="M20" i="1"/>
  <c r="N20" i="1"/>
  <c r="O20" i="1"/>
  <c r="P20" i="1"/>
  <c r="Q20" i="1"/>
  <c r="S20" i="1"/>
  <c r="T20" i="1"/>
  <c r="U20" i="1"/>
  <c r="V20" i="1"/>
  <c r="W20" i="1"/>
  <c r="X20" i="1"/>
  <c r="D21" i="1"/>
  <c r="F21" i="1"/>
  <c r="G21" i="1"/>
  <c r="H21" i="1"/>
  <c r="I21" i="1"/>
  <c r="J21" i="1"/>
  <c r="K21" i="1"/>
  <c r="L21" i="1"/>
  <c r="M21" i="1"/>
  <c r="N21" i="1"/>
  <c r="O21" i="1"/>
  <c r="P21" i="1"/>
  <c r="Q21" i="1"/>
  <c r="S21" i="1"/>
  <c r="T21" i="1"/>
  <c r="U21" i="1"/>
  <c r="V21" i="1"/>
  <c r="W21" i="1"/>
  <c r="X21" i="1"/>
  <c r="D22" i="1"/>
  <c r="F22" i="1"/>
  <c r="G22" i="1"/>
  <c r="H22" i="1"/>
  <c r="I22" i="1"/>
  <c r="J22" i="1"/>
  <c r="K22" i="1"/>
  <c r="L22" i="1"/>
  <c r="M22" i="1"/>
  <c r="N22" i="1"/>
  <c r="O22" i="1"/>
  <c r="P22" i="1"/>
  <c r="Q22" i="1"/>
  <c r="R22" i="1"/>
  <c r="S22" i="1"/>
  <c r="T22" i="1"/>
  <c r="U22" i="1"/>
  <c r="V22" i="1"/>
  <c r="W22" i="1"/>
  <c r="X22" i="1"/>
  <c r="D23" i="1"/>
  <c r="F23" i="1"/>
  <c r="G23" i="1"/>
  <c r="H23" i="1"/>
  <c r="I23" i="1"/>
  <c r="J23" i="1"/>
  <c r="K23" i="1"/>
  <c r="L23" i="1"/>
  <c r="M23" i="1"/>
  <c r="N23" i="1"/>
  <c r="O23" i="1"/>
  <c r="P23" i="1"/>
  <c r="Q23" i="1"/>
  <c r="S23" i="1"/>
  <c r="T23" i="1"/>
  <c r="U23" i="1"/>
  <c r="V23" i="1"/>
  <c r="W23" i="1"/>
  <c r="X23" i="1"/>
  <c r="D24" i="1"/>
  <c r="F24" i="1"/>
  <c r="G24" i="1"/>
  <c r="H24" i="1"/>
  <c r="I24" i="1"/>
  <c r="J24" i="1"/>
  <c r="K24" i="1"/>
  <c r="L24" i="1"/>
  <c r="M24" i="1"/>
  <c r="N24" i="1"/>
  <c r="O24" i="1"/>
  <c r="P24" i="1"/>
  <c r="Q24" i="1"/>
  <c r="S24" i="1"/>
  <c r="T24" i="1"/>
  <c r="U24" i="1"/>
  <c r="V24" i="1"/>
  <c r="W24" i="1"/>
  <c r="X24" i="1"/>
  <c r="D25" i="1"/>
  <c r="F25" i="1"/>
  <c r="G25" i="1"/>
  <c r="H25" i="1"/>
  <c r="I25" i="1"/>
  <c r="J25" i="1"/>
  <c r="K25" i="1"/>
  <c r="L25" i="1"/>
  <c r="M25" i="1"/>
  <c r="N25" i="1"/>
  <c r="O25" i="1"/>
  <c r="P25" i="1"/>
  <c r="Q25" i="1"/>
  <c r="S25" i="1"/>
  <c r="T25" i="1"/>
  <c r="U25" i="1"/>
  <c r="V25" i="1"/>
  <c r="W25" i="1"/>
  <c r="X25" i="1"/>
  <c r="D26" i="1"/>
  <c r="F26" i="1"/>
  <c r="G26" i="1"/>
  <c r="H26" i="1"/>
  <c r="I26" i="1"/>
  <c r="J26" i="1"/>
  <c r="K26" i="1"/>
  <c r="L26" i="1"/>
  <c r="M26" i="1"/>
  <c r="N26" i="1"/>
  <c r="O26" i="1"/>
  <c r="P26" i="1"/>
  <c r="Q26" i="1"/>
  <c r="S26" i="1"/>
  <c r="T26" i="1"/>
  <c r="U26" i="1"/>
  <c r="V26" i="1"/>
  <c r="W26" i="1"/>
  <c r="X26" i="1"/>
  <c r="D27" i="1"/>
  <c r="F27" i="1"/>
  <c r="G27" i="1"/>
  <c r="H27" i="1"/>
  <c r="I27" i="1"/>
  <c r="J27" i="1"/>
  <c r="K27" i="1"/>
  <c r="L27" i="1"/>
  <c r="M27" i="1"/>
  <c r="N27" i="1"/>
  <c r="O27" i="1"/>
  <c r="P27" i="1"/>
  <c r="Q27" i="1"/>
  <c r="R27" i="1"/>
  <c r="S27" i="1"/>
  <c r="T27" i="1"/>
  <c r="U27" i="1"/>
  <c r="V27" i="1"/>
  <c r="W27" i="1"/>
  <c r="X27" i="1"/>
  <c r="D28" i="1"/>
  <c r="F28" i="1"/>
  <c r="G28" i="1"/>
  <c r="H28" i="1"/>
  <c r="I28" i="1"/>
  <c r="J28" i="1"/>
  <c r="K28" i="1"/>
  <c r="L28" i="1"/>
  <c r="M28" i="1"/>
  <c r="N28" i="1"/>
  <c r="O28" i="1"/>
  <c r="P28" i="1"/>
  <c r="Q28" i="1"/>
  <c r="S28" i="1"/>
  <c r="T28" i="1"/>
  <c r="U28" i="1"/>
  <c r="V28" i="1"/>
  <c r="W28" i="1"/>
  <c r="X28" i="1"/>
  <c r="D29" i="1"/>
  <c r="F29" i="1"/>
  <c r="G29" i="1"/>
  <c r="H29" i="1"/>
  <c r="I29" i="1"/>
  <c r="J29" i="1"/>
  <c r="K29" i="1"/>
  <c r="L29" i="1"/>
  <c r="M29" i="1"/>
  <c r="N29" i="1"/>
  <c r="O29" i="1"/>
  <c r="P29" i="1"/>
  <c r="Q29" i="1"/>
  <c r="R29" i="1"/>
  <c r="S29" i="1"/>
  <c r="T29" i="1"/>
  <c r="U29" i="1"/>
  <c r="V29" i="1"/>
  <c r="W29" i="1"/>
  <c r="X29" i="1"/>
  <c r="D30" i="1"/>
  <c r="F30" i="1"/>
  <c r="G30" i="1"/>
  <c r="H30" i="1"/>
  <c r="I30" i="1"/>
  <c r="J30" i="1"/>
  <c r="K30" i="1"/>
  <c r="L30" i="1"/>
  <c r="M30" i="1"/>
  <c r="N30" i="1"/>
  <c r="O30" i="1"/>
  <c r="P30" i="1"/>
  <c r="Q30" i="1"/>
  <c r="S30" i="1"/>
  <c r="T30" i="1"/>
  <c r="U30" i="1"/>
  <c r="V30" i="1"/>
  <c r="W30" i="1"/>
  <c r="X30" i="1"/>
  <c r="D31" i="1"/>
  <c r="F31" i="1"/>
  <c r="G31" i="1"/>
  <c r="H31" i="1"/>
  <c r="I31" i="1"/>
  <c r="J31" i="1"/>
  <c r="K31" i="1"/>
  <c r="L31" i="1"/>
  <c r="M31" i="1"/>
  <c r="N31" i="1"/>
  <c r="O31" i="1"/>
  <c r="P31" i="1"/>
  <c r="Q31" i="1"/>
  <c r="R31" i="1"/>
  <c r="S31" i="1"/>
  <c r="T31" i="1"/>
  <c r="U31" i="1"/>
  <c r="V31" i="1"/>
  <c r="W31" i="1"/>
  <c r="X31" i="1"/>
  <c r="D32" i="1"/>
  <c r="F32" i="1"/>
  <c r="G32" i="1"/>
  <c r="H32" i="1"/>
  <c r="I32" i="1"/>
  <c r="J32" i="1"/>
  <c r="K32" i="1"/>
  <c r="L32" i="1"/>
  <c r="M32" i="1"/>
  <c r="N32" i="1"/>
  <c r="O32" i="1"/>
  <c r="P32" i="1"/>
  <c r="Q32" i="1"/>
  <c r="R32" i="1"/>
  <c r="S32" i="1"/>
  <c r="T32" i="1"/>
  <c r="U32" i="1"/>
  <c r="V32" i="1"/>
  <c r="W32" i="1"/>
  <c r="X32" i="1"/>
  <c r="D33" i="1"/>
  <c r="F33" i="1"/>
  <c r="G33" i="1"/>
  <c r="H33" i="1"/>
  <c r="I33" i="1"/>
  <c r="J33" i="1"/>
  <c r="K33" i="1"/>
  <c r="L33" i="1"/>
  <c r="M33" i="1"/>
  <c r="N33" i="1"/>
  <c r="O33" i="1"/>
  <c r="P33" i="1"/>
  <c r="Q33" i="1"/>
  <c r="R33" i="1"/>
  <c r="S33" i="1"/>
  <c r="T33" i="1"/>
  <c r="U33" i="1"/>
  <c r="V33" i="1"/>
  <c r="W33" i="1"/>
  <c r="X33" i="1"/>
  <c r="D34" i="1"/>
  <c r="F34" i="1"/>
  <c r="G34" i="1"/>
  <c r="H34" i="1"/>
  <c r="I34" i="1"/>
  <c r="J34" i="1"/>
  <c r="K34" i="1"/>
  <c r="L34" i="1"/>
  <c r="M34" i="1"/>
  <c r="N34" i="1"/>
  <c r="O34" i="1"/>
  <c r="P34" i="1"/>
  <c r="Q34" i="1"/>
  <c r="R34" i="1"/>
  <c r="S34" i="1"/>
  <c r="T34" i="1"/>
  <c r="U34" i="1"/>
  <c r="V34" i="1"/>
  <c r="W34" i="1"/>
  <c r="X34" i="1"/>
  <c r="D35" i="1"/>
  <c r="F35" i="1"/>
  <c r="G35" i="1"/>
  <c r="H35" i="1"/>
  <c r="I35" i="1"/>
  <c r="J35" i="1"/>
  <c r="K35" i="1"/>
  <c r="L35" i="1"/>
  <c r="M35" i="1"/>
  <c r="N35" i="1"/>
  <c r="O35" i="1"/>
  <c r="P35" i="1"/>
  <c r="Q35" i="1"/>
  <c r="S35" i="1"/>
  <c r="T35" i="1"/>
  <c r="U35" i="1"/>
  <c r="V35" i="1"/>
  <c r="W35" i="1"/>
  <c r="X35" i="1"/>
  <c r="D36" i="1"/>
  <c r="F36" i="1"/>
  <c r="G36" i="1"/>
  <c r="H36" i="1"/>
  <c r="I36" i="1"/>
  <c r="J36" i="1"/>
  <c r="K36" i="1"/>
  <c r="L36" i="1"/>
  <c r="M36" i="1"/>
  <c r="N36" i="1"/>
  <c r="O36" i="1"/>
  <c r="P36" i="1"/>
  <c r="Q36" i="1"/>
  <c r="S36" i="1"/>
  <c r="T36" i="1"/>
  <c r="U36" i="1"/>
  <c r="V36" i="1"/>
  <c r="W36" i="1"/>
  <c r="X36" i="1"/>
  <c r="D37" i="1"/>
  <c r="F37" i="1"/>
  <c r="G37" i="1"/>
  <c r="H37" i="1"/>
  <c r="I37" i="1"/>
  <c r="J37" i="1"/>
  <c r="K37" i="1"/>
  <c r="L37" i="1"/>
  <c r="M37" i="1"/>
  <c r="N37" i="1"/>
  <c r="O37" i="1"/>
  <c r="P37" i="1"/>
  <c r="Q37" i="1"/>
  <c r="S37" i="1"/>
  <c r="T37" i="1"/>
  <c r="U37" i="1"/>
  <c r="V37" i="1"/>
  <c r="W37" i="1"/>
  <c r="X37" i="1"/>
  <c r="D38" i="1"/>
  <c r="F38" i="1"/>
  <c r="G38" i="1"/>
  <c r="H38" i="1"/>
  <c r="I38" i="1"/>
  <c r="J38" i="1"/>
  <c r="K38" i="1"/>
  <c r="L38" i="1"/>
  <c r="M38" i="1"/>
  <c r="N38" i="1"/>
  <c r="O38" i="1"/>
  <c r="P38" i="1"/>
  <c r="Q38" i="1"/>
  <c r="R38" i="1"/>
  <c r="S38" i="1"/>
  <c r="T38" i="1"/>
  <c r="U38" i="1"/>
  <c r="V38" i="1"/>
  <c r="W38" i="1"/>
  <c r="X38" i="1"/>
  <c r="D39" i="1"/>
  <c r="F39" i="1"/>
  <c r="G39" i="1"/>
  <c r="H39" i="1"/>
  <c r="I39" i="1"/>
  <c r="J39" i="1"/>
  <c r="K39" i="1"/>
  <c r="L39" i="1"/>
  <c r="M39" i="1"/>
  <c r="N39" i="1"/>
  <c r="O39" i="1"/>
  <c r="P39" i="1"/>
  <c r="Q39" i="1"/>
  <c r="S39" i="1"/>
  <c r="T39" i="1"/>
  <c r="U39" i="1"/>
  <c r="V39" i="1"/>
  <c r="W39" i="1"/>
  <c r="X39" i="1"/>
  <c r="D40" i="1"/>
  <c r="F40" i="1"/>
  <c r="G40" i="1"/>
  <c r="H40" i="1"/>
  <c r="I40" i="1"/>
  <c r="J40" i="1"/>
  <c r="K40" i="1"/>
  <c r="L40" i="1"/>
  <c r="M40" i="1"/>
  <c r="N40" i="1"/>
  <c r="O40" i="1"/>
  <c r="P40" i="1"/>
  <c r="Q40" i="1"/>
  <c r="S40" i="1"/>
  <c r="T40" i="1"/>
  <c r="U40" i="1"/>
  <c r="V40" i="1"/>
  <c r="W40" i="1"/>
  <c r="X40" i="1"/>
  <c r="D41" i="1"/>
  <c r="F41" i="1"/>
  <c r="G41" i="1"/>
  <c r="H41" i="1"/>
  <c r="I41" i="1"/>
  <c r="J41" i="1"/>
  <c r="K41" i="1"/>
  <c r="L41" i="1"/>
  <c r="M41" i="1"/>
  <c r="N41" i="1"/>
  <c r="O41" i="1"/>
  <c r="P41" i="1"/>
  <c r="Q41" i="1"/>
  <c r="S41" i="1"/>
  <c r="T41" i="1"/>
  <c r="U41" i="1"/>
  <c r="V41" i="1"/>
  <c r="W41" i="1"/>
  <c r="X41" i="1"/>
  <c r="D42" i="1"/>
  <c r="F42" i="1"/>
  <c r="G42" i="1"/>
  <c r="H42" i="1"/>
  <c r="I42" i="1"/>
  <c r="J42" i="1"/>
  <c r="K42" i="1"/>
  <c r="L42" i="1"/>
  <c r="M42" i="1"/>
  <c r="N42" i="1"/>
  <c r="O42" i="1"/>
  <c r="P42" i="1"/>
  <c r="Q42" i="1"/>
  <c r="S42" i="1"/>
  <c r="T42" i="1"/>
  <c r="U42" i="1"/>
  <c r="V42" i="1"/>
  <c r="W42" i="1"/>
  <c r="X42" i="1"/>
  <c r="D43" i="1"/>
  <c r="F43" i="1"/>
  <c r="G43" i="1"/>
  <c r="H43" i="1"/>
  <c r="I43" i="1"/>
  <c r="J43" i="1"/>
  <c r="K43" i="1"/>
  <c r="L43" i="1"/>
  <c r="M43" i="1"/>
  <c r="N43" i="1"/>
  <c r="O43" i="1"/>
  <c r="P43" i="1"/>
  <c r="Q43" i="1"/>
  <c r="S43" i="1"/>
  <c r="T43" i="1"/>
  <c r="U43" i="1"/>
  <c r="V43" i="1"/>
  <c r="W43" i="1"/>
  <c r="X43" i="1"/>
  <c r="D44" i="1"/>
  <c r="F44" i="1"/>
  <c r="G44" i="1"/>
  <c r="H44" i="1"/>
  <c r="I44" i="1"/>
  <c r="J44" i="1"/>
  <c r="K44" i="1"/>
  <c r="L44" i="1"/>
  <c r="M44" i="1"/>
  <c r="N44" i="1"/>
  <c r="O44" i="1"/>
  <c r="P44" i="1"/>
  <c r="Q44" i="1"/>
  <c r="S44" i="1"/>
  <c r="T44" i="1"/>
  <c r="U44" i="1"/>
  <c r="V44" i="1"/>
  <c r="W44" i="1"/>
  <c r="X44" i="1"/>
  <c r="D45" i="1"/>
  <c r="F45" i="1"/>
  <c r="G45" i="1"/>
  <c r="H45" i="1"/>
  <c r="I45" i="1"/>
  <c r="J45" i="1"/>
  <c r="K45" i="1"/>
  <c r="L45" i="1"/>
  <c r="M45" i="1"/>
  <c r="N45" i="1"/>
  <c r="O45" i="1"/>
  <c r="P45" i="1"/>
  <c r="Q45" i="1"/>
  <c r="S45" i="1"/>
  <c r="T45" i="1"/>
  <c r="U45" i="1"/>
  <c r="V45" i="1"/>
  <c r="W45" i="1"/>
  <c r="X45" i="1"/>
  <c r="D46" i="1"/>
  <c r="F46" i="1"/>
  <c r="G46" i="1"/>
  <c r="H46" i="1"/>
  <c r="I46" i="1"/>
  <c r="J46" i="1"/>
  <c r="K46" i="1"/>
  <c r="L46" i="1"/>
  <c r="M46" i="1"/>
  <c r="N46" i="1"/>
  <c r="O46" i="1"/>
  <c r="P46" i="1"/>
  <c r="Q46" i="1"/>
  <c r="S46" i="1"/>
  <c r="T46" i="1"/>
  <c r="U46" i="1"/>
  <c r="V46" i="1"/>
  <c r="W46" i="1"/>
  <c r="X46" i="1"/>
  <c r="D47" i="1"/>
  <c r="F47" i="1"/>
  <c r="G47" i="1"/>
  <c r="H47" i="1"/>
  <c r="I47" i="1"/>
  <c r="J47" i="1"/>
  <c r="K47" i="1"/>
  <c r="L47" i="1"/>
  <c r="M47" i="1"/>
  <c r="N47" i="1"/>
  <c r="O47" i="1"/>
  <c r="P47" i="1"/>
  <c r="Q47" i="1"/>
  <c r="R47" i="1"/>
  <c r="S47" i="1"/>
  <c r="T47" i="1"/>
  <c r="U47" i="1"/>
  <c r="V47" i="1"/>
  <c r="W47" i="1"/>
  <c r="X47" i="1"/>
  <c r="D48" i="1"/>
  <c r="F48" i="1"/>
  <c r="G48" i="1"/>
  <c r="H48" i="1"/>
  <c r="I48" i="1"/>
  <c r="J48" i="1"/>
  <c r="K48" i="1"/>
  <c r="L48" i="1"/>
  <c r="M48" i="1"/>
  <c r="N48" i="1"/>
  <c r="O48" i="1"/>
  <c r="P48" i="1"/>
  <c r="Q48" i="1"/>
  <c r="S48" i="1"/>
  <c r="T48" i="1"/>
  <c r="U48" i="1"/>
  <c r="V48" i="1"/>
  <c r="W48" i="1"/>
  <c r="X48" i="1"/>
  <c r="D49" i="1"/>
  <c r="F49" i="1"/>
  <c r="G49" i="1"/>
  <c r="H49" i="1"/>
  <c r="I49" i="1"/>
  <c r="J49" i="1"/>
  <c r="K49" i="1"/>
  <c r="L49" i="1"/>
  <c r="M49" i="1"/>
  <c r="N49" i="1"/>
  <c r="O49" i="1"/>
  <c r="P49" i="1"/>
  <c r="Q49" i="1"/>
  <c r="R49" i="1"/>
  <c r="S49" i="1"/>
  <c r="T49" i="1"/>
  <c r="U49" i="1"/>
  <c r="V49" i="1"/>
  <c r="W49" i="1"/>
  <c r="X49" i="1"/>
  <c r="D50" i="1"/>
  <c r="F50" i="1"/>
  <c r="G50" i="1"/>
  <c r="H50" i="1"/>
  <c r="I50" i="1"/>
  <c r="J50" i="1"/>
  <c r="K50" i="1"/>
  <c r="L50" i="1"/>
  <c r="M50" i="1"/>
  <c r="N50" i="1"/>
  <c r="O50" i="1"/>
  <c r="P50" i="1"/>
  <c r="Q50" i="1"/>
  <c r="S50" i="1"/>
  <c r="T50" i="1"/>
  <c r="U50" i="1"/>
  <c r="V50" i="1"/>
  <c r="W50" i="1"/>
  <c r="X50" i="1"/>
  <c r="D51" i="1"/>
  <c r="F51" i="1"/>
  <c r="G51" i="1"/>
  <c r="H51" i="1"/>
  <c r="I51" i="1"/>
  <c r="J51" i="1"/>
  <c r="K51" i="1"/>
  <c r="L51" i="1"/>
  <c r="M51" i="1"/>
  <c r="N51" i="1"/>
  <c r="O51" i="1"/>
  <c r="P51" i="1"/>
  <c r="Q51" i="1"/>
  <c r="S51" i="1"/>
  <c r="T51" i="1"/>
  <c r="U51" i="1"/>
  <c r="V51" i="1"/>
  <c r="W51" i="1"/>
  <c r="X51" i="1"/>
  <c r="D52" i="1"/>
  <c r="F52" i="1"/>
  <c r="G52" i="1"/>
  <c r="H52" i="1"/>
  <c r="I52" i="1"/>
  <c r="J52" i="1"/>
  <c r="K52" i="1"/>
  <c r="L52" i="1"/>
  <c r="M52" i="1"/>
  <c r="N52" i="1"/>
  <c r="O52" i="1"/>
  <c r="P52" i="1"/>
  <c r="Q52" i="1"/>
  <c r="R52" i="1"/>
  <c r="S52" i="1"/>
  <c r="T52" i="1"/>
  <c r="U52" i="1"/>
  <c r="V52" i="1"/>
  <c r="W52" i="1"/>
  <c r="X52" i="1"/>
  <c r="D53" i="1"/>
  <c r="F53" i="1"/>
  <c r="G53" i="1"/>
  <c r="H53" i="1"/>
  <c r="I53" i="1"/>
  <c r="J53" i="1"/>
  <c r="K53" i="1"/>
  <c r="L53" i="1"/>
  <c r="M53" i="1"/>
  <c r="N53" i="1"/>
  <c r="O53" i="1"/>
  <c r="P53" i="1"/>
  <c r="Q53" i="1"/>
  <c r="S53" i="1"/>
  <c r="T53" i="1"/>
  <c r="U53" i="1"/>
  <c r="V53" i="1"/>
  <c r="W53" i="1"/>
  <c r="X53" i="1"/>
  <c r="D54" i="1"/>
  <c r="F54" i="1"/>
  <c r="G54" i="1"/>
  <c r="H54" i="1"/>
  <c r="I54" i="1"/>
  <c r="J54" i="1"/>
  <c r="K54" i="1"/>
  <c r="L54" i="1"/>
  <c r="M54" i="1"/>
  <c r="N54" i="1"/>
  <c r="O54" i="1"/>
  <c r="P54" i="1"/>
  <c r="Q54" i="1"/>
  <c r="S54" i="1"/>
  <c r="T54" i="1"/>
  <c r="U54" i="1"/>
  <c r="V54" i="1"/>
  <c r="W54" i="1"/>
  <c r="X54" i="1"/>
  <c r="D55" i="1"/>
  <c r="F55" i="1"/>
  <c r="G55" i="1"/>
  <c r="H55" i="1"/>
  <c r="I55" i="1"/>
  <c r="J55" i="1"/>
  <c r="K55" i="1"/>
  <c r="L55" i="1"/>
  <c r="M55" i="1"/>
  <c r="N55" i="1"/>
  <c r="O55" i="1"/>
  <c r="P55" i="1"/>
  <c r="Q55" i="1"/>
  <c r="S55" i="1"/>
  <c r="T55" i="1"/>
  <c r="U55" i="1"/>
  <c r="V55" i="1"/>
  <c r="W55" i="1"/>
  <c r="X55" i="1"/>
  <c r="D56" i="1"/>
  <c r="F56" i="1"/>
  <c r="G56" i="1"/>
  <c r="H56" i="1"/>
  <c r="I56" i="1"/>
  <c r="J56" i="1"/>
  <c r="K56" i="1"/>
  <c r="L56" i="1"/>
  <c r="M56" i="1"/>
  <c r="N56" i="1"/>
  <c r="O56" i="1"/>
  <c r="P56" i="1"/>
  <c r="Q56" i="1"/>
  <c r="R56" i="1"/>
  <c r="S56" i="1"/>
  <c r="T56" i="1"/>
  <c r="U56" i="1"/>
  <c r="V56" i="1"/>
  <c r="W56" i="1"/>
  <c r="X56" i="1"/>
  <c r="D57" i="1"/>
  <c r="F57" i="1"/>
  <c r="G57" i="1"/>
  <c r="H57" i="1"/>
  <c r="I57" i="1"/>
  <c r="J57" i="1"/>
  <c r="K57" i="1"/>
  <c r="L57" i="1"/>
  <c r="M57" i="1"/>
  <c r="N57" i="1"/>
  <c r="O57" i="1"/>
  <c r="P57" i="1"/>
  <c r="Q57" i="1"/>
  <c r="S57" i="1"/>
  <c r="T57" i="1"/>
  <c r="U57" i="1"/>
  <c r="V57" i="1"/>
  <c r="W57" i="1"/>
  <c r="X57" i="1"/>
  <c r="D58" i="1"/>
  <c r="F58" i="1"/>
  <c r="G58" i="1"/>
  <c r="H58" i="1"/>
  <c r="I58" i="1"/>
  <c r="J58" i="1"/>
  <c r="K58" i="1"/>
  <c r="L58" i="1"/>
  <c r="M58" i="1"/>
  <c r="N58" i="1"/>
  <c r="O58" i="1"/>
  <c r="P58" i="1"/>
  <c r="Q58" i="1"/>
  <c r="R58" i="1"/>
  <c r="S58" i="1"/>
  <c r="T58" i="1"/>
  <c r="U58" i="1"/>
  <c r="V58" i="1"/>
  <c r="W58" i="1"/>
  <c r="X58" i="1"/>
  <c r="D59" i="1"/>
  <c r="F59" i="1"/>
  <c r="G59" i="1"/>
  <c r="H59" i="1"/>
  <c r="I59" i="1"/>
  <c r="J59" i="1"/>
  <c r="K59" i="1"/>
  <c r="L59" i="1"/>
  <c r="M59" i="1"/>
  <c r="N59" i="1"/>
  <c r="O59" i="1"/>
  <c r="P59" i="1"/>
  <c r="Q59" i="1"/>
  <c r="S59" i="1"/>
  <c r="T59" i="1"/>
  <c r="U59" i="1"/>
  <c r="V59" i="1"/>
  <c r="W59" i="1"/>
  <c r="X59" i="1"/>
  <c r="D60" i="1"/>
  <c r="F60" i="1"/>
  <c r="G60" i="1"/>
  <c r="H60" i="1"/>
  <c r="I60" i="1"/>
  <c r="J60" i="1"/>
  <c r="K60" i="1"/>
  <c r="L60" i="1"/>
  <c r="M60" i="1"/>
  <c r="N60" i="1"/>
  <c r="O60" i="1"/>
  <c r="P60" i="1"/>
  <c r="Q60" i="1"/>
  <c r="S60" i="1"/>
  <c r="T60" i="1"/>
  <c r="U60" i="1"/>
  <c r="V60" i="1"/>
  <c r="W60" i="1"/>
  <c r="X60" i="1"/>
  <c r="D61" i="1"/>
  <c r="F61" i="1"/>
  <c r="G61" i="1"/>
  <c r="H61" i="1"/>
  <c r="I61" i="1"/>
  <c r="J61" i="1"/>
  <c r="K61" i="1"/>
  <c r="L61" i="1"/>
  <c r="M61" i="1"/>
  <c r="N61" i="1"/>
  <c r="O61" i="1"/>
  <c r="P61" i="1"/>
  <c r="Q61" i="1"/>
  <c r="S61" i="1"/>
  <c r="T61" i="1"/>
  <c r="U61" i="1"/>
  <c r="V61" i="1"/>
  <c r="W61" i="1"/>
  <c r="X61" i="1"/>
  <c r="D62" i="1"/>
  <c r="F62" i="1"/>
  <c r="G62" i="1"/>
  <c r="H62" i="1"/>
  <c r="I62" i="1"/>
  <c r="J62" i="1"/>
  <c r="K62" i="1"/>
  <c r="L62" i="1"/>
  <c r="M62" i="1"/>
  <c r="N62" i="1"/>
  <c r="O62" i="1"/>
  <c r="P62" i="1"/>
  <c r="Q62" i="1"/>
  <c r="S62" i="1"/>
  <c r="T62" i="1"/>
  <c r="U62" i="1"/>
  <c r="V62" i="1"/>
  <c r="W62" i="1"/>
  <c r="X62" i="1"/>
  <c r="D63" i="1"/>
  <c r="F63" i="1"/>
  <c r="G63" i="1"/>
  <c r="H63" i="1"/>
  <c r="I63" i="1"/>
  <c r="J63" i="1"/>
  <c r="K63" i="1"/>
  <c r="L63" i="1"/>
  <c r="M63" i="1"/>
  <c r="N63" i="1"/>
  <c r="O63" i="1"/>
  <c r="P63" i="1"/>
  <c r="Q63" i="1"/>
  <c r="S63" i="1"/>
  <c r="T63" i="1"/>
  <c r="U63" i="1"/>
  <c r="V63" i="1"/>
  <c r="W63" i="1"/>
  <c r="X63" i="1"/>
  <c r="D64" i="1"/>
  <c r="F64" i="1"/>
  <c r="G64" i="1"/>
  <c r="H64" i="1"/>
  <c r="I64" i="1"/>
  <c r="J64" i="1"/>
  <c r="K64" i="1"/>
  <c r="L64" i="1"/>
  <c r="M64" i="1"/>
  <c r="N64" i="1"/>
  <c r="O64" i="1"/>
  <c r="P64" i="1"/>
  <c r="Q64" i="1"/>
  <c r="S64" i="1"/>
  <c r="T64" i="1"/>
  <c r="U64" i="1"/>
  <c r="V64" i="1"/>
  <c r="W64" i="1"/>
  <c r="X64" i="1"/>
  <c r="D65" i="1"/>
  <c r="F65" i="1"/>
  <c r="G65" i="1"/>
  <c r="H65" i="1"/>
  <c r="I65" i="1"/>
  <c r="J65" i="1"/>
  <c r="K65" i="1"/>
  <c r="L65" i="1"/>
  <c r="M65" i="1"/>
  <c r="N65" i="1"/>
  <c r="O65" i="1"/>
  <c r="P65" i="1"/>
  <c r="Q65" i="1"/>
  <c r="S65" i="1"/>
  <c r="T65" i="1"/>
  <c r="U65" i="1"/>
  <c r="V65" i="1"/>
  <c r="W65" i="1"/>
  <c r="X65" i="1"/>
  <c r="D66" i="1"/>
  <c r="F66" i="1"/>
  <c r="G66" i="1"/>
  <c r="H66" i="1"/>
  <c r="I66" i="1"/>
  <c r="J66" i="1"/>
  <c r="K66" i="1"/>
  <c r="L66" i="1"/>
  <c r="M66" i="1"/>
  <c r="N66" i="1"/>
  <c r="O66" i="1"/>
  <c r="P66" i="1"/>
  <c r="Q66" i="1"/>
  <c r="S66" i="1"/>
  <c r="T66" i="1"/>
  <c r="U66" i="1"/>
  <c r="V66" i="1"/>
  <c r="W66" i="1"/>
  <c r="X66" i="1"/>
  <c r="D67" i="1"/>
  <c r="F67" i="1"/>
  <c r="G67" i="1"/>
  <c r="H67" i="1"/>
  <c r="I67" i="1"/>
  <c r="J67" i="1"/>
  <c r="K67" i="1"/>
  <c r="L67" i="1"/>
  <c r="M67" i="1"/>
  <c r="N67" i="1"/>
  <c r="O67" i="1"/>
  <c r="P67" i="1"/>
  <c r="Q67" i="1"/>
  <c r="S67" i="1"/>
  <c r="T67" i="1"/>
  <c r="U67" i="1"/>
  <c r="V67" i="1"/>
  <c r="W67" i="1"/>
  <c r="X67" i="1"/>
  <c r="D68" i="1"/>
  <c r="F68" i="1"/>
  <c r="G68" i="1"/>
  <c r="H68" i="1"/>
  <c r="I68" i="1"/>
  <c r="J68" i="1"/>
  <c r="K68" i="1"/>
  <c r="L68" i="1"/>
  <c r="M68" i="1"/>
  <c r="N68" i="1"/>
  <c r="O68" i="1"/>
  <c r="P68" i="1"/>
  <c r="Q68" i="1"/>
  <c r="S68" i="1"/>
  <c r="T68" i="1"/>
  <c r="U68" i="1"/>
  <c r="V68" i="1"/>
  <c r="W68" i="1"/>
  <c r="X68" i="1"/>
  <c r="D69" i="1"/>
  <c r="F69" i="1"/>
  <c r="G69" i="1"/>
  <c r="H69" i="1"/>
  <c r="I69" i="1"/>
  <c r="J69" i="1"/>
  <c r="K69" i="1"/>
  <c r="L69" i="1"/>
  <c r="M69" i="1"/>
  <c r="N69" i="1"/>
  <c r="O69" i="1"/>
  <c r="P69" i="1"/>
  <c r="Q69" i="1"/>
  <c r="S69" i="1"/>
  <c r="T69" i="1"/>
  <c r="U69" i="1"/>
  <c r="V69" i="1"/>
  <c r="W69" i="1"/>
  <c r="X69" i="1"/>
  <c r="D70" i="1"/>
  <c r="F70" i="1"/>
  <c r="G70" i="1"/>
  <c r="H70" i="1"/>
  <c r="I70" i="1"/>
  <c r="J70" i="1"/>
  <c r="K70" i="1"/>
  <c r="L70" i="1"/>
  <c r="M70" i="1"/>
  <c r="N70" i="1"/>
  <c r="O70" i="1"/>
  <c r="P70" i="1"/>
  <c r="Q70" i="1"/>
  <c r="S70" i="1"/>
  <c r="T70" i="1"/>
  <c r="U70" i="1"/>
  <c r="V70" i="1"/>
  <c r="W70" i="1"/>
  <c r="X70" i="1"/>
  <c r="D71" i="1"/>
  <c r="F71" i="1"/>
  <c r="G71" i="1"/>
  <c r="H71" i="1"/>
  <c r="I71" i="1"/>
  <c r="J71" i="1"/>
  <c r="K71" i="1"/>
  <c r="L71" i="1"/>
  <c r="M71" i="1"/>
  <c r="N71" i="1"/>
  <c r="O71" i="1"/>
  <c r="P71" i="1"/>
  <c r="Q71" i="1"/>
  <c r="S71" i="1"/>
  <c r="T71" i="1"/>
  <c r="U71" i="1"/>
  <c r="V71" i="1"/>
  <c r="W71" i="1"/>
  <c r="X71" i="1"/>
  <c r="D72" i="1"/>
  <c r="F72" i="1"/>
  <c r="G72" i="1"/>
  <c r="H72" i="1"/>
  <c r="I72" i="1"/>
  <c r="J72" i="1"/>
  <c r="K72" i="1"/>
  <c r="L72" i="1"/>
  <c r="M72" i="1"/>
  <c r="N72" i="1"/>
  <c r="O72" i="1"/>
  <c r="P72" i="1"/>
  <c r="Q72" i="1"/>
  <c r="S72" i="1"/>
  <c r="T72" i="1"/>
  <c r="U72" i="1"/>
  <c r="V72" i="1"/>
  <c r="W72" i="1"/>
  <c r="X72" i="1"/>
  <c r="D73" i="1"/>
  <c r="F73" i="1"/>
  <c r="G73" i="1"/>
  <c r="H73" i="1"/>
  <c r="I73" i="1"/>
  <c r="J73" i="1"/>
  <c r="K73" i="1"/>
  <c r="L73" i="1"/>
  <c r="M73" i="1"/>
  <c r="N73" i="1"/>
  <c r="O73" i="1"/>
  <c r="P73" i="1"/>
  <c r="Q73" i="1"/>
  <c r="S73" i="1"/>
  <c r="T73" i="1"/>
  <c r="U73" i="1"/>
  <c r="V73" i="1"/>
  <c r="W73" i="1"/>
  <c r="X73" i="1"/>
  <c r="D74" i="1"/>
  <c r="F74" i="1"/>
  <c r="G74" i="1"/>
  <c r="H74" i="1"/>
  <c r="I74" i="1"/>
  <c r="J74" i="1"/>
  <c r="K74" i="1"/>
  <c r="L74" i="1"/>
  <c r="M74" i="1"/>
  <c r="N74" i="1"/>
  <c r="O74" i="1"/>
  <c r="P74" i="1"/>
  <c r="Q74" i="1"/>
  <c r="S74" i="1"/>
  <c r="T74" i="1"/>
  <c r="U74" i="1"/>
  <c r="V74" i="1"/>
  <c r="W74" i="1"/>
  <c r="X74" i="1"/>
  <c r="D75" i="1"/>
  <c r="F75" i="1"/>
  <c r="G75" i="1"/>
  <c r="H75" i="1"/>
  <c r="I75" i="1"/>
  <c r="J75" i="1"/>
  <c r="K75" i="1"/>
  <c r="L75" i="1"/>
  <c r="M75" i="1"/>
  <c r="N75" i="1"/>
  <c r="O75" i="1"/>
  <c r="P75" i="1"/>
  <c r="Q75" i="1"/>
  <c r="R75" i="1"/>
  <c r="S75" i="1"/>
  <c r="T75" i="1"/>
  <c r="U75" i="1"/>
  <c r="V75" i="1"/>
  <c r="W75" i="1"/>
  <c r="X75" i="1"/>
  <c r="D76" i="1"/>
  <c r="F76" i="1"/>
  <c r="G76" i="1"/>
  <c r="H76" i="1"/>
  <c r="I76" i="1"/>
  <c r="J76" i="1"/>
  <c r="K76" i="1"/>
  <c r="L76" i="1"/>
  <c r="M76" i="1"/>
  <c r="N76" i="1"/>
  <c r="O76" i="1"/>
  <c r="P76" i="1"/>
  <c r="Q76" i="1"/>
  <c r="S76" i="1"/>
  <c r="T76" i="1"/>
  <c r="U76" i="1"/>
  <c r="V76" i="1"/>
  <c r="W76" i="1"/>
  <c r="X76" i="1"/>
  <c r="D77" i="1"/>
  <c r="F77" i="1"/>
  <c r="G77" i="1"/>
  <c r="H77" i="1"/>
  <c r="I77" i="1"/>
  <c r="J77" i="1"/>
  <c r="K77" i="1"/>
  <c r="L77" i="1"/>
  <c r="M77" i="1"/>
  <c r="N77" i="1"/>
  <c r="O77" i="1"/>
  <c r="P77" i="1"/>
  <c r="Q77" i="1"/>
  <c r="R77" i="1"/>
  <c r="S77" i="1"/>
  <c r="T77" i="1"/>
  <c r="U77" i="1"/>
  <c r="V77" i="1"/>
  <c r="W77" i="1"/>
  <c r="X77" i="1"/>
  <c r="D78" i="1"/>
  <c r="F78" i="1"/>
  <c r="G78" i="1"/>
  <c r="H78" i="1"/>
  <c r="I78" i="1"/>
  <c r="J78" i="1"/>
  <c r="K78" i="1"/>
  <c r="L78" i="1"/>
  <c r="M78" i="1"/>
  <c r="N78" i="1"/>
  <c r="O78" i="1"/>
  <c r="P78" i="1"/>
  <c r="Q78" i="1"/>
  <c r="S78" i="1"/>
  <c r="T78" i="1"/>
  <c r="U78" i="1"/>
  <c r="V78" i="1"/>
  <c r="W78" i="1"/>
  <c r="X78" i="1"/>
  <c r="D79" i="1"/>
  <c r="F79" i="1"/>
  <c r="G79" i="1"/>
  <c r="H79" i="1"/>
  <c r="I79" i="1"/>
  <c r="J79" i="1"/>
  <c r="K79" i="1"/>
  <c r="L79" i="1"/>
  <c r="M79" i="1"/>
  <c r="N79" i="1"/>
  <c r="O79" i="1"/>
  <c r="P79" i="1"/>
  <c r="Q79" i="1"/>
  <c r="S79" i="1"/>
  <c r="T79" i="1"/>
  <c r="U79" i="1"/>
  <c r="V79" i="1"/>
  <c r="W79" i="1"/>
  <c r="X79" i="1"/>
  <c r="D80" i="1"/>
  <c r="F80" i="1"/>
  <c r="G80" i="1"/>
  <c r="H80" i="1"/>
  <c r="I80" i="1"/>
  <c r="J80" i="1"/>
  <c r="K80" i="1"/>
  <c r="L80" i="1"/>
  <c r="M80" i="1"/>
  <c r="N80" i="1"/>
  <c r="O80" i="1"/>
  <c r="P80" i="1"/>
  <c r="Q80" i="1"/>
  <c r="R80" i="1"/>
  <c r="S80" i="1"/>
  <c r="T80" i="1"/>
  <c r="U80" i="1"/>
  <c r="V80" i="1"/>
  <c r="W80" i="1"/>
  <c r="X80" i="1"/>
  <c r="D81" i="1"/>
  <c r="F81" i="1"/>
  <c r="G81" i="1"/>
  <c r="H81" i="1"/>
  <c r="I81" i="1"/>
  <c r="J81" i="1"/>
  <c r="K81" i="1"/>
  <c r="L81" i="1"/>
  <c r="M81" i="1"/>
  <c r="N81" i="1"/>
  <c r="O81" i="1"/>
  <c r="P81" i="1"/>
  <c r="Q81" i="1"/>
  <c r="S81" i="1"/>
  <c r="T81" i="1"/>
  <c r="U81" i="1"/>
  <c r="V81" i="1"/>
  <c r="W81" i="1"/>
  <c r="X81" i="1"/>
  <c r="D82" i="1"/>
  <c r="F82" i="1"/>
  <c r="G82" i="1"/>
  <c r="H82" i="1"/>
  <c r="I82" i="1"/>
  <c r="J82" i="1"/>
  <c r="K82" i="1"/>
  <c r="L82" i="1"/>
  <c r="M82" i="1"/>
  <c r="N82" i="1"/>
  <c r="O82" i="1"/>
  <c r="P82" i="1"/>
  <c r="Q82" i="1"/>
  <c r="S82" i="1"/>
  <c r="T82" i="1"/>
  <c r="U82" i="1"/>
  <c r="V82" i="1"/>
  <c r="W82" i="1"/>
  <c r="X82" i="1"/>
  <c r="D83" i="1"/>
  <c r="F83" i="1"/>
  <c r="G83" i="1"/>
  <c r="H83" i="1"/>
  <c r="I83" i="1"/>
  <c r="J83" i="1"/>
  <c r="K83" i="1"/>
  <c r="L83" i="1"/>
  <c r="M83" i="1"/>
  <c r="N83" i="1"/>
  <c r="O83" i="1"/>
  <c r="P83" i="1"/>
  <c r="Q83" i="1"/>
  <c r="R83" i="1"/>
  <c r="S83" i="1"/>
  <c r="T83" i="1"/>
  <c r="U83" i="1"/>
  <c r="V83" i="1"/>
  <c r="W83" i="1"/>
  <c r="X83" i="1"/>
  <c r="D84" i="1"/>
  <c r="F84" i="1"/>
  <c r="G84" i="1"/>
  <c r="H84" i="1"/>
  <c r="I84" i="1"/>
  <c r="J84" i="1"/>
  <c r="K84" i="1"/>
  <c r="L84" i="1"/>
  <c r="M84" i="1"/>
  <c r="N84" i="1"/>
  <c r="O84" i="1"/>
  <c r="P84" i="1"/>
  <c r="Q84" i="1"/>
  <c r="R84" i="1"/>
  <c r="S84" i="1"/>
  <c r="T84" i="1"/>
  <c r="U84" i="1"/>
  <c r="V84" i="1"/>
  <c r="W84" i="1"/>
  <c r="X84" i="1"/>
  <c r="D85" i="1"/>
  <c r="F85" i="1"/>
  <c r="G85" i="1"/>
  <c r="H85" i="1"/>
  <c r="I85" i="1"/>
  <c r="J85" i="1"/>
  <c r="K85" i="1"/>
  <c r="L85" i="1"/>
  <c r="M85" i="1"/>
  <c r="N85" i="1"/>
  <c r="O85" i="1"/>
  <c r="P85" i="1"/>
  <c r="Q85" i="1"/>
  <c r="S85" i="1"/>
  <c r="T85" i="1"/>
  <c r="U85" i="1"/>
  <c r="V85" i="1"/>
  <c r="W85" i="1"/>
  <c r="X85" i="1"/>
  <c r="D86" i="1"/>
  <c r="F86" i="1"/>
  <c r="G86" i="1"/>
  <c r="H86" i="1"/>
  <c r="I86" i="1"/>
  <c r="J86" i="1"/>
  <c r="K86" i="1"/>
  <c r="L86" i="1"/>
  <c r="M86" i="1"/>
  <c r="N86" i="1"/>
  <c r="O86" i="1"/>
  <c r="P86" i="1"/>
  <c r="Q86" i="1"/>
  <c r="S86" i="1"/>
  <c r="T86" i="1"/>
  <c r="U86" i="1"/>
  <c r="V86" i="1"/>
  <c r="W86" i="1"/>
  <c r="X86" i="1"/>
  <c r="D87" i="1"/>
  <c r="F87" i="1"/>
  <c r="G87" i="1"/>
  <c r="H87" i="1"/>
  <c r="I87" i="1"/>
  <c r="J87" i="1"/>
  <c r="K87" i="1"/>
  <c r="L87" i="1"/>
  <c r="M87" i="1"/>
  <c r="N87" i="1"/>
  <c r="O87" i="1"/>
  <c r="P87" i="1"/>
  <c r="Q87" i="1"/>
  <c r="S87" i="1"/>
  <c r="T87" i="1"/>
  <c r="U87" i="1"/>
  <c r="V87" i="1"/>
  <c r="W87" i="1"/>
  <c r="X87" i="1"/>
  <c r="D88" i="1"/>
  <c r="F88" i="1"/>
  <c r="G88" i="1"/>
  <c r="H88" i="1"/>
  <c r="I88" i="1"/>
  <c r="J88" i="1"/>
  <c r="K88" i="1"/>
  <c r="L88" i="1"/>
  <c r="M88" i="1"/>
  <c r="N88" i="1"/>
  <c r="O88" i="1"/>
  <c r="P88" i="1"/>
  <c r="Q88" i="1"/>
  <c r="S88" i="1"/>
  <c r="T88" i="1"/>
  <c r="U88" i="1"/>
  <c r="V88" i="1"/>
  <c r="W88" i="1"/>
  <c r="X88" i="1"/>
  <c r="D89" i="1"/>
  <c r="F89" i="1"/>
  <c r="G89" i="1"/>
  <c r="H89" i="1"/>
  <c r="I89" i="1"/>
  <c r="J89" i="1"/>
  <c r="K89" i="1"/>
  <c r="L89" i="1"/>
  <c r="M89" i="1"/>
  <c r="N89" i="1"/>
  <c r="O89" i="1"/>
  <c r="P89" i="1"/>
  <c r="Q89" i="1"/>
  <c r="S89" i="1"/>
  <c r="T89" i="1"/>
  <c r="U89" i="1"/>
  <c r="V89" i="1"/>
  <c r="W89" i="1"/>
  <c r="X89" i="1"/>
  <c r="D90" i="1"/>
  <c r="F90" i="1"/>
  <c r="G90" i="1"/>
  <c r="H90" i="1"/>
  <c r="I90" i="1"/>
  <c r="J90" i="1"/>
  <c r="K90" i="1"/>
  <c r="L90" i="1"/>
  <c r="M90" i="1"/>
  <c r="N90" i="1"/>
  <c r="O90" i="1"/>
  <c r="P90" i="1"/>
  <c r="Q90" i="1"/>
  <c r="S90" i="1"/>
  <c r="T90" i="1"/>
  <c r="U90" i="1"/>
  <c r="V90" i="1"/>
  <c r="W90" i="1"/>
  <c r="X90" i="1"/>
  <c r="D91" i="1"/>
  <c r="F91" i="1"/>
  <c r="G91" i="1"/>
  <c r="H91" i="1"/>
  <c r="I91" i="1"/>
  <c r="J91" i="1"/>
  <c r="K91" i="1"/>
  <c r="L91" i="1"/>
  <c r="M91" i="1"/>
  <c r="N91" i="1"/>
  <c r="O91" i="1"/>
  <c r="P91" i="1"/>
  <c r="Q91" i="1"/>
  <c r="S91" i="1"/>
  <c r="T91" i="1"/>
  <c r="U91" i="1"/>
  <c r="V91" i="1"/>
  <c r="W91" i="1"/>
  <c r="X91" i="1"/>
  <c r="D92" i="1"/>
  <c r="F92" i="1"/>
  <c r="G92" i="1"/>
  <c r="H92" i="1"/>
  <c r="I92" i="1"/>
  <c r="J92" i="1"/>
  <c r="K92" i="1"/>
  <c r="L92" i="1"/>
  <c r="M92" i="1"/>
  <c r="N92" i="1"/>
  <c r="O92" i="1"/>
  <c r="P92" i="1"/>
  <c r="Q92" i="1"/>
  <c r="R92" i="1"/>
  <c r="S92" i="1"/>
  <c r="T92" i="1"/>
  <c r="U92" i="1"/>
  <c r="V92" i="1"/>
  <c r="W92" i="1"/>
  <c r="X92" i="1"/>
  <c r="D93" i="1"/>
  <c r="F93" i="1"/>
  <c r="G93" i="1"/>
  <c r="H93" i="1"/>
  <c r="I93" i="1"/>
  <c r="J93" i="1"/>
  <c r="K93" i="1"/>
  <c r="L93" i="1"/>
  <c r="M93" i="1"/>
  <c r="N93" i="1"/>
  <c r="O93" i="1"/>
  <c r="P93" i="1"/>
  <c r="Q93" i="1"/>
  <c r="S93" i="1"/>
  <c r="T93" i="1"/>
  <c r="U93" i="1"/>
  <c r="V93" i="1"/>
  <c r="W93" i="1"/>
  <c r="X93" i="1"/>
  <c r="D94" i="1"/>
  <c r="F94" i="1"/>
  <c r="G94" i="1"/>
  <c r="H94" i="1"/>
  <c r="I94" i="1"/>
  <c r="J94" i="1"/>
  <c r="K94" i="1"/>
  <c r="L94" i="1"/>
  <c r="M94" i="1"/>
  <c r="N94" i="1"/>
  <c r="O94" i="1"/>
  <c r="P94" i="1"/>
  <c r="Q94" i="1"/>
  <c r="R94" i="1"/>
  <c r="S94" i="1"/>
  <c r="T94" i="1"/>
  <c r="U94" i="1"/>
  <c r="V94" i="1"/>
  <c r="W94" i="1"/>
  <c r="X94" i="1"/>
  <c r="D95" i="1"/>
  <c r="F95" i="1"/>
  <c r="G95" i="1"/>
  <c r="H95" i="1"/>
  <c r="I95" i="1"/>
  <c r="J95" i="1"/>
  <c r="K95" i="1"/>
  <c r="L95" i="1"/>
  <c r="M95" i="1"/>
  <c r="N95" i="1"/>
  <c r="O95" i="1"/>
  <c r="P95" i="1"/>
  <c r="Q95" i="1"/>
  <c r="R95" i="1"/>
  <c r="S95" i="1"/>
  <c r="T95" i="1"/>
  <c r="U95" i="1"/>
  <c r="V95" i="1"/>
  <c r="W95" i="1"/>
  <c r="X95" i="1"/>
  <c r="D96" i="1"/>
  <c r="F96" i="1"/>
  <c r="G96" i="1"/>
  <c r="H96" i="1"/>
  <c r="I96" i="1"/>
  <c r="J96" i="1"/>
  <c r="K96" i="1"/>
  <c r="L96" i="1"/>
  <c r="M96" i="1"/>
  <c r="N96" i="1"/>
  <c r="O96" i="1"/>
  <c r="P96" i="1"/>
  <c r="Q96" i="1"/>
  <c r="R96" i="1"/>
  <c r="S96" i="1"/>
  <c r="T96" i="1"/>
  <c r="U96" i="1"/>
  <c r="V96" i="1"/>
  <c r="W96" i="1"/>
  <c r="X96" i="1"/>
  <c r="D97" i="1"/>
  <c r="F97" i="1"/>
  <c r="G97" i="1"/>
  <c r="H97" i="1"/>
  <c r="I97" i="1"/>
  <c r="J97" i="1"/>
  <c r="K97" i="1"/>
  <c r="L97" i="1"/>
  <c r="M97" i="1"/>
  <c r="N97" i="1"/>
  <c r="O97" i="1"/>
  <c r="P97" i="1"/>
  <c r="Q97" i="1"/>
  <c r="S97" i="1"/>
  <c r="T97" i="1"/>
  <c r="U97" i="1"/>
  <c r="V97" i="1"/>
  <c r="W97" i="1"/>
  <c r="X97" i="1"/>
  <c r="D98" i="1"/>
  <c r="F98" i="1"/>
  <c r="G98" i="1"/>
  <c r="H98" i="1"/>
  <c r="I98" i="1"/>
  <c r="J98" i="1"/>
  <c r="K98" i="1"/>
  <c r="L98" i="1"/>
  <c r="M98" i="1"/>
  <c r="N98" i="1"/>
  <c r="O98" i="1"/>
  <c r="P98" i="1"/>
  <c r="Q98" i="1"/>
  <c r="R98" i="1"/>
  <c r="S98" i="1"/>
  <c r="T98" i="1"/>
  <c r="U98" i="1"/>
  <c r="V98" i="1"/>
  <c r="W98" i="1"/>
  <c r="X98" i="1"/>
  <c r="D99" i="1"/>
  <c r="F99" i="1"/>
  <c r="G99" i="1"/>
  <c r="H99" i="1"/>
  <c r="I99" i="1"/>
  <c r="J99" i="1"/>
  <c r="K99" i="1"/>
  <c r="L99" i="1"/>
  <c r="M99" i="1"/>
  <c r="N99" i="1"/>
  <c r="O99" i="1"/>
  <c r="P99" i="1"/>
  <c r="Q99" i="1"/>
  <c r="S99" i="1"/>
  <c r="T99" i="1"/>
  <c r="U99" i="1"/>
  <c r="V99" i="1"/>
  <c r="W99" i="1"/>
  <c r="X99" i="1"/>
  <c r="D100" i="1"/>
  <c r="F100" i="1"/>
  <c r="G100" i="1"/>
  <c r="H100" i="1"/>
  <c r="I100" i="1"/>
  <c r="J100" i="1"/>
  <c r="K100" i="1"/>
  <c r="L100" i="1"/>
  <c r="M100" i="1"/>
  <c r="N100" i="1"/>
  <c r="O100" i="1"/>
  <c r="P100" i="1"/>
  <c r="Q100" i="1"/>
  <c r="S100" i="1"/>
  <c r="T100" i="1"/>
  <c r="U100" i="1"/>
  <c r="V100" i="1"/>
  <c r="W100" i="1"/>
  <c r="X100" i="1"/>
  <c r="D101" i="1"/>
  <c r="F101" i="1"/>
  <c r="G101" i="1"/>
  <c r="H101" i="1"/>
  <c r="I101" i="1"/>
  <c r="J101" i="1"/>
  <c r="K101" i="1"/>
  <c r="L101" i="1"/>
  <c r="M101" i="1"/>
  <c r="N101" i="1"/>
  <c r="O101" i="1"/>
  <c r="P101" i="1"/>
  <c r="Q101" i="1"/>
  <c r="R101" i="1"/>
  <c r="S101" i="1"/>
  <c r="T101" i="1"/>
  <c r="U101" i="1"/>
  <c r="V101" i="1"/>
  <c r="W101" i="1"/>
  <c r="X101" i="1"/>
  <c r="D102" i="1"/>
  <c r="F102" i="1"/>
  <c r="G102" i="1"/>
  <c r="H102" i="1"/>
  <c r="I102" i="1"/>
  <c r="J102" i="1"/>
  <c r="K102" i="1"/>
  <c r="L102" i="1"/>
  <c r="M102" i="1"/>
  <c r="N102" i="1"/>
  <c r="O102" i="1"/>
  <c r="P102" i="1"/>
  <c r="Q102" i="1"/>
  <c r="S102" i="1"/>
  <c r="T102" i="1"/>
  <c r="U102" i="1"/>
  <c r="V102" i="1"/>
  <c r="W102" i="1"/>
  <c r="X102" i="1"/>
  <c r="D103" i="1"/>
  <c r="F103" i="1"/>
  <c r="G103" i="1"/>
  <c r="H103" i="1"/>
  <c r="I103" i="1"/>
  <c r="J103" i="1"/>
  <c r="K103" i="1"/>
  <c r="L103" i="1"/>
  <c r="M103" i="1"/>
  <c r="N103" i="1"/>
  <c r="O103" i="1"/>
  <c r="P103" i="1"/>
  <c r="Q103" i="1"/>
  <c r="R103" i="1"/>
  <c r="S103" i="1"/>
  <c r="T103" i="1"/>
  <c r="U103" i="1"/>
  <c r="V103" i="1"/>
  <c r="W103" i="1"/>
  <c r="X103" i="1"/>
  <c r="D104" i="1"/>
  <c r="F104" i="1"/>
  <c r="G104" i="1"/>
  <c r="H104" i="1"/>
  <c r="I104" i="1"/>
  <c r="J104" i="1"/>
  <c r="K104" i="1"/>
  <c r="L104" i="1"/>
  <c r="M104" i="1"/>
  <c r="N104" i="1"/>
  <c r="O104" i="1"/>
  <c r="P104" i="1"/>
  <c r="Q104" i="1"/>
  <c r="R104" i="1"/>
  <c r="S104" i="1"/>
  <c r="T104" i="1"/>
  <c r="U104" i="1"/>
  <c r="V104" i="1"/>
  <c r="W104" i="1"/>
  <c r="X104" i="1"/>
  <c r="D105" i="1"/>
  <c r="F105" i="1"/>
  <c r="G105" i="1"/>
  <c r="H105" i="1"/>
  <c r="I105" i="1"/>
  <c r="J105" i="1"/>
  <c r="K105" i="1"/>
  <c r="L105" i="1"/>
  <c r="M105" i="1"/>
  <c r="N105" i="1"/>
  <c r="O105" i="1"/>
  <c r="P105" i="1"/>
  <c r="Q105" i="1"/>
  <c r="S105" i="1"/>
  <c r="T105" i="1"/>
  <c r="U105" i="1"/>
  <c r="V105" i="1"/>
  <c r="W105" i="1"/>
  <c r="X105" i="1"/>
  <c r="D106" i="1"/>
  <c r="F106" i="1"/>
  <c r="G106" i="1"/>
  <c r="H106" i="1"/>
  <c r="I106" i="1"/>
  <c r="J106" i="1"/>
  <c r="K106" i="1"/>
  <c r="L106" i="1"/>
  <c r="M106" i="1"/>
  <c r="N106" i="1"/>
  <c r="O106" i="1"/>
  <c r="P106" i="1"/>
  <c r="Q106" i="1"/>
  <c r="R106" i="1"/>
  <c r="S106" i="1"/>
  <c r="T106" i="1"/>
  <c r="U106" i="1"/>
  <c r="V106" i="1"/>
  <c r="W106" i="1"/>
  <c r="X106" i="1"/>
  <c r="D107" i="1"/>
  <c r="F107" i="1"/>
  <c r="G107" i="1"/>
  <c r="H107" i="1"/>
  <c r="I107" i="1"/>
  <c r="J107" i="1"/>
  <c r="K107" i="1"/>
  <c r="L107" i="1"/>
  <c r="M107" i="1"/>
  <c r="N107" i="1"/>
  <c r="O107" i="1"/>
  <c r="P107" i="1"/>
  <c r="Q107" i="1"/>
  <c r="R107" i="1"/>
  <c r="S107" i="1"/>
  <c r="T107" i="1"/>
  <c r="U107" i="1"/>
  <c r="V107" i="1"/>
  <c r="W107" i="1"/>
  <c r="X107" i="1"/>
  <c r="D108" i="1"/>
  <c r="F108" i="1"/>
  <c r="G108" i="1"/>
  <c r="H108" i="1"/>
  <c r="I108" i="1"/>
  <c r="J108" i="1"/>
  <c r="K108" i="1"/>
  <c r="L108" i="1"/>
  <c r="M108" i="1"/>
  <c r="N108" i="1"/>
  <c r="O108" i="1"/>
  <c r="P108" i="1"/>
  <c r="Q108" i="1"/>
  <c r="R108" i="1"/>
  <c r="S108" i="1"/>
  <c r="T108" i="1"/>
  <c r="U108" i="1"/>
  <c r="V108" i="1"/>
  <c r="W108" i="1"/>
  <c r="X108" i="1"/>
  <c r="D109" i="1"/>
  <c r="F109" i="1"/>
  <c r="G109" i="1"/>
  <c r="H109" i="1"/>
  <c r="I109" i="1"/>
  <c r="J109" i="1"/>
  <c r="K109" i="1"/>
  <c r="L109" i="1"/>
  <c r="M109" i="1"/>
  <c r="N109" i="1"/>
  <c r="O109" i="1"/>
  <c r="P109" i="1"/>
  <c r="Q109" i="1"/>
  <c r="R109" i="1"/>
  <c r="S109" i="1"/>
  <c r="T109" i="1"/>
  <c r="U109" i="1"/>
  <c r="V109" i="1"/>
  <c r="W109" i="1"/>
  <c r="X109" i="1"/>
  <c r="D110" i="1"/>
  <c r="F110" i="1"/>
  <c r="G110" i="1"/>
  <c r="H110" i="1"/>
  <c r="I110" i="1"/>
  <c r="J110" i="1"/>
  <c r="K110" i="1"/>
  <c r="L110" i="1"/>
  <c r="M110" i="1"/>
  <c r="N110" i="1"/>
  <c r="O110" i="1"/>
  <c r="P110" i="1"/>
  <c r="Q110" i="1"/>
  <c r="R110" i="1"/>
  <c r="S110" i="1"/>
  <c r="T110" i="1"/>
  <c r="U110" i="1"/>
  <c r="V110" i="1"/>
  <c r="W110" i="1"/>
  <c r="X110" i="1"/>
  <c r="D111" i="1"/>
  <c r="F111" i="1"/>
  <c r="G111" i="1"/>
  <c r="H111" i="1"/>
  <c r="I111" i="1"/>
  <c r="J111" i="1"/>
  <c r="K111" i="1"/>
  <c r="L111" i="1"/>
  <c r="M111" i="1"/>
  <c r="N111" i="1"/>
  <c r="O111" i="1"/>
  <c r="P111" i="1"/>
  <c r="Q111" i="1"/>
  <c r="S111" i="1"/>
  <c r="T111" i="1"/>
  <c r="U111" i="1"/>
  <c r="V111" i="1"/>
  <c r="W111" i="1"/>
  <c r="X111" i="1"/>
  <c r="D112" i="1"/>
  <c r="F112" i="1"/>
  <c r="G112" i="1"/>
  <c r="H112" i="1"/>
  <c r="I112" i="1"/>
  <c r="J112" i="1"/>
  <c r="K112" i="1"/>
  <c r="L112" i="1"/>
  <c r="M112" i="1"/>
  <c r="N112" i="1"/>
  <c r="O112" i="1"/>
  <c r="P112" i="1"/>
  <c r="Q112" i="1"/>
  <c r="S112" i="1"/>
  <c r="T112" i="1"/>
  <c r="U112" i="1"/>
  <c r="V112" i="1"/>
  <c r="W112" i="1"/>
  <c r="X112" i="1"/>
  <c r="D113" i="1"/>
  <c r="F113" i="1"/>
  <c r="G113" i="1"/>
  <c r="H113" i="1"/>
  <c r="I113" i="1"/>
  <c r="J113" i="1"/>
  <c r="K113" i="1"/>
  <c r="L113" i="1"/>
  <c r="M113" i="1"/>
  <c r="N113" i="1"/>
  <c r="O113" i="1"/>
  <c r="P113" i="1"/>
  <c r="Q113" i="1"/>
  <c r="S113" i="1"/>
  <c r="T113" i="1"/>
  <c r="U113" i="1"/>
  <c r="V113" i="1"/>
  <c r="W113" i="1"/>
  <c r="X113" i="1"/>
  <c r="D114" i="1"/>
  <c r="F114" i="1"/>
  <c r="G114" i="1"/>
  <c r="H114" i="1"/>
  <c r="I114" i="1"/>
  <c r="J114" i="1"/>
  <c r="K114" i="1"/>
  <c r="L114" i="1"/>
  <c r="M114" i="1"/>
  <c r="N114" i="1"/>
  <c r="O114" i="1"/>
  <c r="P114" i="1"/>
  <c r="Q114" i="1"/>
  <c r="S114" i="1"/>
  <c r="T114" i="1"/>
  <c r="U114" i="1"/>
  <c r="V114" i="1"/>
  <c r="W114" i="1"/>
  <c r="X114" i="1"/>
  <c r="D115" i="1"/>
  <c r="F115" i="1"/>
  <c r="G115" i="1"/>
  <c r="H115" i="1"/>
  <c r="I115" i="1"/>
  <c r="J115" i="1"/>
  <c r="K115" i="1"/>
  <c r="L115" i="1"/>
  <c r="M115" i="1"/>
  <c r="N115" i="1"/>
  <c r="O115" i="1"/>
  <c r="P115" i="1"/>
  <c r="Q115" i="1"/>
  <c r="S115" i="1"/>
  <c r="T115" i="1"/>
  <c r="U115" i="1"/>
  <c r="V115" i="1"/>
  <c r="W115" i="1"/>
  <c r="X115" i="1"/>
  <c r="D116" i="1"/>
  <c r="F116" i="1"/>
  <c r="G116" i="1"/>
  <c r="H116" i="1"/>
  <c r="I116" i="1"/>
  <c r="J116" i="1"/>
  <c r="K116" i="1"/>
  <c r="L116" i="1"/>
  <c r="M116" i="1"/>
  <c r="N116" i="1"/>
  <c r="O116" i="1"/>
  <c r="P116" i="1"/>
  <c r="Q116" i="1"/>
  <c r="S116" i="1"/>
  <c r="T116" i="1"/>
  <c r="U116" i="1"/>
  <c r="V116" i="1"/>
  <c r="W116" i="1"/>
  <c r="X116" i="1"/>
  <c r="D117" i="1"/>
  <c r="F117" i="1"/>
  <c r="G117" i="1"/>
  <c r="H117" i="1"/>
  <c r="I117" i="1"/>
  <c r="J117" i="1"/>
  <c r="K117" i="1"/>
  <c r="L117" i="1"/>
  <c r="M117" i="1"/>
  <c r="N117" i="1"/>
  <c r="O117" i="1"/>
  <c r="P117" i="1"/>
  <c r="Q117" i="1"/>
  <c r="R117" i="1"/>
  <c r="S117" i="1"/>
  <c r="T117" i="1"/>
  <c r="U117" i="1"/>
  <c r="V117" i="1"/>
  <c r="W117" i="1"/>
  <c r="X117" i="1"/>
  <c r="D118" i="1"/>
  <c r="F118" i="1"/>
  <c r="G118" i="1"/>
  <c r="H118" i="1"/>
  <c r="I118" i="1"/>
  <c r="J118" i="1"/>
  <c r="K118" i="1"/>
  <c r="L118" i="1"/>
  <c r="M118" i="1"/>
  <c r="N118" i="1"/>
  <c r="O118" i="1"/>
  <c r="P118" i="1"/>
  <c r="Q118" i="1"/>
  <c r="S118" i="1"/>
  <c r="T118" i="1"/>
  <c r="U118" i="1"/>
  <c r="V118" i="1"/>
  <c r="W118" i="1"/>
  <c r="X118" i="1"/>
  <c r="D119" i="1"/>
  <c r="F119" i="1"/>
  <c r="G119" i="1"/>
  <c r="H119" i="1"/>
  <c r="I119" i="1"/>
  <c r="J119" i="1"/>
  <c r="K119" i="1"/>
  <c r="L119" i="1"/>
  <c r="M119" i="1"/>
  <c r="N119" i="1"/>
  <c r="O119" i="1"/>
  <c r="P119" i="1"/>
  <c r="Q119" i="1"/>
  <c r="S119" i="1"/>
  <c r="T119" i="1"/>
  <c r="U119" i="1"/>
  <c r="V119" i="1"/>
  <c r="W119" i="1"/>
  <c r="X119" i="1"/>
  <c r="D120" i="1"/>
  <c r="F120" i="1"/>
  <c r="G120" i="1"/>
  <c r="H120" i="1"/>
  <c r="I120" i="1"/>
  <c r="J120" i="1"/>
  <c r="K120" i="1"/>
  <c r="L120" i="1"/>
  <c r="M120" i="1"/>
  <c r="N120" i="1"/>
  <c r="O120" i="1"/>
  <c r="P120" i="1"/>
  <c r="Q120" i="1"/>
  <c r="S120" i="1"/>
  <c r="T120" i="1"/>
  <c r="U120" i="1"/>
  <c r="V120" i="1"/>
  <c r="W120" i="1"/>
  <c r="X120" i="1"/>
  <c r="D121" i="1"/>
  <c r="F121" i="1"/>
  <c r="G121" i="1"/>
  <c r="H121" i="1"/>
  <c r="I121" i="1"/>
  <c r="J121" i="1"/>
  <c r="K121" i="1"/>
  <c r="L121" i="1"/>
  <c r="M121" i="1"/>
  <c r="N121" i="1"/>
  <c r="O121" i="1"/>
  <c r="P121" i="1"/>
  <c r="Q121" i="1"/>
  <c r="S121" i="1"/>
  <c r="T121" i="1"/>
  <c r="U121" i="1"/>
  <c r="V121" i="1"/>
  <c r="W121" i="1"/>
  <c r="X121" i="1"/>
  <c r="D122" i="1"/>
  <c r="F122" i="1"/>
  <c r="G122" i="1"/>
  <c r="H122" i="1"/>
  <c r="I122" i="1"/>
  <c r="J122" i="1"/>
  <c r="K122" i="1"/>
  <c r="L122" i="1"/>
  <c r="M122" i="1"/>
  <c r="N122" i="1"/>
  <c r="O122" i="1"/>
  <c r="P122" i="1"/>
  <c r="Q122" i="1"/>
  <c r="S122" i="1"/>
  <c r="T122" i="1"/>
  <c r="U122" i="1"/>
  <c r="V122" i="1"/>
  <c r="W122" i="1"/>
  <c r="X122" i="1"/>
  <c r="D123" i="1"/>
  <c r="F123" i="1"/>
  <c r="G123" i="1"/>
  <c r="H123" i="1"/>
  <c r="I123" i="1"/>
  <c r="J123" i="1"/>
  <c r="K123" i="1"/>
  <c r="L123" i="1"/>
  <c r="M123" i="1"/>
  <c r="N123" i="1"/>
  <c r="O123" i="1"/>
  <c r="P123" i="1"/>
  <c r="Q123" i="1"/>
  <c r="R123" i="1"/>
  <c r="S123" i="1"/>
  <c r="T123" i="1"/>
  <c r="U123" i="1"/>
  <c r="V123" i="1"/>
  <c r="W123" i="1"/>
  <c r="X123" i="1"/>
  <c r="D124" i="1"/>
  <c r="F124" i="1"/>
  <c r="G124" i="1"/>
  <c r="H124" i="1"/>
  <c r="I124" i="1"/>
  <c r="J124" i="1"/>
  <c r="K124" i="1"/>
  <c r="L124" i="1"/>
  <c r="M124" i="1"/>
  <c r="N124" i="1"/>
  <c r="O124" i="1"/>
  <c r="P124" i="1"/>
  <c r="Q124" i="1"/>
  <c r="S124" i="1"/>
  <c r="T124" i="1"/>
  <c r="U124" i="1"/>
  <c r="V124" i="1"/>
  <c r="W124" i="1"/>
  <c r="X124" i="1"/>
  <c r="D125" i="1"/>
  <c r="F125" i="1"/>
  <c r="G125" i="1"/>
  <c r="H125" i="1"/>
  <c r="I125" i="1"/>
  <c r="J125" i="1"/>
  <c r="K125" i="1"/>
  <c r="L125" i="1"/>
  <c r="M125" i="1"/>
  <c r="N125" i="1"/>
  <c r="O125" i="1"/>
  <c r="P125" i="1"/>
  <c r="Q125" i="1"/>
  <c r="S125" i="1"/>
  <c r="T125" i="1"/>
  <c r="U125" i="1"/>
  <c r="V125" i="1"/>
  <c r="W125" i="1"/>
  <c r="X125" i="1"/>
  <c r="D126" i="1"/>
  <c r="F126" i="1"/>
  <c r="G126" i="1"/>
  <c r="H126" i="1"/>
  <c r="I126" i="1"/>
  <c r="J126" i="1"/>
  <c r="K126" i="1"/>
  <c r="L126" i="1"/>
  <c r="M126" i="1"/>
  <c r="N126" i="1"/>
  <c r="O126" i="1"/>
  <c r="P126" i="1"/>
  <c r="Q126" i="1"/>
  <c r="R126" i="1"/>
  <c r="S126" i="1"/>
  <c r="T126" i="1"/>
  <c r="U126" i="1"/>
  <c r="V126" i="1"/>
  <c r="W126" i="1"/>
  <c r="X126" i="1"/>
  <c r="D127" i="1"/>
  <c r="F127" i="1"/>
  <c r="G127" i="1"/>
  <c r="H127" i="1"/>
  <c r="I127" i="1"/>
  <c r="J127" i="1"/>
  <c r="K127" i="1"/>
  <c r="L127" i="1"/>
  <c r="M127" i="1"/>
  <c r="N127" i="1"/>
  <c r="O127" i="1"/>
  <c r="P127" i="1"/>
  <c r="Q127" i="1"/>
  <c r="S127" i="1"/>
  <c r="T127" i="1"/>
  <c r="U127" i="1"/>
  <c r="V127" i="1"/>
  <c r="W127" i="1"/>
  <c r="X127" i="1"/>
  <c r="D128" i="1"/>
  <c r="F128" i="1"/>
  <c r="G128" i="1"/>
  <c r="H128" i="1"/>
  <c r="I128" i="1"/>
  <c r="J128" i="1"/>
  <c r="K128" i="1"/>
  <c r="L128" i="1"/>
  <c r="M128" i="1"/>
  <c r="N128" i="1"/>
  <c r="O128" i="1"/>
  <c r="P128" i="1"/>
  <c r="Q128" i="1"/>
  <c r="R128" i="1"/>
  <c r="S128" i="1"/>
  <c r="T128" i="1"/>
  <c r="U128" i="1"/>
  <c r="V128" i="1"/>
  <c r="W128" i="1"/>
  <c r="X128" i="1"/>
  <c r="D129" i="1"/>
  <c r="F129" i="1"/>
  <c r="G129" i="1"/>
  <c r="H129" i="1"/>
  <c r="I129" i="1"/>
  <c r="J129" i="1"/>
  <c r="K129" i="1"/>
  <c r="L129" i="1"/>
  <c r="M129" i="1"/>
  <c r="N129" i="1"/>
  <c r="O129" i="1"/>
  <c r="P129" i="1"/>
  <c r="Q129" i="1"/>
  <c r="S129" i="1"/>
  <c r="T129" i="1"/>
  <c r="U129" i="1"/>
  <c r="V129" i="1"/>
  <c r="W129" i="1"/>
  <c r="X129" i="1"/>
  <c r="D130" i="1"/>
  <c r="F130" i="1"/>
  <c r="G130" i="1"/>
  <c r="H130" i="1"/>
  <c r="I130" i="1"/>
  <c r="J130" i="1"/>
  <c r="K130" i="1"/>
  <c r="L130" i="1"/>
  <c r="M130" i="1"/>
  <c r="N130" i="1"/>
  <c r="O130" i="1"/>
  <c r="P130" i="1"/>
  <c r="Q130" i="1"/>
  <c r="R130" i="1"/>
  <c r="S130" i="1"/>
  <c r="T130" i="1"/>
  <c r="U130" i="1"/>
  <c r="V130" i="1"/>
  <c r="W130" i="1"/>
  <c r="X130" i="1"/>
  <c r="D131" i="1"/>
  <c r="F131" i="1"/>
  <c r="G131" i="1"/>
  <c r="H131" i="1"/>
  <c r="I131" i="1"/>
  <c r="J131" i="1"/>
  <c r="K131" i="1"/>
  <c r="L131" i="1"/>
  <c r="M131" i="1"/>
  <c r="N131" i="1"/>
  <c r="O131" i="1"/>
  <c r="P131" i="1"/>
  <c r="Q131" i="1"/>
  <c r="S131" i="1"/>
  <c r="T131" i="1"/>
  <c r="U131" i="1"/>
  <c r="V131" i="1"/>
  <c r="W131" i="1"/>
  <c r="X131" i="1"/>
  <c r="D132" i="1"/>
  <c r="F132" i="1"/>
  <c r="G132" i="1"/>
  <c r="H132" i="1"/>
  <c r="I132" i="1"/>
  <c r="J132" i="1"/>
  <c r="K132" i="1"/>
  <c r="L132" i="1"/>
  <c r="M132" i="1"/>
  <c r="N132" i="1"/>
  <c r="O132" i="1"/>
  <c r="P132" i="1"/>
  <c r="Q132" i="1"/>
  <c r="R132" i="1"/>
  <c r="S132" i="1"/>
  <c r="T132" i="1"/>
  <c r="U132" i="1"/>
  <c r="V132" i="1"/>
  <c r="W132" i="1"/>
  <c r="X132" i="1"/>
  <c r="D133" i="1"/>
  <c r="F133" i="1"/>
  <c r="G133" i="1"/>
  <c r="H133" i="1"/>
  <c r="I133" i="1"/>
  <c r="J133" i="1"/>
  <c r="K133" i="1"/>
  <c r="L133" i="1"/>
  <c r="M133" i="1"/>
  <c r="N133" i="1"/>
  <c r="O133" i="1"/>
  <c r="P133" i="1"/>
  <c r="Q133" i="1"/>
  <c r="R133" i="1"/>
  <c r="S133" i="1"/>
  <c r="T133" i="1"/>
  <c r="U133" i="1"/>
  <c r="V133" i="1"/>
  <c r="W133" i="1"/>
  <c r="X133" i="1"/>
  <c r="D134" i="1"/>
  <c r="F134" i="1"/>
  <c r="G134" i="1"/>
  <c r="H134" i="1"/>
  <c r="I134" i="1"/>
  <c r="J134" i="1"/>
  <c r="K134" i="1"/>
  <c r="L134" i="1"/>
  <c r="M134" i="1"/>
  <c r="N134" i="1"/>
  <c r="O134" i="1"/>
  <c r="P134" i="1"/>
  <c r="Q134" i="1"/>
  <c r="S134" i="1"/>
  <c r="T134" i="1"/>
  <c r="U134" i="1"/>
  <c r="V134" i="1"/>
  <c r="W134" i="1"/>
  <c r="X134" i="1"/>
  <c r="D135" i="1"/>
  <c r="F135" i="1"/>
  <c r="G135" i="1"/>
  <c r="H135" i="1"/>
  <c r="I135" i="1"/>
  <c r="J135" i="1"/>
  <c r="K135" i="1"/>
  <c r="L135" i="1"/>
  <c r="M135" i="1"/>
  <c r="N135" i="1"/>
  <c r="O135" i="1"/>
  <c r="P135" i="1"/>
  <c r="Q135" i="1"/>
  <c r="S135" i="1"/>
  <c r="T135" i="1"/>
  <c r="U135" i="1"/>
  <c r="V135" i="1"/>
  <c r="W135" i="1"/>
  <c r="X135" i="1"/>
  <c r="D136" i="1"/>
  <c r="F136" i="1"/>
  <c r="G136" i="1"/>
  <c r="H136" i="1"/>
  <c r="I136" i="1"/>
  <c r="J136" i="1"/>
  <c r="K136" i="1"/>
  <c r="L136" i="1"/>
  <c r="M136" i="1"/>
  <c r="N136" i="1"/>
  <c r="O136" i="1"/>
  <c r="P136" i="1"/>
  <c r="Q136" i="1"/>
  <c r="S136" i="1"/>
  <c r="T136" i="1"/>
  <c r="U136" i="1"/>
  <c r="V136" i="1"/>
  <c r="W136" i="1"/>
  <c r="X136" i="1"/>
  <c r="D137" i="1"/>
  <c r="F137" i="1"/>
  <c r="G137" i="1"/>
  <c r="H137" i="1"/>
  <c r="I137" i="1"/>
  <c r="J137" i="1"/>
  <c r="K137" i="1"/>
  <c r="L137" i="1"/>
  <c r="M137" i="1"/>
  <c r="N137" i="1"/>
  <c r="O137" i="1"/>
  <c r="P137" i="1"/>
  <c r="Q137" i="1"/>
  <c r="S137" i="1"/>
  <c r="T137" i="1"/>
  <c r="U137" i="1"/>
  <c r="V137" i="1"/>
  <c r="W137" i="1"/>
  <c r="X137" i="1"/>
  <c r="D138" i="1"/>
  <c r="F138" i="1"/>
  <c r="G138" i="1"/>
  <c r="H138" i="1"/>
  <c r="I138" i="1"/>
  <c r="J138" i="1"/>
  <c r="K138" i="1"/>
  <c r="L138" i="1"/>
  <c r="M138" i="1"/>
  <c r="N138" i="1"/>
  <c r="O138" i="1"/>
  <c r="P138" i="1"/>
  <c r="Q138" i="1"/>
  <c r="R138" i="1"/>
  <c r="S138" i="1"/>
  <c r="T138" i="1"/>
  <c r="U138" i="1"/>
  <c r="V138" i="1"/>
  <c r="W138" i="1"/>
  <c r="X138" i="1"/>
  <c r="D139" i="1"/>
  <c r="F139" i="1"/>
  <c r="G139" i="1"/>
  <c r="H139" i="1"/>
  <c r="I139" i="1"/>
  <c r="J139" i="1"/>
  <c r="K139" i="1"/>
  <c r="L139" i="1"/>
  <c r="M139" i="1"/>
  <c r="N139" i="1"/>
  <c r="O139" i="1"/>
  <c r="P139" i="1"/>
  <c r="Q139" i="1"/>
  <c r="S139" i="1"/>
  <c r="T139" i="1"/>
  <c r="U139" i="1"/>
  <c r="V139" i="1"/>
  <c r="W139" i="1"/>
  <c r="X139" i="1"/>
  <c r="D140" i="1"/>
  <c r="F140" i="1"/>
  <c r="G140" i="1"/>
  <c r="H140" i="1"/>
  <c r="I140" i="1"/>
  <c r="J140" i="1"/>
  <c r="K140" i="1"/>
  <c r="L140" i="1"/>
  <c r="M140" i="1"/>
  <c r="N140" i="1"/>
  <c r="O140" i="1"/>
  <c r="P140" i="1"/>
  <c r="Q140" i="1"/>
  <c r="S140" i="1"/>
  <c r="T140" i="1"/>
  <c r="U140" i="1"/>
  <c r="V140" i="1"/>
  <c r="W140" i="1"/>
  <c r="X140" i="1"/>
  <c r="D141" i="1"/>
  <c r="F141" i="1"/>
  <c r="G141" i="1"/>
  <c r="H141" i="1"/>
  <c r="I141" i="1"/>
  <c r="J141" i="1"/>
  <c r="K141" i="1"/>
  <c r="L141" i="1"/>
  <c r="M141" i="1"/>
  <c r="N141" i="1"/>
  <c r="O141" i="1"/>
  <c r="P141" i="1"/>
  <c r="Q141" i="1"/>
  <c r="S141" i="1"/>
  <c r="T141" i="1"/>
  <c r="U141" i="1"/>
  <c r="V141" i="1"/>
  <c r="W141" i="1"/>
  <c r="X141" i="1"/>
  <c r="D142" i="1"/>
  <c r="F142" i="1"/>
  <c r="G142" i="1"/>
  <c r="H142" i="1"/>
  <c r="I142" i="1"/>
  <c r="J142" i="1"/>
  <c r="K142" i="1"/>
  <c r="L142" i="1"/>
  <c r="M142" i="1"/>
  <c r="N142" i="1"/>
  <c r="O142" i="1"/>
  <c r="P142" i="1"/>
  <c r="Q142" i="1"/>
  <c r="S142" i="1"/>
  <c r="T142" i="1"/>
  <c r="U142" i="1"/>
  <c r="V142" i="1"/>
  <c r="W142" i="1"/>
  <c r="X142" i="1"/>
  <c r="D143" i="1"/>
  <c r="F143" i="1"/>
  <c r="G143" i="1"/>
  <c r="H143" i="1"/>
  <c r="I143" i="1"/>
  <c r="J143" i="1"/>
  <c r="K143" i="1"/>
  <c r="L143" i="1"/>
  <c r="M143" i="1"/>
  <c r="N143" i="1"/>
  <c r="O143" i="1"/>
  <c r="P143" i="1"/>
  <c r="Q143" i="1"/>
  <c r="R143" i="1"/>
  <c r="S143" i="1"/>
  <c r="T143" i="1"/>
  <c r="U143" i="1"/>
  <c r="V143" i="1"/>
  <c r="W143" i="1"/>
  <c r="X143" i="1"/>
  <c r="D144" i="1"/>
  <c r="F144" i="1"/>
  <c r="G144" i="1"/>
  <c r="H144" i="1"/>
  <c r="I144" i="1"/>
  <c r="J144" i="1"/>
  <c r="K144" i="1"/>
  <c r="L144" i="1"/>
  <c r="M144" i="1"/>
  <c r="N144" i="1"/>
  <c r="O144" i="1"/>
  <c r="P144" i="1"/>
  <c r="Q144" i="1"/>
  <c r="S144" i="1"/>
  <c r="T144" i="1"/>
  <c r="U144" i="1"/>
  <c r="V144" i="1"/>
  <c r="W144" i="1"/>
  <c r="X144" i="1"/>
  <c r="D145" i="1"/>
  <c r="F145" i="1"/>
  <c r="G145" i="1"/>
  <c r="H145" i="1"/>
  <c r="I145" i="1"/>
  <c r="J145" i="1"/>
  <c r="K145" i="1"/>
  <c r="L145" i="1"/>
  <c r="M145" i="1"/>
  <c r="N145" i="1"/>
  <c r="O145" i="1"/>
  <c r="P145" i="1"/>
  <c r="Q145" i="1"/>
  <c r="R145" i="1"/>
  <c r="S145" i="1"/>
  <c r="T145" i="1"/>
  <c r="U145" i="1"/>
  <c r="V145" i="1"/>
  <c r="W145" i="1"/>
  <c r="X145" i="1"/>
  <c r="D146" i="1"/>
  <c r="F146" i="1"/>
  <c r="G146" i="1"/>
  <c r="H146" i="1"/>
  <c r="I146" i="1"/>
  <c r="J146" i="1"/>
  <c r="K146" i="1"/>
  <c r="L146" i="1"/>
  <c r="M146" i="1"/>
  <c r="N146" i="1"/>
  <c r="O146" i="1"/>
  <c r="P146" i="1"/>
  <c r="Q146" i="1"/>
  <c r="R146" i="1"/>
  <c r="S146" i="1"/>
  <c r="T146" i="1"/>
  <c r="U146" i="1"/>
  <c r="V146" i="1"/>
  <c r="W146" i="1"/>
  <c r="X146" i="1"/>
  <c r="D147" i="1"/>
  <c r="F147" i="1"/>
  <c r="G147" i="1"/>
  <c r="H147" i="1"/>
  <c r="I147" i="1"/>
  <c r="J147" i="1"/>
  <c r="K147" i="1"/>
  <c r="L147" i="1"/>
  <c r="M147" i="1"/>
  <c r="N147" i="1"/>
  <c r="O147" i="1"/>
  <c r="P147" i="1"/>
  <c r="Q147" i="1"/>
  <c r="R147" i="1"/>
  <c r="S147" i="1"/>
  <c r="T147" i="1"/>
  <c r="U147" i="1"/>
  <c r="V147" i="1"/>
  <c r="W147" i="1"/>
  <c r="X147" i="1"/>
  <c r="D148" i="1"/>
  <c r="F148" i="1"/>
  <c r="G148" i="1"/>
  <c r="H148" i="1"/>
  <c r="I148" i="1"/>
  <c r="J148" i="1"/>
  <c r="K148" i="1"/>
  <c r="L148" i="1"/>
  <c r="M148" i="1"/>
  <c r="N148" i="1"/>
  <c r="O148" i="1"/>
  <c r="P148" i="1"/>
  <c r="Q148" i="1"/>
  <c r="S148" i="1"/>
  <c r="T148" i="1"/>
  <c r="U148" i="1"/>
  <c r="V148" i="1"/>
  <c r="W148" i="1"/>
  <c r="X148" i="1"/>
  <c r="D149" i="1"/>
  <c r="F149" i="1"/>
  <c r="G149" i="1"/>
  <c r="H149" i="1"/>
  <c r="I149" i="1"/>
  <c r="J149" i="1"/>
  <c r="K149" i="1"/>
  <c r="L149" i="1"/>
  <c r="M149" i="1"/>
  <c r="N149" i="1"/>
  <c r="O149" i="1"/>
  <c r="P149" i="1"/>
  <c r="Q149" i="1"/>
  <c r="S149" i="1"/>
  <c r="T149" i="1"/>
  <c r="U149" i="1"/>
  <c r="V149" i="1"/>
  <c r="W149" i="1"/>
  <c r="X149" i="1"/>
  <c r="D150" i="1"/>
  <c r="F150" i="1"/>
  <c r="G150" i="1"/>
  <c r="H150" i="1"/>
  <c r="I150" i="1"/>
  <c r="J150" i="1"/>
  <c r="K150" i="1"/>
  <c r="L150" i="1"/>
  <c r="M150" i="1"/>
  <c r="N150" i="1"/>
  <c r="O150" i="1"/>
  <c r="P150" i="1"/>
  <c r="Q150" i="1"/>
  <c r="S150" i="1"/>
  <c r="T150" i="1"/>
  <c r="U150" i="1"/>
  <c r="V150" i="1"/>
  <c r="W150" i="1"/>
  <c r="X150" i="1"/>
  <c r="D151" i="1"/>
  <c r="F151" i="1"/>
  <c r="G151" i="1"/>
  <c r="H151" i="1"/>
  <c r="I151" i="1"/>
  <c r="J151" i="1"/>
  <c r="K151" i="1"/>
  <c r="L151" i="1"/>
  <c r="M151" i="1"/>
  <c r="N151" i="1"/>
  <c r="O151" i="1"/>
  <c r="P151" i="1"/>
  <c r="Q151" i="1"/>
  <c r="S151" i="1"/>
  <c r="T151" i="1"/>
  <c r="U151" i="1"/>
  <c r="V151" i="1"/>
  <c r="W151" i="1"/>
  <c r="X151" i="1"/>
  <c r="D152" i="1"/>
  <c r="F152" i="1"/>
  <c r="G152" i="1"/>
  <c r="H152" i="1"/>
  <c r="I152" i="1"/>
  <c r="J152" i="1"/>
  <c r="K152" i="1"/>
  <c r="L152" i="1"/>
  <c r="M152" i="1"/>
  <c r="N152" i="1"/>
  <c r="O152" i="1"/>
  <c r="P152" i="1"/>
  <c r="Q152" i="1"/>
  <c r="S152" i="1"/>
  <c r="T152" i="1"/>
  <c r="U152" i="1"/>
  <c r="V152" i="1"/>
  <c r="W152" i="1"/>
  <c r="X152" i="1"/>
  <c r="D153" i="1"/>
  <c r="F153" i="1"/>
  <c r="G153" i="1"/>
  <c r="H153" i="1"/>
  <c r="I153" i="1"/>
  <c r="J153" i="1"/>
  <c r="K153" i="1"/>
  <c r="L153" i="1"/>
  <c r="M153" i="1"/>
  <c r="N153" i="1"/>
  <c r="O153" i="1"/>
  <c r="P153" i="1"/>
  <c r="Q153" i="1"/>
  <c r="R153" i="1"/>
  <c r="S153" i="1"/>
  <c r="T153" i="1"/>
  <c r="U153" i="1"/>
  <c r="V153" i="1"/>
  <c r="W153" i="1"/>
  <c r="X153" i="1"/>
  <c r="D154" i="1"/>
  <c r="F154" i="1"/>
  <c r="G154" i="1"/>
  <c r="H154" i="1"/>
  <c r="I154" i="1"/>
  <c r="J154" i="1"/>
  <c r="K154" i="1"/>
  <c r="L154" i="1"/>
  <c r="M154" i="1"/>
  <c r="N154" i="1"/>
  <c r="O154" i="1"/>
  <c r="P154" i="1"/>
  <c r="Q154" i="1"/>
  <c r="S154" i="1"/>
  <c r="T154" i="1"/>
  <c r="U154" i="1"/>
  <c r="V154" i="1"/>
  <c r="W154" i="1"/>
  <c r="X15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Norton Araujo</author>
  </authors>
  <commentList>
    <comment ref="E52" authorId="0" shapeId="0" xr:uid="{BAD13297-5164-4147-A067-6E59E9389FDE}">
      <text>
        <r>
          <rPr>
            <b/>
            <sz val="9"/>
            <color indexed="81"/>
            <rFont val="Tahoma"/>
            <family val="2"/>
          </rPr>
          <t>Norton Araujo:</t>
        </r>
        <r>
          <rPr>
            <sz val="9"/>
            <color indexed="81"/>
            <rFont val="Tahoma"/>
            <family val="2"/>
          </rPr>
          <t xml:space="preserve">
Customer Name changed by IT on 15-Oct-25.
From </t>
        </r>
        <r>
          <rPr>
            <b/>
            <sz val="9"/>
            <color indexed="81"/>
            <rFont val="Tahoma"/>
            <family val="2"/>
          </rPr>
          <t xml:space="preserve">Jaber </t>
        </r>
        <r>
          <rPr>
            <sz val="9"/>
            <color indexed="81"/>
            <rFont val="Tahoma"/>
            <family val="2"/>
          </rPr>
          <t>to</t>
        </r>
        <r>
          <rPr>
            <b/>
            <sz val="9"/>
            <color indexed="81"/>
            <rFont val="Tahoma"/>
            <family val="2"/>
          </rPr>
          <t xml:space="preserve"> Osha</t>
        </r>
      </text>
    </comment>
    <comment ref="E59" authorId="0" shapeId="0" xr:uid="{BF295B1C-57D0-4714-8BB7-58CC6089BE36}">
      <text>
        <r>
          <rPr>
            <b/>
            <sz val="9"/>
            <color indexed="81"/>
            <rFont val="Tahoma"/>
            <family val="2"/>
          </rPr>
          <t>Norton Araujo:</t>
        </r>
        <r>
          <rPr>
            <sz val="9"/>
            <color indexed="81"/>
            <rFont val="Tahoma"/>
            <family val="2"/>
          </rPr>
          <t xml:space="preserve">
Customer Name changed by IT on 15-Oct-25.
From </t>
        </r>
        <r>
          <rPr>
            <b/>
            <sz val="9"/>
            <color indexed="81"/>
            <rFont val="Tahoma"/>
            <family val="2"/>
          </rPr>
          <t>Jaber</t>
        </r>
        <r>
          <rPr>
            <sz val="9"/>
            <color indexed="81"/>
            <rFont val="Tahoma"/>
            <family val="2"/>
          </rPr>
          <t xml:space="preserve"> to </t>
        </r>
        <r>
          <rPr>
            <b/>
            <sz val="9"/>
            <color indexed="81"/>
            <rFont val="Tahoma"/>
            <family val="2"/>
          </rPr>
          <t>Saleha</t>
        </r>
      </text>
    </comment>
    <comment ref="L123" authorId="0" shapeId="0" xr:uid="{CEAC76D9-E1D6-4931-B201-4F70146218BE}">
      <text>
        <r>
          <rPr>
            <b/>
            <sz val="10"/>
            <color indexed="81"/>
            <rFont val="Segoe UI"/>
            <family val="2"/>
          </rPr>
          <t>Norton Araujo:</t>
        </r>
        <r>
          <rPr>
            <sz val="10"/>
            <color indexed="81"/>
            <rFont val="Segoe UI"/>
            <family val="2"/>
          </rPr>
          <t xml:space="preserve">
Payment &amp; Refund Requested on the same day</t>
        </r>
      </text>
    </comment>
    <comment ref="Z123" authorId="0" shapeId="0" xr:uid="{7A0B684C-0C79-4C6B-9B08-3D38D5C68DDC}">
      <text>
        <r>
          <rPr>
            <b/>
            <sz val="10"/>
            <color indexed="81"/>
            <rFont val="Segoe UI"/>
            <family val="2"/>
          </rPr>
          <t>Norton Araujo:</t>
        </r>
        <r>
          <rPr>
            <sz val="10"/>
            <color indexed="81"/>
            <rFont val="Segoe UI"/>
            <family val="2"/>
          </rPr>
          <t xml:space="preserve">
Customer paid 6,900 USD Cash</t>
        </r>
      </text>
    </comment>
    <comment ref="Z125" authorId="0" shapeId="0" xr:uid="{6A9731FF-E2D7-4397-8F7A-ABCD1178B5EB}">
      <text>
        <r>
          <rPr>
            <b/>
            <sz val="10"/>
            <color indexed="81"/>
            <rFont val="Segoe UI"/>
            <family val="2"/>
          </rPr>
          <t>Norton Araujo:</t>
        </r>
        <r>
          <rPr>
            <sz val="10"/>
            <color indexed="81"/>
            <rFont val="Segoe UI"/>
            <family val="2"/>
          </rPr>
          <t xml:space="preserve">
DLD &amp; Admin Fees Paid</t>
        </r>
      </text>
    </comment>
    <comment ref="Z128" authorId="0" shapeId="0" xr:uid="{DBD01224-A737-424E-8BF5-B98D8D1D8929}">
      <text>
        <r>
          <rPr>
            <b/>
            <sz val="10"/>
            <color indexed="81"/>
            <rFont val="Segoe UI"/>
            <family val="2"/>
          </rPr>
          <t xml:space="preserve">Norton Araujo:
</t>
        </r>
        <r>
          <rPr>
            <sz val="10"/>
            <color indexed="81"/>
            <rFont val="Segoe UI"/>
            <family val="2"/>
          </rPr>
          <t>No Receipt issued on the system</t>
        </r>
      </text>
    </comment>
    <comment ref="Z133" authorId="0" shapeId="0" xr:uid="{4690DA4B-1D0A-43E6-BB46-5D412F5FA15D}">
      <text>
        <r>
          <rPr>
            <b/>
            <sz val="10"/>
            <color indexed="81"/>
            <rFont val="Segoe UI"/>
            <family val="2"/>
          </rPr>
          <t xml:space="preserve">Norton Araujo:
</t>
        </r>
        <r>
          <rPr>
            <b/>
            <sz val="10"/>
            <color indexed="81"/>
            <rFont val="Segoe UI"/>
            <family val="2"/>
          </rPr>
          <t>Payment-6820</t>
        </r>
        <r>
          <rPr>
            <sz val="10"/>
            <color indexed="81"/>
            <rFont val="Segoe UI"/>
            <family val="2"/>
          </rPr>
          <t xml:space="preserve">
</t>
        </r>
        <r>
          <rPr>
            <b/>
            <sz val="10"/>
            <color indexed="81"/>
            <rFont val="Segoe UI"/>
            <family val="2"/>
          </rPr>
          <t>Receipt-2128</t>
        </r>
        <r>
          <rPr>
            <sz val="10"/>
            <color indexed="81"/>
            <rFont val="Segoe UI"/>
            <family val="2"/>
          </rPr>
          <t xml:space="preserve"> -   AED 40,000
</t>
        </r>
        <r>
          <rPr>
            <b/>
            <sz val="10"/>
            <color indexed="81"/>
            <rFont val="Segoe UI"/>
            <family val="2"/>
          </rPr>
          <t xml:space="preserve">Receipt-3383 -   </t>
        </r>
        <r>
          <rPr>
            <sz val="10"/>
            <color indexed="81"/>
            <rFont val="Segoe UI"/>
            <family val="2"/>
          </rPr>
          <t xml:space="preserve">AED 20,000
</t>
        </r>
        <r>
          <rPr>
            <b/>
            <sz val="10"/>
            <color indexed="81"/>
            <rFont val="Segoe UI"/>
            <family val="2"/>
          </rPr>
          <t>Payment-6726</t>
        </r>
        <r>
          <rPr>
            <sz val="10"/>
            <color indexed="81"/>
            <rFont val="Segoe UI"/>
            <family val="2"/>
          </rPr>
          <t xml:space="preserve">
</t>
        </r>
        <r>
          <rPr>
            <b/>
            <sz val="10"/>
            <color indexed="81"/>
            <rFont val="Segoe UI"/>
            <family val="2"/>
          </rPr>
          <t>Receipt-2106</t>
        </r>
        <r>
          <rPr>
            <sz val="10"/>
            <color indexed="81"/>
            <rFont val="Segoe UI"/>
            <family val="2"/>
          </rPr>
          <t xml:space="preserve"> -  AED 40,000 - Rejected by Finance
</t>
        </r>
        <r>
          <rPr>
            <b/>
            <sz val="10"/>
            <color indexed="81"/>
            <rFont val="Segoe UI"/>
            <family val="2"/>
          </rPr>
          <t>Receipt-4435</t>
        </r>
        <r>
          <rPr>
            <sz val="10"/>
            <color indexed="81"/>
            <rFont val="Segoe UI"/>
            <family val="2"/>
          </rPr>
          <t xml:space="preserve"> -  AED 40,000</t>
        </r>
      </text>
    </comment>
    <comment ref="Z135" authorId="0" shapeId="0" xr:uid="{C9021F8C-3263-47F7-B1C6-644F0AD37663}">
      <text>
        <r>
          <rPr>
            <b/>
            <sz val="10"/>
            <color indexed="81"/>
            <rFont val="Segoe UI"/>
            <family val="2"/>
          </rPr>
          <t>Norton Araujo:</t>
        </r>
        <r>
          <rPr>
            <sz val="10"/>
            <color indexed="81"/>
            <rFont val="Segoe UI"/>
            <family val="2"/>
          </rPr>
          <t xml:space="preserve">
No Trace of payment on the system</t>
        </r>
      </text>
    </comment>
    <comment ref="AC135" authorId="0" shapeId="0" xr:uid="{CC0CFE43-970D-466D-877A-C4ACC9576F65}">
      <text>
        <r>
          <rPr>
            <b/>
            <sz val="10"/>
            <color indexed="81"/>
            <rFont val="Segoe UI"/>
            <family val="2"/>
          </rPr>
          <t>Norton Araujo:</t>
        </r>
        <r>
          <rPr>
            <sz val="10"/>
            <color indexed="81"/>
            <rFont val="Segoe UI"/>
            <family val="2"/>
          </rPr>
          <t xml:space="preserve">
Please recheck as </t>
        </r>
        <r>
          <rPr>
            <b/>
            <sz val="10"/>
            <color indexed="81"/>
            <rFont val="Segoe UI"/>
            <family val="2"/>
          </rPr>
          <t>Booking-978</t>
        </r>
        <r>
          <rPr>
            <sz val="10"/>
            <color indexed="81"/>
            <rFont val="Segoe UI"/>
            <family val="2"/>
          </rPr>
          <t xml:space="preserve"> is for a different customer. 
</t>
        </r>
        <r>
          <rPr>
            <b/>
            <sz val="10"/>
            <color indexed="81"/>
            <rFont val="Segoe UI"/>
            <family val="2"/>
          </rPr>
          <t>Booking-975</t>
        </r>
        <r>
          <rPr>
            <sz val="10"/>
            <color indexed="81"/>
            <rFont val="Segoe UI"/>
            <family val="2"/>
          </rPr>
          <t xml:space="preserve"> (Unit B3112)  is under the same customer name </t>
        </r>
      </text>
    </comment>
    <comment ref="Z137" authorId="0" shapeId="0" xr:uid="{9818531E-B06D-43C9-BF53-0E7F9E5E0ACF}">
      <text>
        <r>
          <rPr>
            <b/>
            <sz val="10"/>
            <color indexed="81"/>
            <rFont val="Segoe UI"/>
            <family val="2"/>
          </rPr>
          <t>Norton Araujo:</t>
        </r>
        <r>
          <rPr>
            <sz val="10"/>
            <color indexed="81"/>
            <rFont val="Segoe UI"/>
            <family val="2"/>
          </rPr>
          <t xml:space="preserve">
</t>
        </r>
        <r>
          <rPr>
            <b/>
            <sz val="10"/>
            <color indexed="81"/>
            <rFont val="Segoe UI"/>
            <family val="2"/>
          </rPr>
          <t>Payment-10801</t>
        </r>
        <r>
          <rPr>
            <sz val="10"/>
            <color indexed="81"/>
            <rFont val="Segoe UI"/>
            <family val="2"/>
          </rPr>
          <t xml:space="preserve">
Receipt-5445 - AED 50,000</t>
        </r>
      </text>
    </comment>
    <comment ref="Z140" authorId="0" shapeId="0" xr:uid="{76B061DD-0637-4EE9-8BF2-4F7670D3101D}">
      <text>
        <r>
          <rPr>
            <b/>
            <sz val="10"/>
            <color indexed="81"/>
            <rFont val="Segoe UI"/>
            <family val="2"/>
          </rPr>
          <t xml:space="preserve">Norton Araujo:
Payment-10571
</t>
        </r>
        <r>
          <rPr>
            <sz val="10"/>
            <color indexed="81"/>
            <rFont val="Segoe UI"/>
            <family val="2"/>
          </rPr>
          <t>Receipt-5654 - AED 25,000</t>
        </r>
      </text>
    </comment>
    <comment ref="Z141" authorId="0" shapeId="0" xr:uid="{32948677-72E6-44C0-8CEA-0583EBB76AAE}">
      <text>
        <r>
          <rPr>
            <b/>
            <sz val="10"/>
            <color indexed="81"/>
            <rFont val="Segoe UI"/>
            <family val="2"/>
          </rPr>
          <t>Norton Araujo:
Below payments rejected by Finance</t>
        </r>
        <r>
          <rPr>
            <sz val="10"/>
            <color indexed="81"/>
            <rFont val="Segoe UI"/>
            <family val="2"/>
          </rPr>
          <t xml:space="preserve">
</t>
        </r>
        <r>
          <rPr>
            <b/>
            <sz val="10"/>
            <color indexed="81"/>
            <rFont val="Segoe UI"/>
            <family val="2"/>
          </rPr>
          <t>Payment-10379</t>
        </r>
        <r>
          <rPr>
            <sz val="10"/>
            <color indexed="81"/>
            <rFont val="Segoe UI"/>
            <family val="2"/>
          </rPr>
          <t xml:space="preserve"> - Down Payment
Receipt-4912 - AED 5,000</t>
        </r>
      </text>
    </comment>
    <comment ref="L142" authorId="0" shapeId="0" xr:uid="{30CC6A88-2F09-4C87-A26D-AAC0B2A7CD0C}">
      <text>
        <r>
          <rPr>
            <b/>
            <sz val="10"/>
            <color indexed="81"/>
            <rFont val="Segoe UI"/>
            <family val="2"/>
          </rPr>
          <t>Norton Araujo:</t>
        </r>
        <r>
          <rPr>
            <sz val="10"/>
            <color indexed="81"/>
            <rFont val="Segoe UI"/>
            <family val="2"/>
          </rPr>
          <t xml:space="preserve">
Refer to Sticky notes</t>
        </r>
      </text>
    </comment>
    <comment ref="Z142" authorId="0" shapeId="0" xr:uid="{008BB6C6-9876-47F4-AF0A-44CA4CDDA051}">
      <text>
        <r>
          <rPr>
            <b/>
            <sz val="10"/>
            <color indexed="81"/>
            <rFont val="Segoe UI"/>
            <family val="2"/>
          </rPr>
          <t>Norton Araujo:</t>
        </r>
        <r>
          <rPr>
            <sz val="10"/>
            <color indexed="81"/>
            <rFont val="Segoe UI"/>
            <family val="2"/>
          </rPr>
          <t xml:space="preserve">
</t>
        </r>
        <r>
          <rPr>
            <b/>
            <sz val="10"/>
            <color indexed="81"/>
            <rFont val="Segoe UI"/>
            <family val="2"/>
          </rPr>
          <t xml:space="preserve">Below payments rejected by Finance
</t>
        </r>
        <r>
          <rPr>
            <sz val="10"/>
            <color indexed="81"/>
            <rFont val="Segoe UI"/>
            <family val="2"/>
          </rPr>
          <t xml:space="preserve">
</t>
        </r>
        <r>
          <rPr>
            <b/>
            <sz val="10"/>
            <color indexed="81"/>
            <rFont val="Segoe UI"/>
            <family val="2"/>
          </rPr>
          <t>Payment-7822</t>
        </r>
        <r>
          <rPr>
            <sz val="10"/>
            <color indexed="81"/>
            <rFont val="Segoe UI"/>
            <family val="2"/>
          </rPr>
          <t xml:space="preserve"> - DLD
Receipt-5485 - AED 17,400
Receipt-4644 - AED 11,000
</t>
        </r>
        <r>
          <rPr>
            <b/>
            <sz val="10"/>
            <color indexed="81"/>
            <rFont val="Segoe UI"/>
            <family val="2"/>
          </rPr>
          <t xml:space="preserve">
Payment-7823 </t>
        </r>
        <r>
          <rPr>
            <sz val="10"/>
            <color indexed="81"/>
            <rFont val="Segoe UI"/>
            <family val="2"/>
          </rPr>
          <t xml:space="preserve">- Down payment
Receipt-2331 - AED 15,000
Receipt-3188 - AED 10,000
Receipt-4257 - AED 10,000
Receipt-4397 - AED 50,000
Receipt-4398 - AED 15,000
Receipt-4403 - AED 15,000
Receipt-4513 - AED 27,000
</t>
        </r>
        <r>
          <rPr>
            <b/>
            <sz val="10"/>
            <color indexed="81"/>
            <rFont val="Segoe UI"/>
            <family val="2"/>
          </rPr>
          <t>Payment-7824</t>
        </r>
        <r>
          <rPr>
            <sz val="10"/>
            <color indexed="81"/>
            <rFont val="Segoe UI"/>
            <family val="2"/>
          </rPr>
          <t xml:space="preserve"> - Admin
Receipt-5486 - AED 3,675
</t>
        </r>
        <r>
          <rPr>
            <b/>
            <sz val="10"/>
            <color indexed="81"/>
            <rFont val="Segoe UI"/>
            <family val="2"/>
          </rPr>
          <t>Payment-7825</t>
        </r>
        <r>
          <rPr>
            <sz val="10"/>
            <color indexed="81"/>
            <rFont val="Segoe UI"/>
            <family val="2"/>
          </rPr>
          <t xml:space="preserve"> - 1st Installment
Receipt-5487 - AED 8,925</t>
        </r>
      </text>
    </comment>
    <comment ref="Z143" authorId="0" shapeId="0" xr:uid="{6EA35775-71CF-4094-A236-799251D80795}">
      <text>
        <r>
          <rPr>
            <b/>
            <sz val="10"/>
            <color indexed="81"/>
            <rFont val="Segoe UI"/>
            <family val="2"/>
          </rPr>
          <t xml:space="preserve">Norton Araujo:
Below payments rejected by Finance
Payment-9375 - </t>
        </r>
        <r>
          <rPr>
            <sz val="10"/>
            <color indexed="81"/>
            <rFont val="Segoe UI"/>
            <family val="2"/>
          </rPr>
          <t>Down Payment
Receipt-4478 - AED 100,000</t>
        </r>
      </text>
    </comment>
    <comment ref="AB143" authorId="0" shapeId="0" xr:uid="{1C7720D4-4E76-4928-A4BB-07889A7B0982}">
      <text>
        <r>
          <rPr>
            <b/>
            <sz val="10"/>
            <color indexed="81"/>
            <rFont val="Segoe UI"/>
            <family val="2"/>
          </rPr>
          <t>Norton Araujo:</t>
        </r>
        <r>
          <rPr>
            <sz val="10"/>
            <color indexed="81"/>
            <rFont val="Segoe UI"/>
            <family val="2"/>
          </rPr>
          <t xml:space="preserve">
Note against receipt "</t>
        </r>
        <r>
          <rPr>
            <b/>
            <sz val="10"/>
            <color indexed="81"/>
            <rFont val="Segoe UI"/>
            <family val="2"/>
          </rPr>
          <t>Receipt-4478</t>
        </r>
        <r>
          <rPr>
            <sz val="10"/>
            <color indexed="81"/>
            <rFont val="Segoe UI"/>
            <family val="2"/>
          </rPr>
          <t>" - Rejected with No Refund as per CCO.</t>
        </r>
      </text>
    </comment>
    <comment ref="Z144" authorId="0" shapeId="0" xr:uid="{B862F1D2-5599-4BC3-84E8-866642A0ACF0}">
      <text>
        <r>
          <rPr>
            <b/>
            <sz val="10"/>
            <color indexed="81"/>
            <rFont val="Segoe UI"/>
            <family val="2"/>
          </rPr>
          <t>Norton Araujo:</t>
        </r>
        <r>
          <rPr>
            <sz val="10"/>
            <color indexed="81"/>
            <rFont val="Segoe UI"/>
            <family val="2"/>
          </rPr>
          <t xml:space="preserve">
No trace of payment on the system</t>
        </r>
      </text>
    </comment>
  </commentList>
</comments>
</file>

<file path=xl/sharedStrings.xml><?xml version="1.0" encoding="utf-8"?>
<sst xmlns="http://schemas.openxmlformats.org/spreadsheetml/2006/main" count="1360" uniqueCount="469">
  <si>
    <t>Date Submitted</t>
  </si>
  <si>
    <t>Booking Name</t>
  </si>
  <si>
    <t>Status</t>
  </si>
  <si>
    <t>Booking Date</t>
  </si>
  <si>
    <t>Aging</t>
  </si>
  <si>
    <t>Project Name</t>
  </si>
  <si>
    <t>Building</t>
  </si>
  <si>
    <t>Bedrooms</t>
  </si>
  <si>
    <t>Unit No.</t>
  </si>
  <si>
    <t>Inventory Unit Status</t>
  </si>
  <si>
    <t>Booking Status</t>
  </si>
  <si>
    <t>Customer Name</t>
  </si>
  <si>
    <t>Nationality</t>
  </si>
  <si>
    <t>Discount Amount</t>
  </si>
  <si>
    <t>Final Sale Value After Discount</t>
  </si>
  <si>
    <t>Inv Final Sale Value</t>
  </si>
  <si>
    <t>Sales</t>
  </si>
  <si>
    <t>Agency Name</t>
  </si>
  <si>
    <t>Booking ID</t>
  </si>
  <si>
    <t>Oracle Id</t>
  </si>
  <si>
    <t>Customer Paid</t>
  </si>
  <si>
    <t>%</t>
  </si>
  <si>
    <t>Refund</t>
  </si>
  <si>
    <t>Reason</t>
  </si>
  <si>
    <t>Booking-844</t>
  </si>
  <si>
    <t>No Payment</t>
  </si>
  <si>
    <t>N/A</t>
  </si>
  <si>
    <t>Booking-806</t>
  </si>
  <si>
    <t>Customer requested to cancel and purchase only 1 unit (Laguna-B205 - Booking-800)</t>
  </si>
  <si>
    <t>Booking-804</t>
  </si>
  <si>
    <t>Booking-795</t>
  </si>
  <si>
    <t>No</t>
  </si>
  <si>
    <t>Customer requested to cancel</t>
  </si>
  <si>
    <t>Booking-786</t>
  </si>
  <si>
    <t>Request received from Sales Director</t>
  </si>
  <si>
    <t>Booking-735</t>
  </si>
  <si>
    <t>Booking-734</t>
  </si>
  <si>
    <t>Yes</t>
  </si>
  <si>
    <t>Booking-722</t>
  </si>
  <si>
    <t>Request received from Sales Director as customer requested to cancel</t>
  </si>
  <si>
    <t>Booking-541</t>
  </si>
  <si>
    <t>Request received from Hussien</t>
  </si>
  <si>
    <t>Booking-208</t>
  </si>
  <si>
    <t>Customer requested to cancel. Paid amount for A4001 has been transferred to B3001</t>
  </si>
  <si>
    <t xml:space="preserve">Customer requested to cancel as he has declined the offer. VP Sales advised to cancel and release back to inventory as per attached email. </t>
  </si>
  <si>
    <t>Booking-865</t>
  </si>
  <si>
    <t>Cancellation request received from VP of Sales. Request to cancel the booking and to block the unit against another Sales Manager.</t>
  </si>
  <si>
    <t>Booking-726</t>
  </si>
  <si>
    <t>Booking-587</t>
  </si>
  <si>
    <t>Booking-836</t>
  </si>
  <si>
    <t>Customer requested to cancel the booking and refund the paid amount</t>
  </si>
  <si>
    <t>Supporting | Related Email</t>
  </si>
  <si>
    <t>Booking-853</t>
  </si>
  <si>
    <t>Booking-874</t>
  </si>
  <si>
    <t>Request recevied from Sales Team for Cancellation and Reallocation</t>
  </si>
  <si>
    <t>Booking-964</t>
  </si>
  <si>
    <t>As per the system, customer requested to cancel</t>
  </si>
  <si>
    <t>Request received from Sales Team for Cancellation
Customer has shared email with CRM manager stating to cancel the booking citing Financial Concerns</t>
  </si>
  <si>
    <t>Booking-968</t>
  </si>
  <si>
    <t>Customer requested to Cancel as mentioned by Sales Manager. Request to reallocate paid funds to different unit - B2612 (Booking-978)</t>
  </si>
  <si>
    <t>Booking-972</t>
  </si>
  <si>
    <t>Unit was initially booked with Joint Owner. Customer requested to cancel in order to book under single owner for Golden Visa Process. Funds to be reallocated to single owner Dr. Ajoy</t>
  </si>
  <si>
    <t>Booking-505</t>
  </si>
  <si>
    <t>Booking-882</t>
  </si>
  <si>
    <t>Unit Swapped with B817 as approved by Management</t>
  </si>
  <si>
    <t>Booking-879</t>
  </si>
  <si>
    <t>Spot Cash</t>
  </si>
  <si>
    <t>Booking-884</t>
  </si>
  <si>
    <t>Booking-935</t>
  </si>
  <si>
    <t>Booking-971</t>
  </si>
  <si>
    <t>Request received from Sales Manager | Sales Director to cancel the booking as customer booked another unit on the same day (Booking- 973 - B3012)</t>
  </si>
  <si>
    <t>As per the system, cancellation reason 
'Management Cancelation Request'</t>
  </si>
  <si>
    <t>Booking-657</t>
  </si>
  <si>
    <t>Booking-711</t>
  </si>
  <si>
    <t>Booking-783</t>
  </si>
  <si>
    <t>Booking-982</t>
  </si>
  <si>
    <t>Booking-916</t>
  </si>
  <si>
    <t>Booking-957</t>
  </si>
  <si>
    <t>Booking-683</t>
  </si>
  <si>
    <t>Amal El Gendy</t>
  </si>
  <si>
    <t>Booking-851</t>
  </si>
  <si>
    <t>Booking-700</t>
  </si>
  <si>
    <t>Booking-701</t>
  </si>
  <si>
    <t>Discount Percentage</t>
  </si>
  <si>
    <t>Booking-980</t>
  </si>
  <si>
    <t>Customer requested cancel as he is unable to make further payments and has requested for refund</t>
  </si>
  <si>
    <t>Summary</t>
  </si>
  <si>
    <t>Customer requested for Change of Ownership</t>
  </si>
  <si>
    <t>Unit Swap - Approved by Management</t>
  </si>
  <si>
    <t>Unit swap - Approved by Management</t>
  </si>
  <si>
    <t>Additional Remarks</t>
  </si>
  <si>
    <t>Booking-956</t>
  </si>
  <si>
    <t>Rejected</t>
  </si>
  <si>
    <t>Cancelled due to Non Payment</t>
  </si>
  <si>
    <t>Cancellation raised by Sales Director</t>
  </si>
  <si>
    <t>From Hawbir Hassan to Riad El Kaddouri</t>
  </si>
  <si>
    <t>Cancellation Request raised by Collections Team</t>
  </si>
  <si>
    <t>Customer is unable to continue with the Purchase</t>
  </si>
  <si>
    <t>From Hawbir Hassan to Rojbin Saeed</t>
  </si>
  <si>
    <t>Swapped from B3103 to B3012</t>
  </si>
  <si>
    <t>From Onur Tukel to Burhan Tukel</t>
  </si>
  <si>
    <t>Mohammed El Shimmy - Part of the Bulk Deal</t>
  </si>
  <si>
    <t>Swapped from B917 to B817</t>
  </si>
  <si>
    <t>From Joint Ownership to Single Ownership</t>
  </si>
  <si>
    <t>Paid Amount allocated to unit B2612</t>
  </si>
  <si>
    <t>Swapped from 403 to 420 (Upgrade)</t>
  </si>
  <si>
    <t>Swapped from A322 to A2514</t>
  </si>
  <si>
    <t>From Omar Rezgani to Hossam ibraheem</t>
  </si>
  <si>
    <t>From GUSTAV SJUNNESSON to Mohammed Adam Metto</t>
  </si>
  <si>
    <t>Cancellation Request raised by VP-Sales</t>
  </si>
  <si>
    <t>Customer only wants to proceed with unit B205 only</t>
  </si>
  <si>
    <t>Swapped from A4001 to B3001</t>
  </si>
  <si>
    <t>Customer is unable to continue with the Purchase - No Refund</t>
  </si>
  <si>
    <t>Customer is unable to continue with the Purchase - Refund Request Approved</t>
  </si>
  <si>
    <t>Customer is unable to continue with the Purchase - Refund Requested</t>
  </si>
  <si>
    <t>Grand Total</t>
  </si>
  <si>
    <t>Count</t>
  </si>
  <si>
    <t>Cancellation Requests Received</t>
  </si>
  <si>
    <t>Cancellation Summary</t>
  </si>
  <si>
    <t>Booking-1050</t>
  </si>
  <si>
    <t>Booking-1040</t>
  </si>
  <si>
    <t>Booking-1030</t>
  </si>
  <si>
    <t>Booking-1022</t>
  </si>
  <si>
    <t>Booking-1021</t>
  </si>
  <si>
    <t>Booking-1017</t>
  </si>
  <si>
    <t>Booking-1016</t>
  </si>
  <si>
    <t>Booking-1015</t>
  </si>
  <si>
    <t>Booking-1002</t>
  </si>
  <si>
    <t>Booking-1001</t>
  </si>
  <si>
    <t>Booking-966</t>
  </si>
  <si>
    <t>Duplicate Booking for unit B1205. (Unit was sold to another customer - Booking-509) Unit status was manually updated to Blocked creating the error.
Unit B2005 booked under Booking-1052</t>
  </si>
  <si>
    <t>Cancelled due to Duplicate Booking</t>
  </si>
  <si>
    <t>Duplicate Booking</t>
  </si>
  <si>
    <t>Customer requested to cancel as it is out of his budget</t>
  </si>
  <si>
    <t>Cancellation raised by Sales Manager as no payment was received and the unit was booked under the Brokers Name</t>
  </si>
  <si>
    <t>Unit Swapped with A2101 as approved by Management</t>
  </si>
  <si>
    <t>Unit Swapped with A2001 as approved by Management</t>
  </si>
  <si>
    <t>Swapped from A4005 to A2101</t>
  </si>
  <si>
    <t>Swapped from A4105 to A2001</t>
  </si>
  <si>
    <t>Cancellation Request raised by Sales Operations Team</t>
  </si>
  <si>
    <t>Booking was created under wrong Customer Name</t>
  </si>
  <si>
    <t>Incorrect Customer Details entered while Booking</t>
  </si>
  <si>
    <t>Booking-774</t>
  </si>
  <si>
    <t>Booking-945</t>
  </si>
  <si>
    <t>Booking-944</t>
  </si>
  <si>
    <t>From Katharina Junimann Appelhans to Helena Erbis</t>
  </si>
  <si>
    <t>Cancelled by Sales Operations as Wrong Payment Plan was selected</t>
  </si>
  <si>
    <t>Cancelled by Sales Operations as Wrong Payment Plan was selected. Cancelled by IT without any Cancellation Approval Flow. Booking-947 created.</t>
  </si>
  <si>
    <r>
      <t>Unit was to be booked under "</t>
    </r>
    <r>
      <rPr>
        <b/>
        <sz val="10"/>
        <color theme="1"/>
        <rFont val="Segoe UI"/>
        <family val="2"/>
      </rPr>
      <t>Dilier Sanchez Mora</t>
    </r>
    <r>
      <rPr>
        <sz val="10"/>
        <color theme="1"/>
        <rFont val="Segoe UI"/>
        <family val="2"/>
      </rPr>
      <t xml:space="preserve">" </t>
    </r>
  </si>
  <si>
    <t>Booking-986</t>
  </si>
  <si>
    <t>Booking-989</t>
  </si>
  <si>
    <t>Booking-1019</t>
  </si>
  <si>
    <t xml:space="preserve">Unit was to be booked under "Dilier Sanchez Mora" </t>
  </si>
  <si>
    <t>Booking-1023</t>
  </si>
  <si>
    <t>Booking-776</t>
  </si>
  <si>
    <t>Booking-1084</t>
  </si>
  <si>
    <t>Customer requested to Swap to unit B914. Unit Swapp Approved by Management</t>
  </si>
  <si>
    <t>Swapped from A1812 to B914</t>
  </si>
  <si>
    <t>October</t>
  </si>
  <si>
    <t>September</t>
  </si>
  <si>
    <t>August</t>
  </si>
  <si>
    <t>July</t>
  </si>
  <si>
    <t>Booking-1078</t>
  </si>
  <si>
    <t>Swapped from B1311 to B1513</t>
  </si>
  <si>
    <t>Customer requested to Swap to unit B1513. Unit Swapp Approved by Management</t>
  </si>
  <si>
    <t>November</t>
  </si>
  <si>
    <t>Booking-1028</t>
  </si>
  <si>
    <t>Customer requested to cancel Booking and for the paid amount to be refunded.
Refund approved by Management</t>
  </si>
  <si>
    <t>Booking-1112</t>
  </si>
  <si>
    <t>Unit Swapped with B1312 as approved by Management</t>
  </si>
  <si>
    <t>Swapped from B1912 to B1312</t>
  </si>
  <si>
    <t>Booking-1108</t>
  </si>
  <si>
    <t>Novemeber</t>
  </si>
  <si>
    <t>Booking-1129</t>
  </si>
  <si>
    <t>Booking-1147</t>
  </si>
  <si>
    <t>Cancelled as unit is not part of promotional offer list</t>
  </si>
  <si>
    <t>Unit Not Part of Promotional List</t>
  </si>
  <si>
    <t>Cancelled as unit is not part of promotional offer list - Refund Approved by Management</t>
  </si>
  <si>
    <t>Unit Not Part of Promotional List - Refund Approved by Management</t>
  </si>
  <si>
    <t>Refund approved by Management</t>
  </si>
  <si>
    <t>Booking was created under wrong unit A1619 during Booking process</t>
  </si>
  <si>
    <t>Booking-1133</t>
  </si>
  <si>
    <t>Booking-1110</t>
  </si>
  <si>
    <t>Booking-1114</t>
  </si>
  <si>
    <t>Booking-1025</t>
  </si>
  <si>
    <t>Cancellation raised by Sales Director and approved by CCO</t>
  </si>
  <si>
    <t>Booking-1174</t>
  </si>
  <si>
    <t>Booking-1173</t>
  </si>
  <si>
    <t>Booking-1127</t>
  </si>
  <si>
    <t>Booking-1166</t>
  </si>
  <si>
    <t>Booking-1167</t>
  </si>
  <si>
    <t>Cancelled due to Repricing</t>
  </si>
  <si>
    <t xml:space="preserve">Increase in Price requested by Hussien </t>
  </si>
  <si>
    <t>Cancelled due to Repricing (Increase In Price)</t>
  </si>
  <si>
    <t>Customer purchased 2 units and will now proceed with only Unit B1010. No Refund</t>
  </si>
  <si>
    <t>Swapped from DO 516 to DO 409</t>
  </si>
  <si>
    <t>Unit Swapped with DO 409 as approved by Management</t>
  </si>
  <si>
    <t>Unit Swapped with B518</t>
  </si>
  <si>
    <t>Swapped from A2108 to B518</t>
  </si>
  <si>
    <t>Booking-970</t>
  </si>
  <si>
    <t>Booking-988</t>
  </si>
  <si>
    <t>Booking-1000</t>
  </si>
  <si>
    <t>Booking-594</t>
  </si>
  <si>
    <t>Booking-1044</t>
  </si>
  <si>
    <t>Booking-1020</t>
  </si>
  <si>
    <t>Booking-987</t>
  </si>
  <si>
    <t>Booking-1010</t>
  </si>
  <si>
    <t>Booking-1014</t>
  </si>
  <si>
    <t>Booking-1153</t>
  </si>
  <si>
    <t>Not Available on Finance Tracker</t>
  </si>
  <si>
    <t>Booking-1212</t>
  </si>
  <si>
    <t>Booking-1165</t>
  </si>
  <si>
    <t>Booking-443</t>
  </si>
  <si>
    <t>From Nageswara Rao to Srinivasa Ganta</t>
  </si>
  <si>
    <t>Booking-973</t>
  </si>
  <si>
    <t>Booking-1011</t>
  </si>
  <si>
    <t>Booking-1181</t>
  </si>
  <si>
    <t>Booking-1192</t>
  </si>
  <si>
    <t>Booking-1171</t>
  </si>
  <si>
    <t>Booking-1180</t>
  </si>
  <si>
    <t>Cancellation requested by Egypt Sales Operations Team</t>
  </si>
  <si>
    <t>Cancellation Request raised by Egypt Sales Operations Team</t>
  </si>
  <si>
    <t>Month</t>
  </si>
  <si>
    <t>December</t>
  </si>
  <si>
    <t>Booking-949</t>
  </si>
  <si>
    <t>Booking-1162</t>
  </si>
  <si>
    <t>Booking-1100</t>
  </si>
  <si>
    <t>Booking-1101</t>
  </si>
  <si>
    <t>Customer requested to cancel Booking and for the paid amount to be refunded.
Refund not approved by Management</t>
  </si>
  <si>
    <t>Booking-1224</t>
  </si>
  <si>
    <t>January</t>
  </si>
  <si>
    <t>Booking-951</t>
  </si>
  <si>
    <t>Booking-950</t>
  </si>
  <si>
    <t>Booking-948</t>
  </si>
  <si>
    <t>Booking-1029</t>
  </si>
  <si>
    <t>Booking-1054</t>
  </si>
  <si>
    <t>Booking-864</t>
  </si>
  <si>
    <t>Booking-1231</t>
  </si>
  <si>
    <t>Booking-1226</t>
  </si>
  <si>
    <t>Booking-1111</t>
  </si>
  <si>
    <t>Booking-1085</t>
  </si>
  <si>
    <t>Cancellation Request raised by Sales Operations Team - No Refund</t>
  </si>
  <si>
    <t>NA</t>
  </si>
  <si>
    <t>Customer requested to cancel Booking. Refund not approved by Management</t>
  </si>
  <si>
    <t>Cancellation requested by Hussien</t>
  </si>
  <si>
    <t>Booking-1345</t>
  </si>
  <si>
    <t>Cancelled due to Price Revision</t>
  </si>
  <si>
    <t>Booking-800</t>
  </si>
  <si>
    <t>Booking-1446</t>
  </si>
  <si>
    <t>Unit Swapped with A604 as approved by Management</t>
  </si>
  <si>
    <t>Swapped from B205 to A604</t>
  </si>
  <si>
    <t>Booking-1406</t>
  </si>
  <si>
    <t xml:space="preserve">Booking was created under wrong unit </t>
  </si>
  <si>
    <t>Booking created on unit OR-1403 instead of OR-1402</t>
  </si>
  <si>
    <t>Booking-1451</t>
  </si>
  <si>
    <t>Booking-1443</t>
  </si>
  <si>
    <t>Booking-1392</t>
  </si>
  <si>
    <t>Booking-1252</t>
  </si>
  <si>
    <t>Booking-1253</t>
  </si>
  <si>
    <t>Booking-1254</t>
  </si>
  <si>
    <t>Draft</t>
  </si>
  <si>
    <t>Booking-1423</t>
  </si>
  <si>
    <t>Booking-1434</t>
  </si>
  <si>
    <t>Booking-1462</t>
  </si>
  <si>
    <t>Booking-1420</t>
  </si>
  <si>
    <t>Booking-1330</t>
  </si>
  <si>
    <t>Unit Swapped with OR-707 as approved by Management</t>
  </si>
  <si>
    <t>Swapped from OR-2106 to OR-707</t>
  </si>
  <si>
    <t>Booking-1424</t>
  </si>
  <si>
    <t>Booking-1394</t>
  </si>
  <si>
    <t>Booking-1461</t>
  </si>
  <si>
    <t>Booking-1250</t>
  </si>
  <si>
    <t>Rejected Date</t>
  </si>
  <si>
    <t>Booking-1425</t>
  </si>
  <si>
    <t>Booking-1477</t>
  </si>
  <si>
    <t>Booking-1340</t>
  </si>
  <si>
    <t>Error In Cancellation</t>
  </si>
  <si>
    <t>Unit has been rebooked as SD confirmed payment was cleared</t>
  </si>
  <si>
    <t>Booking-1489</t>
  </si>
  <si>
    <t>Booking-1491</t>
  </si>
  <si>
    <t>Booking-1428</t>
  </si>
  <si>
    <t>Booking-1480</t>
  </si>
  <si>
    <t>Customer initially requested to swap and then changed his mind</t>
  </si>
  <si>
    <t>Unit Swapped with OR-1407 as approved by Management</t>
  </si>
  <si>
    <t>Swapped from B512 to OR-1407</t>
  </si>
  <si>
    <t>Booking-1437</t>
  </si>
  <si>
    <t>Booking-1474</t>
  </si>
  <si>
    <t>Customer requested to cancel Booking</t>
  </si>
  <si>
    <t>Error In Booking</t>
  </si>
  <si>
    <t>Error in Booking</t>
  </si>
  <si>
    <t>Error in Booking - Wrong Customer Selected</t>
  </si>
  <si>
    <t>Booking-1502</t>
  </si>
  <si>
    <t>Booking-1474 - Booking Rejection Request</t>
  </si>
  <si>
    <t>Booking-208 - Booking Rejection Request</t>
  </si>
  <si>
    <t>Booking-541 - Booking Rejection Request</t>
  </si>
  <si>
    <t>Booking-722 - Booking Rejection Request</t>
  </si>
  <si>
    <t>Booking-734 - Booking Rejection Request</t>
  </si>
  <si>
    <t>Booking-735 - Booking Rejection Request</t>
  </si>
  <si>
    <t>Booking-786 - Booking Rejection Request</t>
  </si>
  <si>
    <t>Booking-795 - Booking Rejection Request</t>
  </si>
  <si>
    <t>Booking-804 - Booking Rejection Request</t>
  </si>
  <si>
    <t>Booking-806 - Booking Rejection Request</t>
  </si>
  <si>
    <t>Booking-844 - Booking Rejection Request</t>
  </si>
  <si>
    <t>Booking-865 - Booking Rejection Request</t>
  </si>
  <si>
    <t>Booking-726 - Booking Rejection Request</t>
  </si>
  <si>
    <t>Booking-587 - Booking Rejection Request</t>
  </si>
  <si>
    <t>Booking-836 - Booking Rejections Request</t>
  </si>
  <si>
    <t>Booking-853 - Booking Rejection Request</t>
  </si>
  <si>
    <t>Booking-874 - Booking Rejection Request</t>
  </si>
  <si>
    <t>Booking-968 - Booking Rejection Request</t>
  </si>
  <si>
    <t>Booking-972 - Booking Rejection Request</t>
  </si>
  <si>
    <t>Booking-505 - Booking Rejection Request</t>
  </si>
  <si>
    <t>Booking-882 - Booking Rejection Request</t>
  </si>
  <si>
    <t>Booking-879 - Booking Rejection Request</t>
  </si>
  <si>
    <t>Booking-935 - Booking Rejection Request</t>
  </si>
  <si>
    <t>Booking-971 - Booking Rejection Request</t>
  </si>
  <si>
    <t>Booking-657 - Booking Rejection Request</t>
  </si>
  <si>
    <t>Booking-711 - Booking Rejection Request</t>
  </si>
  <si>
    <t>Booking-783 - Booking Rejection Request</t>
  </si>
  <si>
    <t>Booking-774 - Booking Rejection Request</t>
  </si>
  <si>
    <t>Booking-982 - Booking Rejection Request</t>
  </si>
  <si>
    <t>Booking-916 - Booking Rejection Request</t>
  </si>
  <si>
    <t>Booking-957 - Booking Rejection Request</t>
  </si>
  <si>
    <t>Booking-683 - Booking Rejection Request</t>
  </si>
  <si>
    <t>Booking-851 - Booking Rejection Request</t>
  </si>
  <si>
    <t>Booking-700 - Booking Rejection Request</t>
  </si>
  <si>
    <t>Booking-701 - Booking Rejection Request</t>
  </si>
  <si>
    <t>Booking-980 - Booking Rejection Request</t>
  </si>
  <si>
    <t>Booking-956 - Booking Rejection Request</t>
  </si>
  <si>
    <t>Booking-1030 - Booking Rejection Request</t>
  </si>
  <si>
    <t>Booking-1491 - Booking Rejection Request</t>
  </si>
  <si>
    <t>Booking-1437 - Booking Rejection Request</t>
  </si>
  <si>
    <t>Booking-1480 - Booking Rejection Request</t>
  </si>
  <si>
    <t>Booking-1428 - Booking Rejection Request</t>
  </si>
  <si>
    <t>Booking-1489 - Booking Rejection Request</t>
  </si>
  <si>
    <t>Booking-1340 - Booking Rejection Request</t>
  </si>
  <si>
    <t>Booking-1477 - Booking Rejection Request</t>
  </si>
  <si>
    <t>Booking-1425 - Booking Rejection Request</t>
  </si>
  <si>
    <t>Booking-1250 - Booking Rejection Request</t>
  </si>
  <si>
    <t>Booking-1461 - Booking Rejection Request</t>
  </si>
  <si>
    <t>Booking-1394 - Booking Rejection Request</t>
  </si>
  <si>
    <t>Booking-1424 - Booking Rejection Request</t>
  </si>
  <si>
    <t>Booking-1420 - Booking Rejection Request</t>
  </si>
  <si>
    <t>Booking-1462 - Booking Rejection Request</t>
  </si>
  <si>
    <t>Booking-1330 - Booking Rejection Request</t>
  </si>
  <si>
    <t>Booking-1423 - Booking Rejection Request</t>
  </si>
  <si>
    <t>Booking-1434 - Booking Rejection Request</t>
  </si>
  <si>
    <t>Booking-1254 - Booking Rejection Request</t>
  </si>
  <si>
    <t>Booking-1253 - Booking Rejection Request</t>
  </si>
  <si>
    <t>Booking-1252 - Booking Rejection Request</t>
  </si>
  <si>
    <t>Booking-1443 - Booking Rejection Request</t>
  </si>
  <si>
    <t>Booking-1392 - Booking Rejection Request</t>
  </si>
  <si>
    <t>Booking-1451- Booking Rejection Request</t>
  </si>
  <si>
    <t>Booking-1406 - Booking Rejection Request</t>
  </si>
  <si>
    <t>Booking-1446 - Booking Rejection Request</t>
  </si>
  <si>
    <t>Booking-800 - Booking Rejection Request</t>
  </si>
  <si>
    <t>Booking-1345 - Booking Rejection Request</t>
  </si>
  <si>
    <t>Booking-1085 - Booking Rejection Request</t>
  </si>
  <si>
    <t>Booking-1111 - Booking Rejection Request</t>
  </si>
  <si>
    <t>Booking-1226 - Booking Rejection Request</t>
  </si>
  <si>
    <t>Booking-951 - Booking Rejection Request</t>
  </si>
  <si>
    <t>Booking-1224 - Booking Rejection Request</t>
  </si>
  <si>
    <t>Booking-1101 - Booking Rejection Request</t>
  </si>
  <si>
    <t>Booking-1231 - Booking Rejection Request</t>
  </si>
  <si>
    <t>Booking-864 - Booking Rejection Request</t>
  </si>
  <si>
    <t>Booking-1054 - Booking Rejection Request</t>
  </si>
  <si>
    <t>Booking-1029 - Booking Rejection Request</t>
  </si>
  <si>
    <t>Booking-948 - Booking Rejection Request</t>
  </si>
  <si>
    <t>Booking-950 - Booking Rejection Request</t>
  </si>
  <si>
    <t>Booking-1100 - Booking Rejection Request</t>
  </si>
  <si>
    <t>Booking-1162 - Booking Rejection Request</t>
  </si>
  <si>
    <t>Booking-1171 - Booking Rejection Request</t>
  </si>
  <si>
    <t>Booking-1180 - Booking Rejection Request</t>
  </si>
  <si>
    <t>Booking-1192 - Booking Rejection Request</t>
  </si>
  <si>
    <t>Booking-1181 - Booking Rejection Request</t>
  </si>
  <si>
    <t>Booking-973 - Booking Rejection Request</t>
  </si>
  <si>
    <t>Booking-1001 - Booking Rejection Request</t>
  </si>
  <si>
    <t>Booking-1002 - Booking Rejection Request</t>
  </si>
  <si>
    <t>Booking-1021 - Booking Rejection Request</t>
  </si>
  <si>
    <t>Booking-1022 - Booking Rejection Request</t>
  </si>
  <si>
    <t>Booking-1040 - Booking Rejection Request</t>
  </si>
  <si>
    <t>Booking-1050 - Booking Rejection Request</t>
  </si>
  <si>
    <t>Booking-1015 - Booking Rejection Request</t>
  </si>
  <si>
    <t>Booking-1016 - Booking Rejection Request</t>
  </si>
  <si>
    <t>Booking-1017 - Booking Rejection Request</t>
  </si>
  <si>
    <t>Booking-966 - Booking Rejection Request</t>
  </si>
  <si>
    <t>Booking-986 - Booking Rejection Request</t>
  </si>
  <si>
    <t>Booking-989 - Booking Rejection Request</t>
  </si>
  <si>
    <t>Booking-1019 - Booking Rejection Request</t>
  </si>
  <si>
    <t>Booking-1023 - Booking Rejection Request</t>
  </si>
  <si>
    <t>Booking-776 - Booking Rejection Request</t>
  </si>
  <si>
    <t>Booking-1084 - Booking Rejection Request</t>
  </si>
  <si>
    <t>Booking-1078 - Booking Rejection Request</t>
  </si>
  <si>
    <t>Booking-1108 - Booking Rejection Request</t>
  </si>
  <si>
    <t>Booking-1028 - Booking Rejection Request</t>
  </si>
  <si>
    <t>Booking-1112 - Booking Rejection Request</t>
  </si>
  <si>
    <t>Booking-1147 - Booking Rejection Request</t>
  </si>
  <si>
    <t>Booking-1129 - Booking Rejection Request</t>
  </si>
  <si>
    <t>Booking-1133 - Booking Rejection Request</t>
  </si>
  <si>
    <t>Booking-1110 - Booking Rejection Request</t>
  </si>
  <si>
    <t>Booking-1114 - Booking Rejection Request</t>
  </si>
  <si>
    <t>Booking-1025 - Booking Rejection Request</t>
  </si>
  <si>
    <t>Booking-1167 - Booking Rejection Request</t>
  </si>
  <si>
    <t>Booking-1173 - Booking Rejection Request</t>
  </si>
  <si>
    <t>Booking-1174 - Booking Rejection Request</t>
  </si>
  <si>
    <t>Booking-1127 - Booking Rejection Request</t>
  </si>
  <si>
    <t>Booking-1166 - Booking Rejection Request</t>
  </si>
  <si>
    <t>Booking-970 - Booking Rejection Request</t>
  </si>
  <si>
    <t>Booking-988 - Booking Rejection Request</t>
  </si>
  <si>
    <t>Booking-1000 - Booking Rejection Request</t>
  </si>
  <si>
    <t>Booking-594 - Booking Rejection Request</t>
  </si>
  <si>
    <t>Booking-1044 - Booking Rejection Request</t>
  </si>
  <si>
    <t>Booking-1020 - Booking Rejection Request</t>
  </si>
  <si>
    <t>Booking-987 - Booking Rejection Request</t>
  </si>
  <si>
    <t>Booking-1010 - Booking Rejection Request</t>
  </si>
  <si>
    <t>Booking-1014 - Booking Rejection Request</t>
  </si>
  <si>
    <t>Booking-1153 - Booking Rejection Request</t>
  </si>
  <si>
    <t>Booking-443 - Booking Rejection Request</t>
  </si>
  <si>
    <t>Booking-1212 - Booking Rejection Request</t>
  </si>
  <si>
    <t>Booking-1165 - Booking Rejection Request</t>
  </si>
  <si>
    <t>Booking-949 - Booking Rejection Request</t>
  </si>
  <si>
    <t>Booking-1011 - Booking Rejection Request</t>
  </si>
  <si>
    <t>No Email</t>
  </si>
  <si>
    <t>Booking-1445</t>
  </si>
  <si>
    <t>Booking-1352</t>
  </si>
  <si>
    <t>Booking-1467</t>
  </si>
  <si>
    <t>Customer requested to cancel Booking.</t>
  </si>
  <si>
    <t>Booking-1255</t>
  </si>
  <si>
    <t xml:space="preserve">Customer requested to Change Ownership </t>
  </si>
  <si>
    <t>Customer requested to Change Ownership from</t>
  </si>
  <si>
    <t>Customer requested to Change Ownership</t>
  </si>
  <si>
    <t>From Saleh Naji Ali Gamil to JABAL ALSAHRA TRANSPORT PASSENGERS BY BUS - L.L.C - S.P.C</t>
  </si>
  <si>
    <t>Booking-1352 - Booking Rejection Request</t>
  </si>
  <si>
    <t>Booking-1255 - Booking Rejection Request</t>
  </si>
  <si>
    <t>Booking-1502 - Booking Rejection Request</t>
  </si>
  <si>
    <t>Booking-1445 - Booking Rejection Request</t>
  </si>
  <si>
    <t>Booking-1467 - Booking Rejection Request</t>
  </si>
  <si>
    <t>Booking-818</t>
  </si>
  <si>
    <t>Booking-818 - Booking Rejection Request</t>
  </si>
  <si>
    <t>Booking-906</t>
  </si>
  <si>
    <t>Booking-906 - Booking Rejection Request</t>
  </si>
  <si>
    <t>February</t>
  </si>
  <si>
    <t>Booking-1119</t>
  </si>
  <si>
    <t>Booking-1119 - Booking Rejection Request</t>
  </si>
  <si>
    <t>Booking-1441</t>
  </si>
  <si>
    <t>Booking-1441 - Booking Rejection Request</t>
  </si>
  <si>
    <t>Booking-1447</t>
  </si>
  <si>
    <t>Booking-1447 - Booking Rejection Request</t>
  </si>
  <si>
    <t>Booking-1448</t>
  </si>
  <si>
    <t>Booking-1448 - Booking Rejection Request</t>
  </si>
  <si>
    <t>Booking-1449</t>
  </si>
  <si>
    <t>Booking-1449 - Booking Rejection Request</t>
  </si>
  <si>
    <t>Booking-1450</t>
  </si>
  <si>
    <t>Booking-1450 - Booking Rejection Request</t>
  </si>
  <si>
    <t>Booking-1417</t>
  </si>
  <si>
    <t>Booking-1417 - Booking Rejection Request</t>
  </si>
  <si>
    <t>Unit Swapped with OR-1106 as approved by Management</t>
  </si>
  <si>
    <t>Swapped from OR-2406 to OR-1106</t>
  </si>
  <si>
    <t>Booking-1510 - Booking Rejection Request</t>
  </si>
  <si>
    <t>Booking-1510</t>
  </si>
  <si>
    <t>Booking-1222</t>
  </si>
  <si>
    <t>Booking-1328</t>
  </si>
  <si>
    <t>Booking-1436</t>
  </si>
  <si>
    <t>Booking-1475</t>
  </si>
  <si>
    <t>Cancelled due to Price Revision - Reduction on total area</t>
  </si>
  <si>
    <t>Booking-1222 - Booking Rejection Request</t>
  </si>
  <si>
    <t>Booking-1328 - Booking Rejection Request</t>
  </si>
  <si>
    <t>Booking-1436 - Booking Rejection Request</t>
  </si>
  <si>
    <t>Booking-1475 - Booking Rejection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</si>
</sst>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AED&quot;#,##0.00;[Red]\-&quot;AED&quot;#,##0.00"/>
    <numFmt numFmtId="164" formatCode="0.0%"/>
    <numFmt numFmtId="165" formatCode="[$AED]\ #,##0.00;[Red]\-[$AED]\ #,##0.00"/>
  </numFmts>
  <fonts count="77" x14ac:knownFonts="1">
    <font>
      <sz val="11"/>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sz val="10"/>
      <color theme="1"/>
      <name val="Segoe UI"/>
      <family val="2"/>
    </font>
    <font>
      <b/>
      <sz val="10"/>
      <color theme="0"/>
      <name val="Segoe UI"/>
      <family val="2"/>
    </font>
    <font>
      <sz val="11"/>
      <color theme="1"/>
      <name val="Segoe UI"/>
      <family val="2"/>
    </font>
    <font>
      <b/>
      <sz val="10"/>
      <name val="Segoe UI"/>
      <family val="2"/>
    </font>
    <font>
      <u/>
      <sz val="11"/>
      <color theme="10"/>
      <name val="Segoe UI"/>
      <family val="2"/>
    </font>
    <font>
      <sz val="10"/>
      <color rgb="FFFF0000"/>
      <name val="Segoe UI"/>
      <family val="2"/>
    </font>
    <font>
      <sz val="10"/>
      <name val="Segoe UI"/>
      <family val="2"/>
    </font>
    <font>
      <b/>
      <sz val="10"/>
      <color indexed="81"/>
      <name val="Segoe UI"/>
      <family val="2"/>
    </font>
    <font>
      <sz val="10"/>
      <color indexed="81"/>
      <name val="Segoe UI"/>
      <family val="2"/>
    </font>
    <font>
      <sz val="8"/>
      <name val="Segoe UI"/>
      <family val="2"/>
    </font>
    <font>
      <b/>
      <sz val="11"/>
      <color theme="1"/>
      <name val="Segoe UI"/>
      <family val="2"/>
    </font>
    <font>
      <sz val="11"/>
      <color theme="0"/>
      <name val="Segoe UI"/>
      <family val="2"/>
    </font>
    <font>
      <b/>
      <sz val="10"/>
      <color theme="1"/>
      <name val="Segoe UI"/>
      <family val="2"/>
    </font>
    <font>
      <sz val="11"/>
      <color rgb="FFFF0000"/>
      <name val="Segoe UI"/>
      <family val="2"/>
    </font>
    <font>
      <b/>
      <sz val="11"/>
      <color theme="0"/>
      <name val="Segoe UI"/>
      <family val="2"/>
    </font>
    <font>
      <sz val="9"/>
      <color indexed="81"/>
      <name val="Tahoma"/>
      <family val="2"/>
    </font>
    <font>
      <b/>
      <sz val="9"/>
      <color indexed="81"/>
      <name val="Tahoma"/>
      <family val="2"/>
    </font>
  </fonts>
  <fills count="6">
    <fill>
      <patternFill patternType="none"/>
    </fill>
    <fill>
      <patternFill patternType="gray125"/>
    </fill>
    <fill>
      <patternFill patternType="solid">
        <fgColor theme="5" tint="0.79998168889431442"/>
        <bgColor indexed="64"/>
      </patternFill>
    </fill>
    <fill>
      <patternFill patternType="solid">
        <fgColor theme="4" tint="-0.249977111117893"/>
        <bgColor indexed="64"/>
      </patternFill>
    </fill>
    <fill>
      <patternFill patternType="solid">
        <fgColor theme="4"/>
        <bgColor indexed="64"/>
      </patternFill>
    </fill>
    <fill>
      <patternFill patternType="solid">
        <fgColor theme="2"/>
        <bgColor indexed="64"/>
      </patternFill>
    </fill>
  </fills>
  <borders count="3">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3">
    <xf numFmtId="0" fontId="0" fillId="0" borderId="0"/>
    <xf numFmtId="9" fontId="62" fillId="0" borderId="0" applyFont="0" applyFill="0" applyBorder="0" applyAlignment="0" applyProtection="0"/>
    <xf numFmtId="0" fontId="64" fillId="0" borderId="0" applyNumberFormat="0" applyFill="0" applyBorder="0" applyAlignment="0" applyProtection="0"/>
  </cellStyleXfs>
  <cellXfs count="122">
    <xf numFmtId="0" fontId="0" fillId="0" borderId="0" xfId="0"/>
    <xf numFmtId="0" fontId="0" fillId="0" borderId="0" xfId="0" applyAlignment="1">
      <alignment vertical="center"/>
    </xf>
    <xf numFmtId="14" fontId="60" fillId="0" borderId="1" xfId="0" applyNumberFormat="1" applyFont="1" applyBorder="1" applyAlignment="1">
      <alignment horizontal="center" vertical="center"/>
    </xf>
    <xf numFmtId="0" fontId="60" fillId="0" borderId="1" xfId="0" applyFont="1" applyBorder="1" applyAlignment="1">
      <alignment horizontal="center" vertical="center"/>
    </xf>
    <xf numFmtId="3" fontId="60" fillId="0" borderId="1" xfId="0" applyNumberFormat="1" applyFont="1" applyBorder="1" applyAlignment="1">
      <alignment horizontal="center" vertical="center"/>
    </xf>
    <xf numFmtId="8" fontId="66" fillId="0" borderId="1" xfId="0" applyNumberFormat="1" applyFont="1" applyBorder="1" applyAlignment="1">
      <alignment horizontal="center" vertical="center"/>
    </xf>
    <xf numFmtId="164" fontId="60" fillId="0" borderId="1" xfId="1" applyNumberFormat="1" applyFont="1" applyBorder="1" applyAlignment="1">
      <alignment horizontal="center" vertical="center"/>
    </xf>
    <xf numFmtId="0" fontId="59" fillId="0" borderId="1" xfId="0" applyFont="1" applyBorder="1" applyAlignment="1">
      <alignment horizontal="center" vertical="center"/>
    </xf>
    <xf numFmtId="0" fontId="59" fillId="0" borderId="1" xfId="0" applyFont="1" applyBorder="1" applyAlignment="1">
      <alignment horizontal="center" vertical="center" wrapText="1"/>
    </xf>
    <xf numFmtId="0" fontId="60" fillId="0" borderId="1" xfId="0" applyFont="1" applyBorder="1" applyAlignment="1">
      <alignment horizontal="center" vertical="center" wrapText="1"/>
    </xf>
    <xf numFmtId="10" fontId="60" fillId="0" borderId="1" xfId="1" applyNumberFormat="1" applyFont="1" applyBorder="1" applyAlignment="1">
      <alignment horizontal="center" vertical="center"/>
    </xf>
    <xf numFmtId="0" fontId="0" fillId="0" borderId="1" xfId="0" applyBorder="1" applyAlignment="1">
      <alignment horizontal="center" vertical="center"/>
    </xf>
    <xf numFmtId="0" fontId="0" fillId="0" borderId="1" xfId="0" applyBorder="1" applyAlignment="1">
      <alignment horizontal="center" vertical="center" wrapText="1"/>
    </xf>
    <xf numFmtId="0" fontId="58" fillId="0" borderId="1" xfId="0" applyFont="1" applyBorder="1" applyAlignment="1">
      <alignment horizontal="center" vertical="center"/>
    </xf>
    <xf numFmtId="0" fontId="64" fillId="0" borderId="1" xfId="2" applyBorder="1" applyAlignment="1">
      <alignment horizontal="center" vertical="center"/>
    </xf>
    <xf numFmtId="0" fontId="57" fillId="0" borderId="1" xfId="0" applyFont="1" applyBorder="1" applyAlignment="1">
      <alignment horizontal="center" vertical="center"/>
    </xf>
    <xf numFmtId="0" fontId="56" fillId="0" borderId="1" xfId="0" applyFont="1" applyBorder="1" applyAlignment="1">
      <alignment horizontal="center" vertical="center"/>
    </xf>
    <xf numFmtId="164" fontId="56" fillId="0" borderId="1" xfId="1" applyNumberFormat="1" applyFont="1" applyBorder="1" applyAlignment="1">
      <alignment horizontal="center" vertical="center"/>
    </xf>
    <xf numFmtId="0" fontId="55" fillId="0" borderId="1" xfId="0" applyFont="1" applyBorder="1" applyAlignment="1">
      <alignment horizontal="center" vertical="center"/>
    </xf>
    <xf numFmtId="164" fontId="55" fillId="0" borderId="1" xfId="1" applyNumberFormat="1" applyFont="1" applyBorder="1" applyAlignment="1">
      <alignment horizontal="center" vertical="center"/>
    </xf>
    <xf numFmtId="0" fontId="54" fillId="0" borderId="1" xfId="0" applyFont="1" applyBorder="1" applyAlignment="1">
      <alignment horizontal="center" vertical="center"/>
    </xf>
    <xf numFmtId="0" fontId="53" fillId="0" borderId="1" xfId="0" applyFont="1" applyBorder="1" applyAlignment="1">
      <alignment horizontal="center" vertical="center"/>
    </xf>
    <xf numFmtId="0" fontId="52" fillId="0" borderId="1" xfId="0" applyFont="1" applyBorder="1" applyAlignment="1">
      <alignment horizontal="center" vertical="center"/>
    </xf>
    <xf numFmtId="0" fontId="51" fillId="0" borderId="1" xfId="0" applyFont="1" applyBorder="1" applyAlignment="1">
      <alignment horizontal="center" vertical="center"/>
    </xf>
    <xf numFmtId="0" fontId="50" fillId="0" borderId="1" xfId="0" applyFont="1" applyBorder="1" applyAlignment="1">
      <alignment horizontal="center" vertical="center"/>
    </xf>
    <xf numFmtId="0" fontId="49" fillId="0" borderId="1" xfId="0" applyFont="1" applyBorder="1" applyAlignment="1">
      <alignment horizontal="center" vertical="center"/>
    </xf>
    <xf numFmtId="0" fontId="48" fillId="0" borderId="1" xfId="0" applyFont="1" applyBorder="1" applyAlignment="1">
      <alignment horizontal="center" vertical="center"/>
    </xf>
    <xf numFmtId="9" fontId="60" fillId="0" borderId="1" xfId="0" applyNumberFormat="1" applyFont="1" applyBorder="1" applyAlignment="1">
      <alignment horizontal="center" vertical="center"/>
    </xf>
    <xf numFmtId="0" fontId="47" fillId="0" borderId="1" xfId="0" applyFont="1" applyBorder="1" applyAlignment="1">
      <alignment horizontal="center" vertical="center"/>
    </xf>
    <xf numFmtId="0" fontId="46" fillId="0" borderId="1" xfId="0" applyFont="1" applyBorder="1" applyAlignment="1">
      <alignment horizontal="center" vertical="center"/>
    </xf>
    <xf numFmtId="0" fontId="45" fillId="0" borderId="1" xfId="0" applyFont="1" applyBorder="1" applyAlignment="1">
      <alignment horizontal="center" vertical="center"/>
    </xf>
    <xf numFmtId="0" fontId="71" fillId="4" borderId="2" xfId="0" applyFont="1" applyFill="1" applyBorder="1" applyAlignment="1">
      <alignment horizontal="center" vertical="center"/>
    </xf>
    <xf numFmtId="0" fontId="0" fillId="0" borderId="2" xfId="0" applyBorder="1" applyAlignment="1">
      <alignment horizontal="left" vertical="center"/>
    </xf>
    <xf numFmtId="0" fontId="0" fillId="0" borderId="2" xfId="0" applyBorder="1" applyAlignment="1">
      <alignment horizontal="center" vertical="center"/>
    </xf>
    <xf numFmtId="14" fontId="44" fillId="0" borderId="1" xfId="0" applyNumberFormat="1" applyFont="1" applyBorder="1" applyAlignment="1">
      <alignment horizontal="center" vertical="center"/>
    </xf>
    <xf numFmtId="0" fontId="44" fillId="0" borderId="1" xfId="0" applyFont="1" applyBorder="1" applyAlignment="1">
      <alignment horizontal="center" vertical="center"/>
    </xf>
    <xf numFmtId="14" fontId="43" fillId="0" borderId="1" xfId="0" applyNumberFormat="1" applyFont="1" applyBorder="1" applyAlignment="1">
      <alignment horizontal="center" vertical="center"/>
    </xf>
    <xf numFmtId="0" fontId="73" fillId="0" borderId="1" xfId="0" applyFont="1" applyBorder="1" applyAlignment="1">
      <alignment horizontal="center" vertical="center" wrapText="1"/>
    </xf>
    <xf numFmtId="0" fontId="42" fillId="0" borderId="1" xfId="0" applyFont="1" applyBorder="1" applyAlignment="1">
      <alignment horizontal="center" vertical="center"/>
    </xf>
    <xf numFmtId="14" fontId="41" fillId="0" borderId="1" xfId="0" applyNumberFormat="1" applyFont="1" applyBorder="1" applyAlignment="1">
      <alignment horizontal="center" vertical="center"/>
    </xf>
    <xf numFmtId="14" fontId="40" fillId="0" borderId="1" xfId="0" applyNumberFormat="1" applyFont="1" applyBorder="1" applyAlignment="1">
      <alignment horizontal="center" vertical="center"/>
    </xf>
    <xf numFmtId="0" fontId="40" fillId="0" borderId="1" xfId="0" applyFont="1" applyBorder="1" applyAlignment="1">
      <alignment horizontal="center" vertical="center"/>
    </xf>
    <xf numFmtId="0" fontId="74" fillId="4" borderId="2" xfId="0" applyFont="1" applyFill="1" applyBorder="1" applyAlignment="1">
      <alignment horizontal="center" vertical="center"/>
    </xf>
    <xf numFmtId="14" fontId="39" fillId="0" borderId="1" xfId="0" applyNumberFormat="1" applyFont="1" applyBorder="1" applyAlignment="1">
      <alignment horizontal="center" vertical="center"/>
    </xf>
    <xf numFmtId="0" fontId="39" fillId="0" borderId="1" xfId="0" applyFont="1" applyBorder="1" applyAlignment="1">
      <alignment horizontal="center" vertical="center"/>
    </xf>
    <xf numFmtId="14" fontId="38" fillId="0" borderId="1" xfId="0" applyNumberFormat="1" applyFont="1" applyBorder="1" applyAlignment="1">
      <alignment horizontal="center" vertical="center"/>
    </xf>
    <xf numFmtId="0" fontId="38" fillId="0" borderId="1" xfId="0" applyFont="1" applyBorder="1" applyAlignment="1">
      <alignment horizontal="center" vertical="center"/>
    </xf>
    <xf numFmtId="14" fontId="37" fillId="0" borderId="1" xfId="0" applyNumberFormat="1" applyFont="1" applyBorder="1" applyAlignment="1">
      <alignment horizontal="center" vertical="center"/>
    </xf>
    <xf numFmtId="0" fontId="37" fillId="0" borderId="1" xfId="0" applyFont="1" applyBorder="1" applyAlignment="1">
      <alignment horizontal="center" vertical="center"/>
    </xf>
    <xf numFmtId="14" fontId="36" fillId="0" borderId="1" xfId="0" applyNumberFormat="1" applyFont="1" applyBorder="1" applyAlignment="1">
      <alignment horizontal="center" vertical="center"/>
    </xf>
    <xf numFmtId="0" fontId="36" fillId="0" borderId="1" xfId="0" applyFont="1" applyBorder="1" applyAlignment="1">
      <alignment horizontal="center" vertical="center"/>
    </xf>
    <xf numFmtId="0" fontId="36" fillId="0" borderId="1" xfId="0" applyFont="1" applyBorder="1" applyAlignment="1">
      <alignment horizontal="center" vertical="center" wrapText="1"/>
    </xf>
    <xf numFmtId="14" fontId="35" fillId="0" borderId="1" xfId="0" applyNumberFormat="1" applyFont="1" applyBorder="1" applyAlignment="1">
      <alignment horizontal="center" vertical="center"/>
    </xf>
    <xf numFmtId="0" fontId="35" fillId="0" borderId="1" xfId="0" applyFont="1" applyBorder="1" applyAlignment="1">
      <alignment horizontal="center" vertical="center"/>
    </xf>
    <xf numFmtId="0" fontId="35" fillId="0" borderId="1" xfId="0" applyFont="1" applyBorder="1" applyAlignment="1">
      <alignment horizontal="center" vertical="center" wrapText="1"/>
    </xf>
    <xf numFmtId="14" fontId="34" fillId="0" borderId="1" xfId="0" applyNumberFormat="1" applyFont="1" applyBorder="1" applyAlignment="1">
      <alignment horizontal="center" vertical="center"/>
    </xf>
    <xf numFmtId="0" fontId="34" fillId="0" borderId="1" xfId="0" applyFont="1" applyBorder="1" applyAlignment="1">
      <alignment horizontal="center" vertical="center"/>
    </xf>
    <xf numFmtId="14" fontId="33" fillId="0" borderId="1" xfId="0" applyNumberFormat="1" applyFont="1" applyBorder="1" applyAlignment="1">
      <alignment horizontal="center" vertical="center"/>
    </xf>
    <xf numFmtId="0" fontId="33" fillId="0" borderId="1" xfId="0" applyFont="1" applyBorder="1" applyAlignment="1">
      <alignment horizontal="center" vertical="center"/>
    </xf>
    <xf numFmtId="14" fontId="32" fillId="0" borderId="1" xfId="0" applyNumberFormat="1" applyFont="1" applyBorder="1" applyAlignment="1">
      <alignment horizontal="center" vertical="center"/>
    </xf>
    <xf numFmtId="0" fontId="32" fillId="0" borderId="1" xfId="0" applyFont="1" applyBorder="1" applyAlignment="1">
      <alignment horizontal="center" vertical="center"/>
    </xf>
    <xf numFmtId="14" fontId="31" fillId="0" borderId="1" xfId="0" applyNumberFormat="1" applyFont="1" applyBorder="1" applyAlignment="1">
      <alignment horizontal="center" vertical="center"/>
    </xf>
    <xf numFmtId="0" fontId="30" fillId="0" borderId="1" xfId="0" applyFont="1" applyBorder="1" applyAlignment="1">
      <alignment horizontal="center" vertical="center"/>
    </xf>
    <xf numFmtId="14" fontId="29" fillId="0" borderId="1" xfId="0" applyNumberFormat="1" applyFont="1" applyBorder="1" applyAlignment="1">
      <alignment horizontal="center" vertical="center"/>
    </xf>
    <xf numFmtId="14" fontId="28" fillId="0" borderId="1" xfId="0" applyNumberFormat="1" applyFont="1" applyBorder="1" applyAlignment="1">
      <alignment horizontal="center" vertical="center"/>
    </xf>
    <xf numFmtId="0" fontId="28" fillId="0" borderId="1" xfId="0" applyFont="1" applyBorder="1" applyAlignment="1">
      <alignment horizontal="center" vertical="center"/>
    </xf>
    <xf numFmtId="14" fontId="27" fillId="0" borderId="1" xfId="0" applyNumberFormat="1" applyFont="1" applyBorder="1" applyAlignment="1">
      <alignment horizontal="center" vertical="center"/>
    </xf>
    <xf numFmtId="0" fontId="27" fillId="0" borderId="1" xfId="0" applyFont="1" applyBorder="1" applyAlignment="1">
      <alignment horizontal="center" vertical="center"/>
    </xf>
    <xf numFmtId="14" fontId="26" fillId="0" borderId="1" xfId="0" applyNumberFormat="1" applyFont="1" applyBorder="1" applyAlignment="1">
      <alignment horizontal="center" vertical="center"/>
    </xf>
    <xf numFmtId="0" fontId="26" fillId="0" borderId="1" xfId="0" applyFont="1" applyBorder="1" applyAlignment="1">
      <alignment horizontal="center" vertical="center"/>
    </xf>
    <xf numFmtId="3" fontId="26" fillId="0" borderId="1" xfId="0" applyNumberFormat="1" applyFont="1" applyBorder="1" applyAlignment="1">
      <alignment horizontal="center" vertical="center"/>
    </xf>
    <xf numFmtId="14" fontId="25" fillId="0" borderId="1" xfId="0" applyNumberFormat="1" applyFont="1" applyBorder="1" applyAlignment="1">
      <alignment horizontal="center" vertical="center"/>
    </xf>
    <xf numFmtId="14" fontId="24" fillId="0" borderId="1" xfId="0" applyNumberFormat="1" applyFont="1" applyBorder="1" applyAlignment="1">
      <alignment horizontal="center" vertical="center"/>
    </xf>
    <xf numFmtId="0" fontId="24" fillId="0" borderId="1" xfId="0" applyFont="1" applyBorder="1" applyAlignment="1">
      <alignment horizontal="center" vertical="center"/>
    </xf>
    <xf numFmtId="14" fontId="23" fillId="0" borderId="1" xfId="0" applyNumberFormat="1" applyFont="1" applyBorder="1" applyAlignment="1">
      <alignment horizontal="center" vertical="center"/>
    </xf>
    <xf numFmtId="0" fontId="23" fillId="0" borderId="1" xfId="0" applyFont="1" applyBorder="1" applyAlignment="1">
      <alignment horizontal="center" vertical="center"/>
    </xf>
    <xf numFmtId="14" fontId="22" fillId="0" borderId="1" xfId="0" applyNumberFormat="1" applyFont="1" applyBorder="1" applyAlignment="1">
      <alignment horizontal="center" vertical="center"/>
    </xf>
    <xf numFmtId="0" fontId="22" fillId="0" borderId="1" xfId="0" applyFont="1" applyBorder="1" applyAlignment="1">
      <alignment horizontal="center" vertical="center"/>
    </xf>
    <xf numFmtId="14" fontId="21" fillId="0" borderId="1" xfId="0" applyNumberFormat="1" applyFont="1" applyBorder="1" applyAlignment="1">
      <alignment horizontal="center" vertical="center"/>
    </xf>
    <xf numFmtId="0" fontId="21" fillId="0" borderId="1" xfId="0" applyFont="1" applyBorder="1" applyAlignment="1">
      <alignment horizontal="center" vertical="center"/>
    </xf>
    <xf numFmtId="14" fontId="20" fillId="0" borderId="1" xfId="0" applyNumberFormat="1" applyFont="1" applyBorder="1" applyAlignment="1">
      <alignment horizontal="center" vertical="center"/>
    </xf>
    <xf numFmtId="0" fontId="20" fillId="0" borderId="1" xfId="0" applyFont="1" applyBorder="1" applyAlignment="1">
      <alignment horizontal="center" vertical="center"/>
    </xf>
    <xf numFmtId="14" fontId="19" fillId="0" borderId="1" xfId="0" applyNumberFormat="1" applyFont="1" applyBorder="1" applyAlignment="1">
      <alignment horizontal="center" vertical="center"/>
    </xf>
    <xf numFmtId="0" fontId="19" fillId="0" borderId="1" xfId="0" applyFont="1" applyBorder="1" applyAlignment="1">
      <alignment horizontal="center" vertical="center"/>
    </xf>
    <xf numFmtId="14" fontId="18" fillId="0" borderId="1" xfId="0" applyNumberFormat="1" applyFont="1" applyBorder="1" applyAlignment="1">
      <alignment horizontal="center" vertical="center"/>
    </xf>
    <xf numFmtId="0" fontId="18" fillId="0" borderId="1" xfId="0" applyFont="1" applyBorder="1" applyAlignment="1">
      <alignment horizontal="center" vertical="center"/>
    </xf>
    <xf numFmtId="14" fontId="65"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0" fontId="17" fillId="0" borderId="1" xfId="0" applyFont="1" applyBorder="1" applyAlignment="1">
      <alignment horizontal="center" vertical="center"/>
    </xf>
    <xf numFmtId="14" fontId="16" fillId="0" borderId="1" xfId="0" applyNumberFormat="1" applyFont="1" applyBorder="1" applyAlignment="1">
      <alignment horizontal="center" vertical="center"/>
    </xf>
    <xf numFmtId="165" fontId="65" fillId="0" borderId="1" xfId="0" applyNumberFormat="1" applyFont="1" applyBorder="1" applyAlignment="1">
      <alignment horizontal="center" vertical="center"/>
    </xf>
    <xf numFmtId="14" fontId="15" fillId="0" borderId="1" xfId="0" applyNumberFormat="1" applyFont="1" applyBorder="1" applyAlignment="1">
      <alignment horizontal="center" vertical="center"/>
    </xf>
    <xf numFmtId="0" fontId="15" fillId="0" borderId="1" xfId="0" applyFont="1" applyBorder="1" applyAlignment="1">
      <alignment horizontal="center" vertical="center"/>
    </xf>
    <xf numFmtId="14" fontId="14" fillId="0" borderId="1" xfId="0" applyNumberFormat="1" applyFont="1" applyBorder="1" applyAlignment="1">
      <alignment horizontal="center" vertical="center"/>
    </xf>
    <xf numFmtId="14" fontId="13" fillId="0" borderId="1" xfId="0" applyNumberFormat="1" applyFont="1" applyBorder="1" applyAlignment="1">
      <alignment horizontal="center" vertical="center"/>
    </xf>
    <xf numFmtId="0" fontId="13" fillId="0" borderId="1" xfId="0" applyFont="1" applyBorder="1" applyAlignment="1">
      <alignment horizontal="center" vertical="center"/>
    </xf>
    <xf numFmtId="14" fontId="12" fillId="0" borderId="1" xfId="0" applyNumberFormat="1" applyFont="1" applyBorder="1" applyAlignment="1">
      <alignment horizontal="center" vertical="center"/>
    </xf>
    <xf numFmtId="14" fontId="11" fillId="0" borderId="1" xfId="0" applyNumberFormat="1" applyFont="1" applyBorder="1" applyAlignment="1">
      <alignment horizontal="center" vertical="center"/>
    </xf>
    <xf numFmtId="14" fontId="10" fillId="0" borderId="1" xfId="0" applyNumberFormat="1" applyFont="1" applyBorder="1" applyAlignment="1">
      <alignment horizontal="center" vertical="center"/>
    </xf>
    <xf numFmtId="14" fontId="9" fillId="0" borderId="1" xfId="0" applyNumberFormat="1" applyFont="1" applyBorder="1" applyAlignment="1">
      <alignment horizontal="center" vertical="center"/>
    </xf>
    <xf numFmtId="0" fontId="8" fillId="0" borderId="1" xfId="0" applyFont="1" applyBorder="1" applyAlignment="1">
      <alignment horizontal="center" vertical="center"/>
    </xf>
    <xf numFmtId="0" fontId="63" fillId="2" borderId="1" xfId="0" applyFont="1" applyFill="1" applyBorder="1" applyAlignment="1">
      <alignment horizontal="center"/>
    </xf>
    <xf numFmtId="0" fontId="61" fillId="3" borderId="1" xfId="0" applyFont="1" applyFill="1" applyBorder="1" applyAlignment="1">
      <alignment horizontal="center"/>
    </xf>
    <xf numFmtId="0" fontId="20" fillId="0" borderId="1" xfId="0" applyFont="1" applyBorder="1" applyAlignment="1">
      <alignment horizontal="center" vertical="center" wrapText="1"/>
    </xf>
    <xf numFmtId="0" fontId="7" fillId="0" borderId="1" xfId="0" applyFont="1" applyBorder="1" applyAlignment="1">
      <alignment horizontal="center" vertical="center"/>
    </xf>
    <xf numFmtId="14" fontId="6" fillId="0" borderId="1" xfId="0" applyNumberFormat="1" applyFont="1" applyBorder="1" applyAlignment="1">
      <alignment horizontal="center" vertical="center"/>
    </xf>
    <xf numFmtId="0" fontId="64" fillId="0" borderId="1" xfId="2" applyBorder="1" applyAlignment="1">
      <alignment horizontal="center" vertical="center" wrapText="1"/>
    </xf>
    <xf numFmtId="0" fontId="6" fillId="0" borderId="2" xfId="0" applyFont="1" applyBorder="1" applyAlignment="1">
      <alignment horizontal="left" vertical="center"/>
    </xf>
    <xf numFmtId="0" fontId="6" fillId="0" borderId="2" xfId="0" applyFont="1" applyBorder="1" applyAlignment="1">
      <alignment horizontal="center" vertical="center"/>
    </xf>
    <xf numFmtId="14" fontId="5" fillId="0" borderId="1" xfId="0" applyNumberFormat="1" applyFont="1" applyBorder="1" applyAlignment="1">
      <alignment horizontal="center" vertical="center"/>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14" fontId="4" fillId="0" borderId="1" xfId="0" applyNumberFormat="1" applyFont="1" applyBorder="1" applyAlignment="1">
      <alignment horizontal="center" vertical="center"/>
    </xf>
    <xf numFmtId="0" fontId="4" fillId="0" borderId="1" xfId="0" applyFont="1" applyBorder="1" applyAlignment="1">
      <alignment horizontal="center" vertical="center"/>
    </xf>
    <xf numFmtId="14" fontId="3" fillId="0" borderId="1" xfId="0" applyNumberFormat="1" applyFont="1" applyBorder="1" applyAlignment="1">
      <alignment horizontal="center" vertical="center"/>
    </xf>
    <xf numFmtId="0" fontId="3" fillId="0" borderId="1" xfId="0" applyFont="1" applyBorder="1" applyAlignment="1">
      <alignment horizontal="center" vertical="center"/>
    </xf>
    <xf numFmtId="0" fontId="2" fillId="0" borderId="1" xfId="0" applyFont="1" applyBorder="1" applyAlignment="1">
      <alignment horizontal="center" vertical="center"/>
    </xf>
    <xf numFmtId="14" fontId="2" fillId="0" borderId="1" xfId="0" applyNumberFormat="1" applyFont="1" applyBorder="1" applyAlignment="1">
      <alignment horizontal="center" vertical="center"/>
    </xf>
    <xf numFmtId="0" fontId="60" fillId="0" borderId="1" xfId="0" applyFont="1" applyBorder="1" applyAlignment="1">
      <alignment horizontal="center" vertical="center" wrapText="1"/>
    </xf>
    <xf numFmtId="0" fontId="70" fillId="5" borderId="2" xfId="0" applyFont="1" applyFill="1" applyBorder="1" applyAlignment="1">
      <alignment horizontal="center" vertical="center"/>
    </xf>
    <xf numFmtId="14" fontId="1" fillId="0" borderId="1" xfId="0" applyNumberFormat="1" applyFont="1" applyBorder="1" applyAlignment="1">
      <alignment horizontal="center" vertical="center"/>
    </xf>
    <xf numFmtId="0" fontId="1" fillId="0" borderId="1" xfId="0" applyFont="1" applyBorder="1" applyAlignment="1">
      <alignment horizontal="center" vertical="center"/>
    </xf>
  </cellXfs>
  <cellStyles count="3">
    <cellStyle name="Hyperlink" xfId="2" builtinId="8"/>
    <cellStyle name="Normal" xfId="0" builtinId="0"/>
    <cellStyle name="Percent" xfId="1" builtinId="5"/>
  </cellStyles>
  <dxfs count="1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0"/>
      </font>
    </dxf>
    <dxf>
      <font>
        <sz val="10"/>
      </font>
    </dxf>
    <dxf>
      <font>
        <sz val="10"/>
      </font>
    </dxf>
    <dxf>
      <font>
        <sz val="10"/>
      </font>
    </dxf>
    <dxf>
      <font>
        <sz val="10"/>
      </font>
    </dxf>
    <dxf>
      <font>
        <sz val="10"/>
      </font>
    </dxf>
    <dxf>
      <font>
        <sz val="10"/>
      </font>
    </dxf>
    <dxf>
      <font>
        <sz val="10"/>
      </font>
    </dxf>
    <dxf>
      <font>
        <sz val="10"/>
      </font>
    </dxf>
    <dxf>
      <border>
        <vertical style="thin">
          <color theme="0" tint="-0.34998626667073579"/>
        </vertical>
        <horizontal style="thin">
          <color theme="0" tint="-0.34998626667073579"/>
        </horizontal>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alignment vertical="bottom" indent="0"/>
    </dxf>
    <dxf>
      <fill>
        <patternFill>
          <bgColor theme="4"/>
        </patternFill>
      </fill>
    </dxf>
    <dxf>
      <fill>
        <patternFill>
          <bgColor theme="4"/>
        </patternFill>
      </fill>
    </dxf>
    <dxf>
      <fill>
        <patternFill>
          <bgColor theme="4"/>
        </patternFill>
      </fill>
    </dxf>
    <dxf>
      <fill>
        <patternFill>
          <bgColor theme="4"/>
        </patternFill>
      </fill>
    </dxf>
    <dxf>
      <font>
        <b val="0"/>
      </font>
    </dxf>
    <dxf>
      <font>
        <b val="0"/>
      </font>
    </dxf>
    <dxf>
      <font>
        <b val="0"/>
      </font>
    </dxf>
    <dxf>
      <font>
        <b val="0"/>
      </font>
    </dxf>
    <dxf>
      <font>
        <color theme="0"/>
      </font>
    </dxf>
    <dxf>
      <font>
        <color theme="0"/>
      </font>
    </dxf>
    <dxf>
      <font>
        <color theme="0"/>
      </font>
    </dxf>
    <dxf>
      <font>
        <color theme="0"/>
      </font>
    </dxf>
    <dxf>
      <fill>
        <patternFill patternType="solid">
          <bgColor theme="3"/>
        </patternFill>
      </fill>
    </dxf>
    <dxf>
      <fill>
        <patternFill patternType="solid">
          <bgColor theme="3"/>
        </patternFill>
      </fill>
    </dxf>
    <dxf>
      <fill>
        <patternFill patternType="solid">
          <bgColor theme="3"/>
        </patternFill>
      </fill>
    </dxf>
    <dxf>
      <fill>
        <patternFill patternType="solid">
          <bgColor theme="3"/>
        </patternFill>
      </fill>
    </dxf>
    <dxf>
      <alignment horizontal="center"/>
    </dxf>
    <dxf>
      <alignment horizontal="center"/>
    </dxf>
    <dxf>
      <alignment horizontal="center"/>
    </dxf>
    <dxf>
      <alignment horizontal="center"/>
    </dxf>
    <dxf>
      <alignment horizontal="cent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b/>
      </font>
    </dxf>
    <dxf>
      <font>
        <b/>
      </font>
    </dxf>
    <dxf>
      <alignment horizontal="center"/>
    </dxf>
    <dxf>
      <alignment vertical="center"/>
    </dxf>
    <dxf>
      <alignment vertical="center"/>
    </dxf>
    <dxf>
      <alignment vertical="center"/>
    </dxf>
    <dxf>
      <alignment vertical="center"/>
    </dxf>
    <dxf>
      <alignment vertical="center"/>
    </dxf>
    <dxf>
      <alignment vertical="center"/>
    </dxf>
    <dxf>
      <alignment vertical="bottom" indent="0"/>
    </dxf>
    <dxf>
      <alignment vertical="bottom" indent="0"/>
    </dxf>
    <dxf>
      <alignment vertical="bottom" indent="0"/>
    </dxf>
    <dxf>
      <alignment vertical="bottom" indent="0"/>
    </dxf>
    <dxf>
      <alignment vertical="bottom" indent="0"/>
    </dxf>
    <dxf>
      <alignment vertical="bottom" indent="0"/>
    </dxf>
    <dxf>
      <alignment horizontal="center"/>
    </dxf>
    <dxf>
      <font>
        <color theme="0"/>
      </font>
    </dxf>
    <dxf>
      <font>
        <color theme="0"/>
      </font>
    </dxf>
    <dxf>
      <fill>
        <patternFill>
          <bgColor theme="4"/>
        </patternFill>
      </fill>
    </dxf>
    <dxf>
      <fill>
        <patternFill>
          <bgColor theme="4"/>
        </patternFill>
      </fill>
    </dxf>
    <dxf>
      <fill>
        <patternFill>
          <bgColor theme="4"/>
        </patternFill>
      </fill>
    </dxf>
    <dxf>
      <fill>
        <patternFill>
          <bgColor theme="4"/>
        </patternFill>
      </fill>
    </dxf>
    <dxf>
      <fill>
        <patternFill>
          <bgColor theme="4"/>
        </patternFill>
      </fill>
    </dxf>
    <dxf>
      <font>
        <b val="0"/>
      </font>
    </dxf>
    <dxf>
      <font>
        <b val="0"/>
      </font>
    </dxf>
    <dxf>
      <font>
        <b val="0"/>
      </font>
    </dxf>
    <dxf>
      <font>
        <b val="0"/>
      </font>
    </dxf>
    <dxf>
      <font>
        <color theme="0"/>
      </font>
    </dxf>
    <dxf>
      <font>
        <color theme="0"/>
      </font>
    </dxf>
    <dxf>
      <font>
        <color theme="0"/>
      </font>
    </dxf>
    <dxf>
      <font>
        <color theme="0"/>
      </font>
    </dxf>
    <dxf>
      <fill>
        <patternFill patternType="solid">
          <bgColor theme="3"/>
        </patternFill>
      </fill>
    </dxf>
    <dxf>
      <fill>
        <patternFill patternType="solid">
          <bgColor theme="3"/>
        </patternFill>
      </fill>
    </dxf>
    <dxf>
      <fill>
        <patternFill patternType="solid">
          <bgColor theme="3"/>
        </patternFill>
      </fill>
    </dxf>
    <dxf>
      <fill>
        <patternFill patternType="solid">
          <bgColor theme="3"/>
        </patternFill>
      </fill>
    </dxf>
    <dxf>
      <alignment horizontal="center"/>
    </dxf>
    <dxf>
      <alignment horizontal="center"/>
    </dxf>
    <dxf>
      <alignment horizontal="center"/>
    </dxf>
    <dxf>
      <alignment horizontal="center"/>
    </dxf>
    <dxf>
      <alignment horizontal="cent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externalLink" Target="externalLinks/externalLink1.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pivotCacheDefinition" Target="pivotCache/pivotCacheDefinition2.xml"/><Relationship Id="rId10" Type="http://schemas.openxmlformats.org/officeDocument/2006/relationships/customXml" Target="../customXml/item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oneCellAnchor>
    <xdr:from>
      <xdr:col>30</xdr:col>
      <xdr:colOff>0</xdr:colOff>
      <xdr:row>118</xdr:row>
      <xdr:rowOff>448235</xdr:rowOff>
    </xdr:from>
    <xdr:ext cx="184731" cy="264560"/>
    <xdr:sp macro="" textlink="">
      <xdr:nvSpPr>
        <xdr:cNvPr id="2" name="TextBox 1">
          <a:extLst>
            <a:ext uri="{FF2B5EF4-FFF2-40B4-BE49-F238E27FC236}">
              <a16:creationId xmlns:a16="http://schemas.microsoft.com/office/drawing/2014/main" id="{00000000-0008-0000-0000-000002000000}"/>
            </a:ext>
          </a:extLst>
        </xdr:cNvPr>
        <xdr:cNvSpPr txBox="1"/>
      </xdr:nvSpPr>
      <xdr:spPr>
        <a:xfrm>
          <a:off x="44061529" y="661147"/>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n-AE" sz="1100"/>
        </a:p>
      </xdr:txBody>
    </xdr:sp>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onedevelopmentuae-my.sharepoint.com/personal/n_araujo_oneuae_com/Documents/Desktop/Units%20and%20Bookings%20(Queried)%20-%20Nov.xlsx" TargetMode="External"/><Relationship Id="rId1" Type="http://schemas.openxmlformats.org/officeDocument/2006/relationships/externalLinkPath" Target="https://onedevelopmentuae-my.sharepoint.com/personal/n_araujo_oneuae_com/Documents/Desktop/Units%20and%20Bookings%20(Queried)%20-%20Nov.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eal"/>
      <sheetName val="Sheet2"/>
      <sheetName val="Sheet1"/>
      <sheetName val="Pivot"/>
      <sheetName val="Unsold Repricing"/>
      <sheetName val="Pivot Updated"/>
      <sheetName val="Sheet3"/>
      <sheetName val="Sheet8"/>
      <sheetName val="Sheet4"/>
      <sheetName val="Units"/>
      <sheetName val="Sheet7"/>
      <sheetName val="Sheet12"/>
      <sheetName val="DNC Units"/>
      <sheetName val="Sheet5"/>
      <sheetName val="DNC Office Repricing"/>
      <sheetName val="Deal (DNC)"/>
      <sheetName val="Bookings"/>
      <sheetName val="Sheet6"/>
      <sheetName val="Discount Sheet"/>
      <sheetName val="Approved Price"/>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orton Araujo" refreshedDate="46051.530508217591" createdVersion="8" refreshedVersion="8" minRefreshableVersion="3" recordCount="135" xr:uid="{A539D058-3742-4718-8859-92A7FEE1AE90}">
  <cacheSource type="worksheet">
    <worksheetSource ref="C1:AF154" sheet="Rejected Bookings"/>
  </cacheSource>
  <cacheFields count="30">
    <cacheField name="Date Submitted" numFmtId="14">
      <sharedItems containsSemiMixedTypes="0" containsNonDate="0" containsDate="1" containsString="0" minDate="2025-07-15T00:00:00" maxDate="2026-01-30T00:00:00"/>
    </cacheField>
    <cacheField name="Rejected Date" numFmtId="14">
      <sharedItems containsSemiMixedTypes="0" containsNonDate="0" containsDate="1" containsString="0" minDate="1899-12-30T00:00:00" maxDate="2026-01-29T00:00:00"/>
    </cacheField>
    <cacheField name="Booking Name" numFmtId="14">
      <sharedItems/>
    </cacheField>
    <cacheField name="Status" numFmtId="14">
      <sharedItems/>
    </cacheField>
    <cacheField name="Booking Date" numFmtId="14">
      <sharedItems containsSemiMixedTypes="0" containsNonDate="0" containsDate="1" containsString="0" minDate="2024-12-04T00:00:00" maxDate="2026-01-29T00:00:00"/>
    </cacheField>
    <cacheField name="Aging" numFmtId="0">
      <sharedItems containsSemiMixedTypes="0" containsString="0" containsNumber="1" containsInteger="1" minValue="1" maxValue="421"/>
    </cacheField>
    <cacheField name="Project Name" numFmtId="14">
      <sharedItems/>
    </cacheField>
    <cacheField name="Building" numFmtId="14">
      <sharedItems/>
    </cacheField>
    <cacheField name="Bedrooms" numFmtId="14">
      <sharedItems/>
    </cacheField>
    <cacheField name="Unit No." numFmtId="14">
      <sharedItems/>
    </cacheField>
    <cacheField name="Inventory Unit Status" numFmtId="14">
      <sharedItems/>
    </cacheField>
    <cacheField name="Booking Status" numFmtId="14">
      <sharedItems containsBlank="1" count="6">
        <s v="Draft"/>
        <s v="Rejected"/>
        <m u="1"/>
        <s v="DP Paid" u="1"/>
        <s v="Waived off Approved" u="1"/>
        <e v="#N/A" u="1"/>
      </sharedItems>
    </cacheField>
    <cacheField name="Customer Name" numFmtId="14">
      <sharedItems/>
    </cacheField>
    <cacheField name="Nationality" numFmtId="14">
      <sharedItems/>
    </cacheField>
    <cacheField name="Discount Amount" numFmtId="3">
      <sharedItems containsSemiMixedTypes="0" containsString="0" containsNumber="1" minValue="-2736565.44" maxValue="1598750"/>
    </cacheField>
    <cacheField name="Discount Percentage" numFmtId="9">
      <sharedItems containsSemiMixedTypes="0" containsString="0" containsNumber="1" minValue="-4.1666666666666664E-2" maxValue="0.16393442622950818"/>
    </cacheField>
    <cacheField name="Final Sale Value After Discount" numFmtId="3">
      <sharedItems containsSemiMixedTypes="0" containsString="0" containsNumber="1" minValue="686070" maxValue="68414136"/>
    </cacheField>
    <cacheField name="Inv Final Sale Value" numFmtId="3">
      <sharedItems containsSemiMixedTypes="0" containsString="0" containsNumber="1" minValue="710000" maxValue="65677570.560000002"/>
    </cacheField>
    <cacheField name="Sales" numFmtId="14">
      <sharedItems/>
    </cacheField>
    <cacheField name="Agency Name" numFmtId="14">
      <sharedItems/>
    </cacheField>
    <cacheField name="Booking ID" numFmtId="14">
      <sharedItems/>
    </cacheField>
    <cacheField name="Oracle Id" numFmtId="14">
      <sharedItems/>
    </cacheField>
    <cacheField name="Spot Cash" numFmtId="3">
      <sharedItems containsBlank="1" containsMixedTypes="1" containsNumber="1" containsInteger="1" minValue="5000" maxValue="8000"/>
    </cacheField>
    <cacheField name="Customer Paid" numFmtId="0">
      <sharedItems containsBlank="1" containsMixedTypes="1" containsNumber="1" minValue="1500" maxValue="680000"/>
    </cacheField>
    <cacheField name="%" numFmtId="0">
      <sharedItems containsBlank="1" containsMixedTypes="1" containsNumber="1" minValue="0" maxValue="0.29535594035594032"/>
    </cacheField>
    <cacheField name="Refund" numFmtId="0">
      <sharedItems containsBlank="1"/>
    </cacheField>
    <cacheField name="Reason" numFmtId="0">
      <sharedItems/>
    </cacheField>
    <cacheField name="Supporting | Related Email" numFmtId="0">
      <sharedItems containsBlank="1"/>
    </cacheField>
    <cacheField name="Summary" numFmtId="0">
      <sharedItems containsBlank="1" count="19">
        <s v="Cancelled due to Price Revision"/>
        <s v="Customer requested to cancel"/>
        <s v="Error in Booking - Wrong Customer Selected"/>
        <s v="Unit Swap - Approved by Management"/>
        <s v="Error In Cancellation"/>
        <s v="Cancelled due to Non Payment"/>
        <s v="Booking created on unit OR-1403 instead of OR-1402"/>
        <s v="Error in Booking"/>
        <s v="Cancellation Request raised by Egypt Sales Operations Team"/>
        <s v="Customer requested for Change of Ownership"/>
        <s v="Cancelled due to Repricing (Increase In Price)"/>
        <s v="Cancellation raised by Sales Director"/>
        <s v="Cancelled due to Duplicate Booking"/>
        <s v="Unit Not Part of Promotional List - Refund Approved by Management"/>
        <s v="Unit Not Part of Promotional List"/>
        <s v="Incorrect Customer Details entered while Booking"/>
        <s v="Cancelled by Sales Operations as Wrong Payment Plan was selected"/>
        <m u="1"/>
        <s v="Test Booking Cancellation" u="1"/>
      </sharedItems>
    </cacheField>
    <cacheField name="Additional Remarks"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Norton Araujo" refreshedDate="46051.530508449076" createdVersion="8" refreshedVersion="8" minRefreshableVersion="3" recordCount="135" xr:uid="{049976F9-378D-4AF6-B98B-25897CD57792}">
  <cacheSource type="worksheet">
    <worksheetSource ref="B1:AF154" sheet="Rejected Bookings"/>
  </cacheSource>
  <cacheFields count="31">
    <cacheField name="Month" numFmtId="14">
      <sharedItems/>
    </cacheField>
    <cacheField name="Date Submitted" numFmtId="14">
      <sharedItems containsSemiMixedTypes="0" containsNonDate="0" containsDate="1" containsString="0" minDate="2025-07-15T00:00:00" maxDate="2026-01-30T00:00:00"/>
    </cacheField>
    <cacheField name="Rejected Date" numFmtId="14">
      <sharedItems containsSemiMixedTypes="0" containsNonDate="0" containsDate="1" containsString="0" minDate="1899-12-30T00:00:00" maxDate="2026-01-29T00:00:00"/>
    </cacheField>
    <cacheField name="Booking Name" numFmtId="14">
      <sharedItems/>
    </cacheField>
    <cacheField name="Status" numFmtId="14">
      <sharedItems/>
    </cacheField>
    <cacheField name="Booking Date" numFmtId="14">
      <sharedItems containsSemiMixedTypes="0" containsNonDate="0" containsDate="1" containsString="0" minDate="2024-12-04T00:00:00" maxDate="2026-01-29T00:00:00"/>
    </cacheField>
    <cacheField name="Aging" numFmtId="0">
      <sharedItems containsSemiMixedTypes="0" containsString="0" containsNumber="1" containsInteger="1" minValue="1" maxValue="421"/>
    </cacheField>
    <cacheField name="Project Name" numFmtId="14">
      <sharedItems/>
    </cacheField>
    <cacheField name="Building" numFmtId="14">
      <sharedItems/>
    </cacheField>
    <cacheField name="Bedrooms" numFmtId="14">
      <sharedItems/>
    </cacheField>
    <cacheField name="Unit No." numFmtId="14">
      <sharedItems/>
    </cacheField>
    <cacheField name="Inventory Unit Status" numFmtId="14">
      <sharedItems/>
    </cacheField>
    <cacheField name="Booking Status" numFmtId="14">
      <sharedItems/>
    </cacheField>
    <cacheField name="Customer Name" numFmtId="14">
      <sharedItems/>
    </cacheField>
    <cacheField name="Nationality" numFmtId="14">
      <sharedItems/>
    </cacheField>
    <cacheField name="Discount Amount" numFmtId="3">
      <sharedItems containsSemiMixedTypes="0" containsString="0" containsNumber="1" minValue="-2736565.44" maxValue="1598750"/>
    </cacheField>
    <cacheField name="Discount Percentage" numFmtId="9">
      <sharedItems containsSemiMixedTypes="0" containsString="0" containsNumber="1" minValue="-4.1666666666666664E-2" maxValue="0.16393442622950818"/>
    </cacheField>
    <cacheField name="Final Sale Value After Discount" numFmtId="3">
      <sharedItems containsSemiMixedTypes="0" containsString="0" containsNumber="1" minValue="686070" maxValue="68414136"/>
    </cacheField>
    <cacheField name="Inv Final Sale Value" numFmtId="3">
      <sharedItems containsSemiMixedTypes="0" containsString="0" containsNumber="1" minValue="710000" maxValue="65677570.560000002"/>
    </cacheField>
    <cacheField name="Sales" numFmtId="14">
      <sharedItems/>
    </cacheField>
    <cacheField name="Agency Name" numFmtId="14">
      <sharedItems/>
    </cacheField>
    <cacheField name="Booking ID" numFmtId="14">
      <sharedItems/>
    </cacheField>
    <cacheField name="Oracle Id" numFmtId="14">
      <sharedItems/>
    </cacheField>
    <cacheField name="Spot Cash" numFmtId="3">
      <sharedItems containsBlank="1" containsMixedTypes="1" containsNumber="1" containsInteger="1" minValue="5000" maxValue="8000"/>
    </cacheField>
    <cacheField name="Customer Paid" numFmtId="0">
      <sharedItems containsBlank="1" containsMixedTypes="1" containsNumber="1" minValue="1500" maxValue="680000"/>
    </cacheField>
    <cacheField name="%" numFmtId="0">
      <sharedItems containsBlank="1" containsMixedTypes="1" containsNumber="1" minValue="0" maxValue="0.29535594035594032"/>
    </cacheField>
    <cacheField name="Refund" numFmtId="0">
      <sharedItems containsBlank="1"/>
    </cacheField>
    <cacheField name="Reason" numFmtId="0">
      <sharedItems/>
    </cacheField>
    <cacheField name="Supporting | Related Email" numFmtId="0">
      <sharedItems containsBlank="1"/>
    </cacheField>
    <cacheField name="Summary" numFmtId="0">
      <sharedItems containsBlank="1" count="19">
        <s v="Cancelled due to Price Revision"/>
        <s v="Customer requested to cancel"/>
        <s v="Error in Booking - Wrong Customer Selected"/>
        <s v="Unit Swap - Approved by Management"/>
        <s v="Error In Cancellation"/>
        <s v="Cancelled due to Non Payment"/>
        <s v="Booking created on unit OR-1403 instead of OR-1402"/>
        <s v="Error in Booking"/>
        <s v="Cancellation Request raised by Egypt Sales Operations Team"/>
        <s v="Customer requested for Change of Ownership"/>
        <s v="Cancelled due to Repricing (Increase In Price)"/>
        <s v="Cancellation raised by Sales Director"/>
        <s v="Cancelled due to Duplicate Booking"/>
        <s v="Unit Not Part of Promotional List - Refund Approved by Management"/>
        <s v="Unit Not Part of Promotional List"/>
        <s v="Incorrect Customer Details entered while Booking"/>
        <s v="Cancelled by Sales Operations as Wrong Payment Plan was selected"/>
        <m u="1"/>
        <s v="Test Booking Cancellation" u="1"/>
      </sharedItems>
    </cacheField>
    <cacheField name="Additional Remarks" numFmtId="0">
      <sharedItems containsBlank="1" count="51">
        <s v="Cancelled due to Price Revision"/>
        <s v="Customer is unable to continue with the Purchase"/>
        <s v="Error in Booking - Wrong Customer Selected"/>
        <s v="Swapped from B512 to OR-1407"/>
        <s v="Customer initially requested to swap and then changed his mind"/>
        <s v="Cancellation Request raised by Sales Operations Team"/>
        <s v="Swapped from OR-2106 to OR-707"/>
        <s v="Cancellation Request raised by Collections Team"/>
        <s v="Booking created on unit OR-1403 instead of OR-1402"/>
        <s v="Swapped from B205 to A604"/>
        <s v="Cancellation Request raised by Sales Operations Team - No Refund"/>
        <s v="Unit has been rebooked as SD confirmed payment was cleared"/>
        <s v="Customer is unable to continue with the Purchase - Refund Requested"/>
        <s v="Cancellation Request raised by Egypt Sales Operations Team"/>
        <s v="From Nageswara Rao to Srinivasa Ganta"/>
        <s v="Swapped from DO 516 to DO 409"/>
        <s v="Customer purchased 2 units and will now proceed with only Unit B1010. No Refund"/>
        <s v="Increase in Price requested by Hussien "/>
        <s v="Swapped from A2108 to B518"/>
        <s v="Amal El Gendy"/>
        <s v="Duplicate Booking"/>
        <s v="Refund approved by Management"/>
        <s v="Swapped from B1912 to B1312"/>
        <s v="Unit Not Part of Promotional List"/>
        <s v="Swapped from B1311 to B1513"/>
        <s v="Swapped from A1812 to B914"/>
        <s v="Swapped from A4005 to A2101"/>
        <s v="Swapped from A4105 to A2001"/>
        <s v="Unit was to be booked under &quot;Dilier Sanchez Mora&quot; "/>
        <s v="From Hawbir Hassan to Riad El Kaddouri"/>
        <s v="From Hawbir Hassan to Rojbin Saeed"/>
        <s v="From Katharina Junimann Appelhans to Helena Erbis"/>
        <s v="Swapped from B3103 to B3012"/>
        <s v="From Onur Tukel to Burhan Tukel"/>
        <s v="Mohammed El Shimmy - Part of the Bulk Deal"/>
        <s v="Swapped from B917 to B817"/>
        <s v="From Joint Ownership to Single Ownership"/>
        <s v="Paid Amount allocated to unit B2612"/>
        <s v="Swapped from 403 to 420 (Upgrade)"/>
        <s v="Cancelled by Sales Operations as Wrong Payment Plan was selected. Cancelled by IT without any Cancellation Approval Flow. Booking-947 created."/>
        <s v="Swapped from A322 to A2514"/>
        <s v="From Omar Rezgani to Hossam ibraheem"/>
        <s v="From GUSTAV SJUNNESSON to Mohammed Adam Metto"/>
        <s v="Customer is unable to continue with the Purchase - No Refund"/>
        <s v="Cancellation Request raised by VP-Sales"/>
        <s v="Customer only wants to proceed with unit B205 only"/>
        <s v="Customer is unable to continue with the Purchase - Refund Request Approved"/>
        <s v="Swapped from A4001 to B3001"/>
        <m u="1"/>
        <s v="Cancelled by Sales Operations as Wrong Payment Plan was selected" u="1"/>
        <s v="Test Booking Cancellation"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
  <r>
    <d v="2026-01-29T00:00:00"/>
    <d v="1899-12-30T00:00:00"/>
    <s v="Booking-1502"/>
    <s v="Draft"/>
    <d v="2026-01-28T00:00:00"/>
    <n v="1"/>
    <s v="One Residence"/>
    <s v="Tower 1"/>
    <s v="2 BR"/>
    <s v="OR-2407"/>
    <s v="Booked"/>
    <x v="0"/>
    <s v="JIANPING SU"/>
    <s v="China"/>
    <n v="0"/>
    <n v="0"/>
    <n v="2370111"/>
    <n v="2370111"/>
    <s v="Tanveer Ansari"/>
    <s v="Dingsen Properties LLC"/>
    <s v="a03NM00000Ul7rC"/>
    <s v="-"/>
    <m/>
    <s v="No Payment"/>
    <n v="0"/>
    <s v="N/A"/>
    <s v="Cancelled due to Repricing"/>
    <m/>
    <x v="0"/>
    <s v="Cancelled due to Price Revision"/>
  </r>
  <r>
    <d v="2026-01-28T00:00:00"/>
    <d v="2026-01-28T00:00:00"/>
    <s v="Booking-1474"/>
    <s v="Rejected"/>
    <d v="2026-01-21T00:00:00"/>
    <n v="8"/>
    <s v="One Residence"/>
    <s v="Tower 1"/>
    <s v="2 BR"/>
    <s v="OR-407"/>
    <s v="Available"/>
    <x v="1"/>
    <s v="Wang GuiLian"/>
    <s v="China"/>
    <n v="0"/>
    <n v="0"/>
    <n v="2404111"/>
    <n v="2404111"/>
    <s v="Yang XI"/>
    <s v="WEALTH KEY REAL ESTATE L.L.C"/>
    <s v="a03NM00000Tz8ej"/>
    <s v="-"/>
    <m/>
    <s v="No Payment"/>
    <n v="0"/>
    <s v="N/A"/>
    <s v="Customer requested to cancel Booking"/>
    <s v="Booking-1474 - Booking Rejection Request"/>
    <x v="1"/>
    <s v="Customer is unable to continue with the Purchase"/>
  </r>
  <r>
    <d v="2026-01-27T00:00:00"/>
    <d v="2026-01-28T00:00:00"/>
    <s v="Booking-1437"/>
    <s v="Rejected"/>
    <d v="2026-01-12T00:00:00"/>
    <n v="17"/>
    <s v="One Residence"/>
    <s v="Tower 1"/>
    <s v="2 BR"/>
    <s v="OR-1404"/>
    <s v="Booked"/>
    <x v="1"/>
    <s v="Vrushali Subhash Desai Subhash Atmaram Desai"/>
    <s v="India"/>
    <n v="10000"/>
    <n v="4.0816326530612249E-3"/>
    <n v="2440000"/>
    <n v="2450000"/>
    <s v="Amr Abdelghafar"/>
    <s v="PARKER PREMIER REAL  ESTATE L.L.C."/>
    <s v="a03NM00000T48MW"/>
    <s v="-"/>
    <m/>
    <s v="No Payment"/>
    <n v="0"/>
    <s v="N/A"/>
    <s v="Error In Booking"/>
    <s v="Booking-1437 - Booking Rejection Request"/>
    <x v="2"/>
    <s v="Error in Booking - Wrong Customer Selected"/>
  </r>
  <r>
    <d v="2026-01-27T00:00:00"/>
    <d v="2026-01-27T00:00:00"/>
    <s v="Booking-1480"/>
    <s v="Rejected"/>
    <d v="2026-01-22T00:00:00"/>
    <n v="7"/>
    <s v="Laguna Residence"/>
    <s v="Tower B"/>
    <s v="Studio"/>
    <s v="B512"/>
    <s v="Blocked"/>
    <x v="1"/>
    <s v="Elsheikh Mohammed Ahmed Wageealla"/>
    <s v="Sudan"/>
    <n v="40350"/>
    <n v="0.05"/>
    <n v="766650"/>
    <n v="807000"/>
    <s v="Feraz Mohamed"/>
    <s v="Metropolitan Capital Real Estate - Sole proprietorship LLC"/>
    <s v="a03NM00000U532a"/>
    <s v="-"/>
    <m/>
    <s v="No Payment"/>
    <n v="0"/>
    <s v="Yes"/>
    <s v="Unit Swapped with OR-1407 as approved by Management"/>
    <s v="Booking-1480 - Booking Rejection Request"/>
    <x v="3"/>
    <s v="Swapped from B512 to OR-1407"/>
  </r>
  <r>
    <d v="2026-01-27T00:00:00"/>
    <d v="2026-01-27T00:00:00"/>
    <s v="Booking-1428"/>
    <s v="Rejected"/>
    <d v="2026-01-09T00:00:00"/>
    <n v="20"/>
    <s v="One Residence"/>
    <s v="Tower 1"/>
    <s v="2 BR"/>
    <s v="OR-1606"/>
    <s v="Booked"/>
    <x v="1"/>
    <s v="Guy Ghosn"/>
    <s v="Lebanon"/>
    <n v="0"/>
    <n v="0"/>
    <n v="2550000"/>
    <n v="2550000"/>
    <s v="Hossam Mostafa"/>
    <s v="TOP OF THE TOP PROPERTIES  LLC - SPC"/>
    <s v="a03NM00000Sp3v3"/>
    <s v="-"/>
    <m/>
    <s v="No Payment"/>
    <n v="0"/>
    <s v="N/A"/>
    <s v="Error In Booking"/>
    <s v="Booking-1428 - Booking Rejection Request"/>
    <x v="4"/>
    <s v="Customer initially requested to swap and then changed his mind"/>
  </r>
  <r>
    <d v="2026-01-26T00:00:00"/>
    <d v="2026-01-27T00:00:00"/>
    <s v="Booking-1491"/>
    <s v="Rejected"/>
    <d v="2026-01-23T00:00:00"/>
    <n v="6"/>
    <s v="One Residence"/>
    <s v="Tower 1"/>
    <s v="2 BR"/>
    <s v="OR-2507"/>
    <s v="Booked"/>
    <x v="1"/>
    <s v="JOEBEN TAI"/>
    <s v="Philippines"/>
    <n v="49422"/>
    <n v="1.960775756556252E-2"/>
    <n v="2471111"/>
    <n v="2520533"/>
    <s v="Tanveer Ansari"/>
    <s v="NOVA VISION REAL ESTATE L.L.C"/>
    <s v="a03NM00000UELMh"/>
    <s v="-"/>
    <m/>
    <s v="No Payment"/>
    <n v="0"/>
    <s v="N/A"/>
    <s v="Cancelled due to Repricing"/>
    <s v="Booking-1491 - Booking Rejection Request"/>
    <x v="0"/>
    <s v="Cancelled due to Price Revision"/>
  </r>
  <r>
    <d v="2026-01-26T00:00:00"/>
    <d v="2026-01-26T00:00:00"/>
    <s v="Booking-1489"/>
    <s v="Rejected"/>
    <d v="2026-01-23T00:00:00"/>
    <n v="6"/>
    <s v="One Residence"/>
    <s v="Tower 1"/>
    <s v="2 BR"/>
    <s v="OR-1301"/>
    <s v="Booked"/>
    <x v="1"/>
    <s v="AHMED GAMAL AHMED SAYED ABDELHADY"/>
    <s v="Egypt"/>
    <n v="54142"/>
    <n v="1.9607765025515589E-2"/>
    <n v="2707111"/>
    <n v="2761253"/>
    <s v="Feraz Mohamed"/>
    <s v="KINGS EDITION REAL ESTATE L.L.C"/>
    <s v="a03NM00000UDg9u"/>
    <s v="-"/>
    <m/>
    <s v="No Payment"/>
    <n v="0"/>
    <s v="N/A"/>
    <s v="Cancelled due to Repricing"/>
    <s v="Booking-1489 - Booking Rejection Request"/>
    <x v="0"/>
    <s v="Cancelled due to Price Revision"/>
  </r>
  <r>
    <d v="2026-01-22T00:00:00"/>
    <d v="2026-01-22T00:00:00"/>
    <s v="Booking-1340"/>
    <s v="Rejected"/>
    <d v="2026-01-07T00:00:00"/>
    <n v="22"/>
    <s v="One Residence"/>
    <s v="Tower 1"/>
    <s v="1 BR"/>
    <s v="OR-603"/>
    <s v="Booked"/>
    <x v="1"/>
    <s v="Carlos Augusto Castro"/>
    <s v="United Arab Emirates"/>
    <n v="11626"/>
    <n v="7.2662500000000001E-3"/>
    <n v="1588374"/>
    <n v="1600000"/>
    <s v="Keana Nagtalon"/>
    <s v="Property Shop Investment LLC"/>
    <s v="a03NM00000SfMyv"/>
    <s v="-"/>
    <m/>
    <s v="No Payment"/>
    <n v="0"/>
    <s v="N/A"/>
    <s v="Customer requested to cancel Booking. Refund Approved by Management"/>
    <s v="Booking-1340 - Booking Rejection Request"/>
    <x v="1"/>
    <s v="Customer is unable to continue with the Purchase"/>
  </r>
  <r>
    <d v="2026-01-22T00:00:00"/>
    <d v="2026-01-22T00:00:00"/>
    <s v="Booking-1477"/>
    <s v="Rejected"/>
    <d v="2026-01-21T00:00:00"/>
    <n v="8"/>
    <s v="One Residence"/>
    <s v="Tower 1"/>
    <s v="1 BR"/>
    <s v="OR-808"/>
    <s v="Booked"/>
    <x v="1"/>
    <s v="REDA AYOUBI"/>
    <s v="United States of America"/>
    <n v="-50000"/>
    <n v="-3.0674846625766871E-2"/>
    <n v="1680000"/>
    <n v="1630000"/>
    <s v="Amr Abdelghafar"/>
    <s v="P S I ASSETS REAL ESTATES L.L.C."/>
    <s v="a03NM00000U0VNa"/>
    <s v="-"/>
    <m/>
    <s v="No Payment"/>
    <n v="0"/>
    <s v="N/A"/>
    <s v="Cancelled due to Repricing"/>
    <s v="Booking-1477 - Booking Rejection Request"/>
    <x v="0"/>
    <s v="Cancelled due to Price Revision"/>
  </r>
  <r>
    <d v="2026-01-22T00:00:00"/>
    <d v="2026-01-22T00:00:00"/>
    <s v="Booking-1425"/>
    <s v="Rejected"/>
    <d v="2026-01-09T00:00:00"/>
    <n v="20"/>
    <s v="One Residence"/>
    <s v="Tower 1"/>
    <s v="2 BR"/>
    <s v="OR-1205"/>
    <s v="Booked"/>
    <x v="1"/>
    <s v="George michael Baida"/>
    <s v="United States of America"/>
    <n v="10000"/>
    <n v="4.048582995951417E-3"/>
    <n v="2460000"/>
    <n v="2470000"/>
    <s v="Hossam Mostafa"/>
    <s v="LEGACY LIVING REAL ESTATE - L.L.C - S.P.C"/>
    <s v="a03NM00000Soffx"/>
    <s v="-"/>
    <m/>
    <s v="No Payment"/>
    <n v="0"/>
    <s v="N/A"/>
    <s v="Cancelled due to Repricing"/>
    <s v="Booking-1425 - Booking Rejection Request"/>
    <x v="0"/>
    <s v="Cancelled due to Price Revision"/>
  </r>
  <r>
    <d v="2026-01-21T00:00:00"/>
    <d v="2026-01-21T00:00:00"/>
    <s v="Booking-1250"/>
    <s v="Rejected"/>
    <d v="2025-12-11T00:00:00"/>
    <n v="49"/>
    <s v="Do Dubai Island"/>
    <s v="Tower 1"/>
    <s v="1 Bedroom"/>
    <s v="106"/>
    <s v="Blocked"/>
    <x v="1"/>
    <s v="Albert Nesterov"/>
    <s v="Russia"/>
    <n v="0"/>
    <n v="0"/>
    <n v="2525000"/>
    <n v="2525000"/>
    <s v="Vladyslav Parkhomchuk"/>
    <s v="Rich Property Real Estate Brokerages LLC"/>
    <s v="a03NM00000PGtRx"/>
    <s v="-"/>
    <m/>
    <s v="No Payment"/>
    <n v="0"/>
    <s v="N/A"/>
    <s v="Cancelled due to Non Payment"/>
    <s v="Booking-1250 - Booking Rejection Request"/>
    <x v="5"/>
    <s v="Cancellation Request raised by Sales Operations Team"/>
  </r>
  <r>
    <d v="2026-01-21T00:00:00"/>
    <d v="2026-01-21T00:00:00"/>
    <s v="Booking-1461"/>
    <s v="Rejected"/>
    <d v="2026-01-19T00:00:00"/>
    <n v="10"/>
    <s v="One Residence"/>
    <s v="Tower 1"/>
    <s v="1 BR"/>
    <s v="OR-808"/>
    <s v="Booked"/>
    <x v="1"/>
    <s v="FAHD AYOUBI"/>
    <s v="United States of America"/>
    <n v="-50000"/>
    <n v="-3.0674846625766871E-2"/>
    <n v="1680000"/>
    <n v="1630000"/>
    <s v="Amr Abdelghafar"/>
    <s v="P S I ASSETS REAL ESTATES L.L.C."/>
    <s v="a03NM00000Tn6ef"/>
    <s v="-"/>
    <m/>
    <s v="No Payment"/>
    <n v="0"/>
    <s v="N/A"/>
    <s v="Cancelled due to Repricing"/>
    <s v="Booking-1461 - Booking Rejection Request"/>
    <x v="0"/>
    <s v="Cancelled due to Price Revision"/>
  </r>
  <r>
    <d v="2026-01-21T00:00:00"/>
    <d v="2026-01-21T00:00:00"/>
    <s v="Booking-1394"/>
    <s v="Rejected"/>
    <d v="2026-01-09T00:00:00"/>
    <n v="20"/>
    <s v="One Residence"/>
    <s v="Tower 1"/>
    <s v="1 BR"/>
    <s v="OR-809"/>
    <s v="Booked"/>
    <x v="1"/>
    <s v="REDA AYOUBI"/>
    <s v="United States of America"/>
    <n v="0"/>
    <n v="0"/>
    <n v="1670000"/>
    <n v="1670000"/>
    <s v="Amr Abdelghafar"/>
    <s v="P S I ASSETS REAL ESTATES L.L.C."/>
    <s v="a03NM00000Snp7v"/>
    <s v="-"/>
    <m/>
    <s v="No Payment"/>
    <n v="0"/>
    <s v="N/A"/>
    <s v="Cancelled due to Repricing"/>
    <s v="Booking-1394 - Booking Rejection Request"/>
    <x v="0"/>
    <s v="Cancelled due to Price Revision"/>
  </r>
  <r>
    <d v="2026-01-21T00:00:00"/>
    <d v="2026-01-21T00:00:00"/>
    <s v="Booking-1424"/>
    <s v="Rejected"/>
    <d v="2026-01-09T00:00:00"/>
    <n v="20"/>
    <s v="One Residence"/>
    <s v="Tower 1"/>
    <s v="1 BR"/>
    <s v="OR-610"/>
    <s v="Booked"/>
    <x v="1"/>
    <s v="Mohammad Kerdi"/>
    <s v="Lebanon"/>
    <n v="2000"/>
    <n v="1.25E-3"/>
    <n v="1598000"/>
    <n v="1600000"/>
    <s v="Hossam Mostafa"/>
    <s v="LEGACY LIVING REAL ESTATE - L.L.C - S.P.C"/>
    <s v="a03NM00000SpEbx"/>
    <s v="-"/>
    <m/>
    <s v="No Payment"/>
    <n v="0"/>
    <s v="N/A"/>
    <s v="Cancelled due to Repricing"/>
    <s v="Booking-1424 - Booking Rejection Request"/>
    <x v="0"/>
    <s v="Cancelled due to Price Revision"/>
  </r>
  <r>
    <d v="2026-01-21T00:00:00"/>
    <d v="2026-01-21T00:00:00"/>
    <s v="Booking-1420"/>
    <s v="Rejected"/>
    <d v="2026-01-09T00:00:00"/>
    <n v="20"/>
    <s v="One Residence"/>
    <s v="Tower 1"/>
    <s v="2 BR"/>
    <s v="OR-1309"/>
    <s v="Booked"/>
    <x v="1"/>
    <s v="NANIK RAM PARMANAND"/>
    <s v="Pakistan"/>
    <n v="100000"/>
    <n v="4.1841004184100417E-2"/>
    <n v="2290000"/>
    <n v="2390000"/>
    <s v="Amr Abdelghafar"/>
    <s v="P S I ASSETS REAL ESTATES L.L.C."/>
    <s v="a03NM00000SoqTB"/>
    <s v="-"/>
    <m/>
    <s v="No Payment"/>
    <n v="0"/>
    <s v="N/A"/>
    <s v="Cancelled due to Repricing"/>
    <s v="Booking-1420 - Booking Rejection Request"/>
    <x v="0"/>
    <s v="Cancelled due to Price Revision"/>
  </r>
  <r>
    <d v="2026-01-20T00:00:00"/>
    <d v="2026-01-20T00:00:00"/>
    <s v="Booking-1462"/>
    <s v="Rejected"/>
    <d v="2026-01-19T00:00:00"/>
    <n v="10"/>
    <s v="One Residence"/>
    <s v="Tower 1"/>
    <s v="2 BR"/>
    <s v="OR-2404"/>
    <s v="Booked"/>
    <x v="1"/>
    <s v="Bader saeed Mohammedd Salem Allamki"/>
    <s v="United Arab Emirates"/>
    <n v="21889"/>
    <n v="8.7556000000000005E-3"/>
    <n v="2478111"/>
    <n v="2500000"/>
    <s v="Jamil Ibrahim"/>
    <s v="CAPITAL AVENUE REAL ESTATE SOLE PROPRIETORSHIP L.L.C."/>
    <s v="a03NM00000TnDt3"/>
    <s v="-"/>
    <m/>
    <s v="No Payment"/>
    <n v="0"/>
    <s v="N/A"/>
    <s v="Cancelled due to Repricing"/>
    <s v="Booking-1462 - Booking Rejection Request"/>
    <x v="0"/>
    <s v="Cancelled due to Price Revision"/>
  </r>
  <r>
    <d v="2026-01-20T00:00:00"/>
    <d v="2026-01-21T00:00:00"/>
    <s v="Booking-1330"/>
    <s v="Rejected"/>
    <d v="2026-01-07T00:00:00"/>
    <n v="22"/>
    <s v="One Residence"/>
    <s v="Tower 1"/>
    <s v="2 BR"/>
    <s v="OR-2106"/>
    <s v="Blocked"/>
    <x v="1"/>
    <s v="Khaja Huzoor Ahamed khan Hussain khan Ahamed Khan"/>
    <s v="India"/>
    <n v="26104"/>
    <n v="1.0416167884493222E-2"/>
    <n v="2480000"/>
    <n v="2506104"/>
    <s v="Mohamed Safraji"/>
    <s v="Metropolitan Capital Real Estate - Sole proprietorship LLC"/>
    <s v="a03NM00000Sdqy3"/>
    <s v="-"/>
    <m/>
    <s v="No Payment"/>
    <n v="0"/>
    <s v="N/A"/>
    <s v="Unit Swapped with OR-707 as approved by Management"/>
    <s v="Booking-1330 - Booking Rejection Request"/>
    <x v="3"/>
    <s v="Swapped from OR-2106 to OR-707"/>
  </r>
  <r>
    <d v="2026-01-19T00:00:00"/>
    <d v="2026-01-20T00:00:00"/>
    <s v="Booking-1423"/>
    <s v="Rejected"/>
    <d v="2026-01-09T00:00:00"/>
    <n v="20"/>
    <s v="One Residence"/>
    <s v="Tower 1"/>
    <s v="3 BR"/>
    <s v="OR-2602"/>
    <s v="Blocked"/>
    <x v="1"/>
    <s v="MOHAMMED ABBAS HUSSAIN Al Obaidi"/>
    <s v="Iraq"/>
    <n v="0"/>
    <n v="0"/>
    <n v="3850000"/>
    <n v="3850000"/>
    <s v="Amr Abdelghafar"/>
    <s v="Royal Lounge Properties L.L.C."/>
    <s v="a03NM00000SooOA"/>
    <s v="-"/>
    <m/>
    <s v="No Payment"/>
    <n v="0"/>
    <s v="Yes"/>
    <s v="Customer requested to cancel Booking. Refund Approved by Management"/>
    <s v="Booking-1423 - Booking Rejection Request"/>
    <x v="1"/>
    <s v="Customer is unable to continue with the Purchase"/>
  </r>
  <r>
    <d v="2026-01-19T00:00:00"/>
    <d v="2026-01-20T00:00:00"/>
    <s v="Booking-1434"/>
    <s v="Rejected"/>
    <d v="2026-01-12T00:00:00"/>
    <n v="17"/>
    <s v="One Residence"/>
    <s v="Tower 1"/>
    <s v="1 BR"/>
    <s v="OR-803"/>
    <s v="Booked"/>
    <x v="1"/>
    <s v="SARA МОНАМЕD DIB"/>
    <s v="Syria"/>
    <n v="194889"/>
    <n v="0.11149256292906179"/>
    <n v="1553111"/>
    <n v="1748000"/>
    <s v="Hossam Mostafa"/>
    <s v=""/>
    <s v="a03NM00000T3Aju"/>
    <s v="-"/>
    <m/>
    <s v="No Payment"/>
    <n v="0"/>
    <s v="N/A"/>
    <s v="Cancelled due to Repricing"/>
    <s v="Booking-1434 - Booking Rejection Request"/>
    <x v="0"/>
    <s v="Cancelled due to Price Revision"/>
  </r>
  <r>
    <d v="2026-01-19T00:00:00"/>
    <d v="2026-01-20T00:00:00"/>
    <s v="Booking-1254"/>
    <s v="Rejected"/>
    <d v="2025-12-11T00:00:00"/>
    <n v="49"/>
    <s v="Do Dubai Island"/>
    <s v="Tower 1"/>
    <s v="1 Bedroom"/>
    <s v="508"/>
    <s v="Blocked"/>
    <x v="1"/>
    <s v="Cemal Atilla Birmis"/>
    <s v="Turkey"/>
    <n v="68080"/>
    <n v="0.02"/>
    <n v="3335920"/>
    <n v="3404000"/>
    <s v="Midia Sedighi"/>
    <s v="PRIME RICHMOND PROPERTIES L.L.C"/>
    <s v="a03NM00000PHQvn"/>
    <s v="-"/>
    <m/>
    <n v="8000"/>
    <n v="2.398139044101777E-3"/>
    <s v="No"/>
    <s v="Cancelled due to Non Payment"/>
    <s v="Booking-1254 - Booking Rejection Request"/>
    <x v="5"/>
    <s v="Cancellation Request raised by Collections Team"/>
  </r>
  <r>
    <d v="2026-01-19T00:00:00"/>
    <d v="2026-01-20T00:00:00"/>
    <s v="Booking-1253"/>
    <s v="Rejected"/>
    <d v="2025-12-11T00:00:00"/>
    <n v="49"/>
    <s v="Do Dubai Island"/>
    <s v="Tower 1"/>
    <s v="1 Bedroom"/>
    <s v="409"/>
    <s v="Blocked"/>
    <x v="1"/>
    <s v="Cemal Atilla Birmis"/>
    <s v="Turkey"/>
    <n v="46580"/>
    <n v="0.02"/>
    <n v="2282420"/>
    <n v="2329000"/>
    <s v="Midia Sedighi"/>
    <s v="PRIME RICHMOND PROPERTIES L.L.C"/>
    <s v="a03NM00000PHOxF"/>
    <s v="-"/>
    <m/>
    <n v="8000"/>
    <n v="3.505051655698776E-3"/>
    <s v="No"/>
    <s v="Cancelled due to Non Payment"/>
    <s v="Booking-1253 - Booking Rejection Request"/>
    <x v="5"/>
    <s v="Cancellation Request raised by Collections Team"/>
  </r>
  <r>
    <d v="2026-01-19T00:00:00"/>
    <d v="2026-01-20T00:00:00"/>
    <s v="Booking-1252"/>
    <s v="Rejected"/>
    <d v="2025-12-11T00:00:00"/>
    <n v="49"/>
    <s v="Do Dubai Island"/>
    <s v="Tower 1"/>
    <s v="1 Bedroom"/>
    <s v="204"/>
    <s v="Blocked"/>
    <x v="1"/>
    <s v="Cemal Atilla Birmis"/>
    <s v="Turkey"/>
    <n v="52620"/>
    <n v="0.02"/>
    <n v="2578380"/>
    <n v="2631000"/>
    <s v="Midia Sedighi"/>
    <s v="PRIME RICHMOND PROPERTIES L.L.C"/>
    <s v="a03NM00000PHY8X"/>
    <s v="-"/>
    <m/>
    <n v="8000"/>
    <n v="3.1027234154779358E-3"/>
    <s v="No"/>
    <s v="Cancelled due to Non Payment"/>
    <s v="Booking-1252 - Booking Rejection Request"/>
    <x v="5"/>
    <s v="Cancellation Request raised by Collections Team"/>
  </r>
  <r>
    <d v="2026-01-19T00:00:00"/>
    <d v="2026-01-19T00:00:00"/>
    <s v="Booking-1443"/>
    <s v="Rejected"/>
    <d v="2026-01-13T00:00:00"/>
    <n v="16"/>
    <s v="One Residence"/>
    <s v="Tower 1"/>
    <s v="1 BR"/>
    <s v="OR-402"/>
    <s v="Booked"/>
    <x v="1"/>
    <s v="Dana Imad Aldin Al Afiouni"/>
    <s v="Syria"/>
    <n v="10000"/>
    <n v="5.5555555555555558E-3"/>
    <n v="1790000"/>
    <n v="1800000"/>
    <s v="Jamil Ibrahim"/>
    <s v="Real Urban Modern International Real Estate L. L. C -S. P.C"/>
    <s v="a03NM00000TALnK"/>
    <s v="-"/>
    <m/>
    <s v="No Payment"/>
    <n v="0"/>
    <s v="N/A"/>
    <s v="Cancelled due to Repricing"/>
    <s v="Booking-1443 - Booking Rejection Request"/>
    <x v="0"/>
    <s v="Cancelled due to Price Revision"/>
  </r>
  <r>
    <d v="2026-01-17T00:00:00"/>
    <d v="2026-01-19T00:00:00"/>
    <s v="Booking-1392"/>
    <s v="Rejected"/>
    <d v="2026-01-09T00:00:00"/>
    <n v="20"/>
    <s v="One Residence"/>
    <s v="Tower 1"/>
    <s v="1 BR"/>
    <s v="OR-808"/>
    <s v="Booked"/>
    <x v="1"/>
    <s v="FAHD AYOUBI"/>
    <s v="United States of America"/>
    <n v="0"/>
    <n v="0"/>
    <n v="1630000"/>
    <n v="1630000"/>
    <s v="Amr Abdelghafar"/>
    <s v="P S I ASSETS REAL ESTATES L.L.C."/>
    <s v="a03NM00000SoeoZ"/>
    <s v="-"/>
    <m/>
    <s v="No Payment"/>
    <n v="0"/>
    <s v="N/A"/>
    <s v="Cancelled due to Repricing"/>
    <s v="Booking-1392 - Booking Rejection Request"/>
    <x v="0"/>
    <s v="Cancelled due to Price Revision"/>
  </r>
  <r>
    <d v="2026-01-15T00:00:00"/>
    <d v="2026-01-15T00:00:00"/>
    <s v="Booking-1451"/>
    <s v="Rejected"/>
    <d v="2026-01-15T00:00:00"/>
    <n v="14"/>
    <s v="One Residence"/>
    <s v="Tower 1"/>
    <s v="2 BR"/>
    <s v="OR-2506"/>
    <s v="Booked"/>
    <x v="1"/>
    <s v="Amiran Kavkasidze"/>
    <s v="Switzerland"/>
    <n v="17889"/>
    <n v="7.1843373493975906E-3"/>
    <n v="2472111"/>
    <n v="2490000"/>
    <s v="Claire Moussa"/>
    <s v="IOKA International Real Estate LLC"/>
    <s v="a03NM00000TN2AV"/>
    <s v="-"/>
    <e v="#N/A"/>
    <s v="No Payment"/>
    <n v="0"/>
    <s v="N/A"/>
    <s v="Cancelled due to Repricing"/>
    <s v="Booking-1451- Booking Rejection Request"/>
    <x v="0"/>
    <s v="Cancelled due to Price Revision"/>
  </r>
  <r>
    <d v="2026-01-14T00:00:00"/>
    <d v="2026-01-15T00:00:00"/>
    <s v="Booking-1406"/>
    <s v="Rejected"/>
    <d v="2026-01-09T00:00:00"/>
    <n v="20"/>
    <s v="One Residence"/>
    <s v="Tower 1"/>
    <s v="2 BR"/>
    <s v="OR-1403"/>
    <s v="Booked"/>
    <x v="1"/>
    <s v="Anton Mikhailov"/>
    <s v="Russia"/>
    <n v="0"/>
    <n v="0"/>
    <n v="2390000"/>
    <n v="2390000"/>
    <s v="Jamil Ibrahim"/>
    <s v="CAPITAL AVENUE REAL ESTATE SOLE PROPRIETORSHIP L.L.C."/>
    <s v="a03NM00000Son8f"/>
    <s v="-"/>
    <e v="#N/A"/>
    <s v="No Payment"/>
    <n v="0"/>
    <s v="N/A"/>
    <s v="Booking was created under wrong unit "/>
    <s v="Booking-1406 - Booking Rejection Request"/>
    <x v="6"/>
    <s v="Booking created on unit OR-1403 instead of OR-1402"/>
  </r>
  <r>
    <d v="2026-01-14T00:00:00"/>
    <d v="2026-01-16T00:00:00"/>
    <s v="Booking-1446"/>
    <s v="Rejected"/>
    <d v="2026-01-13T00:00:00"/>
    <n v="16"/>
    <s v="One Residence"/>
    <s v="Tower 1"/>
    <s v="2 BR"/>
    <s v="OR-1503"/>
    <s v="Booked"/>
    <x v="1"/>
    <s v="Mayank Chadha"/>
    <s v="India"/>
    <n v="10000"/>
    <n v="4.0650406504065045E-3"/>
    <n v="2450000"/>
    <n v="2460000"/>
    <s v="Jamil Ibrahim"/>
    <s v="EAST WEST HOMES PROPERTIES - L.L.C - S.P.C"/>
    <s v="a03NM00000TBPLr"/>
    <s v="-"/>
    <e v="#N/A"/>
    <s v="No Payment"/>
    <n v="0"/>
    <s v="N/A"/>
    <s v="Cancelled due to Repricing"/>
    <s v="Booking-1446 - Booking Rejection Request"/>
    <x v="0"/>
    <s v="Cancelled due to Price Revision"/>
  </r>
  <r>
    <d v="2026-01-14T00:00:00"/>
    <d v="2026-01-16T00:00:00"/>
    <s v="Booking-800"/>
    <s v="Rejected"/>
    <d v="2025-07-01T00:00:00"/>
    <n v="212"/>
    <s v="Laguna Residence"/>
    <s v="Tower B"/>
    <s v="1 Bedroom"/>
    <s v="B205"/>
    <s v="Blocked"/>
    <x v="1"/>
    <s v="Mohanad Adel Abdo Saif"/>
    <s v="Yemen"/>
    <n v="98000"/>
    <n v="7.7287066246056788E-2"/>
    <n v="1170000"/>
    <n v="1268000"/>
    <s v="Ramy Abdelsalam"/>
    <s v="STARS AND SANDS PROPERTIES L.L.C"/>
    <s v="a03J6000009mhWb"/>
    <s v="-"/>
    <n v="8000"/>
    <n v="317550"/>
    <n v="0.2714102564102564"/>
    <s v="No"/>
    <s v="Unit Swapped with A604 as approved by Management"/>
    <s v="Booking-800 - Booking Rejection Request"/>
    <x v="3"/>
    <s v="Swapped from B205 to A604"/>
  </r>
  <r>
    <d v="2026-01-10T00:00:00"/>
    <d v="2026-01-13T00:00:00"/>
    <s v="Booking-1345"/>
    <s v="Rejected"/>
    <d v="2026-01-07T00:00:00"/>
    <n v="22"/>
    <s v="One Residence"/>
    <s v="Tower 1"/>
    <s v="1 BR"/>
    <s v="OR-810"/>
    <s v="Booked"/>
    <x v="1"/>
    <s v="Andrea Nannini"/>
    <s v="Italy"/>
    <n v="113889"/>
    <n v="6.902363636363637E-2"/>
    <n v="1536111"/>
    <n v="1650000"/>
    <s v="Hussam Haitham Alrez"/>
    <s v="NARA REAL ESTATE SOLE PROPRIETORSHIP  L.L.C"/>
    <s v="a03NM00000Sf0vZ"/>
    <s v="-"/>
    <e v="#N/A"/>
    <s v="No Payment"/>
    <n v="0"/>
    <s v="N/A"/>
    <s v="Cancelled due to Repricing"/>
    <s v="Booking-1345 - Booking Rejection Request"/>
    <x v="0"/>
    <s v="Cancelled due to Price Revision"/>
  </r>
  <r>
    <d v="2026-01-07T00:00:00"/>
    <d v="2026-01-09T00:00:00"/>
    <s v="Booking-1085"/>
    <s v="Rejected"/>
    <d v="2025-10-28T00:00:00"/>
    <n v="93"/>
    <s v="Laguna Residence"/>
    <s v="Tower B"/>
    <s v="Studio"/>
    <s v="B914"/>
    <s v="Blocked"/>
    <x v="1"/>
    <s v="Syeda Sadiya"/>
    <s v="India"/>
    <n v="0"/>
    <n v="0"/>
    <n v="832000"/>
    <n v="832000"/>
    <s v="Aqsa Bhatti"/>
    <s v="MUHAMMAD SAEEDI REAL ESTATE MANAGEMENT SUPERVISION SERVICES L.L.C"/>
    <s v="a03J600000FmHk1"/>
    <s v="-"/>
    <s v="Not Available on Finance Tracker"/>
    <s v="No Payment"/>
    <n v="0"/>
    <s v="N/A"/>
    <s v="Cancelled due to Non Payment"/>
    <s v="Booking-1085 - Booking Rejection Request"/>
    <x v="5"/>
    <s v="Cancellation Request raised by Sales Operations Team"/>
  </r>
  <r>
    <d v="2026-01-07T00:00:00"/>
    <d v="2026-01-09T00:00:00"/>
    <s v="Booking-1111"/>
    <s v="Rejected"/>
    <d v="2025-10-31T00:00:00"/>
    <n v="90"/>
    <s v="Laguna Residence"/>
    <s v="Tower B"/>
    <s v="Studio"/>
    <s v="B814"/>
    <s v="Blocked"/>
    <x v="1"/>
    <s v="Harutyun Melikyan"/>
    <s v="Armenia"/>
    <n v="0"/>
    <n v="0"/>
    <n v="840000"/>
    <n v="840000"/>
    <s v="Zarina Avdalian"/>
    <s v="ALBINA MKRTCHYAN REAL ESTATE"/>
    <s v="a03J600000Fmas0"/>
    <s v="-"/>
    <s v="Not Available on Finance Tracker"/>
    <n v="8400"/>
    <n v="0.01"/>
    <s v="No"/>
    <s v="Cancelled due to Non Payment"/>
    <s v="Booking-1111 - Booking Rejection Request"/>
    <x v="5"/>
    <s v="Cancellation Request raised by Sales Operations Team - No Refund"/>
  </r>
  <r>
    <d v="2026-01-02T00:00:00"/>
    <d v="2026-01-09T00:00:00"/>
    <s v="Booking-1226"/>
    <s v="Rejected"/>
    <d v="2025-11-26T00:00:00"/>
    <n v="64"/>
    <s v="Laguna Residence"/>
    <s v="Tower B"/>
    <s v="2 Bedroom"/>
    <s v="B2101"/>
    <s v="Blocked"/>
    <x v="1"/>
    <s v="Garry Anthony Mebane"/>
    <s v="United States of America"/>
    <n v="0"/>
    <n v="0"/>
    <n v="2790000"/>
    <n v="2790000"/>
    <s v="Jude Kwakye"/>
    <s v="ANCHORMAN REAL ESTATE L.L.C"/>
    <s v="a03NM00000NvuTI"/>
    <s v="-"/>
    <e v="#N/A"/>
    <n v="7345.2"/>
    <n v="2.6326881720430107E-3"/>
    <s v="No"/>
    <s v="Cancelled due to Non Payment"/>
    <s v="Booking-1226 - Booking Rejection Request"/>
    <x v="5"/>
    <s v="Cancellation Request raised by Sales Operations Team - No Refund"/>
  </r>
  <r>
    <d v="2026-01-02T00:00:00"/>
    <d v="2026-01-09T00:00:00"/>
    <s v="Booking-951"/>
    <s v="Rejected"/>
    <d v="2025-08-27T00:00:00"/>
    <n v="155"/>
    <s v="Laguna Residence"/>
    <s v="Tower A"/>
    <s v="Studio"/>
    <s v="A3113"/>
    <s v="Booked"/>
    <x v="1"/>
    <s v="Osha Ali Salmeen Ali Almazrouei"/>
    <s v="United Arab Emirates"/>
    <n v="0"/>
    <n v="0"/>
    <n v="805000"/>
    <n v="805000"/>
    <s v="Mohamed El Shimy"/>
    <s v="Eleva Properties LLC"/>
    <s v="a03J600000BrdNw"/>
    <s v="-"/>
    <s v="Not Available on Finance Tracker"/>
    <n v="5000"/>
    <n v="6.2111801242236021E-3"/>
    <s v="N/A"/>
    <s v="Error In Booking"/>
    <s v="Booking-951 - Booking Rejection Request"/>
    <x v="4"/>
    <s v="Unit has been rebooked as SD confirmed payment was cleared"/>
  </r>
  <r>
    <d v="2025-12-30T00:00:00"/>
    <d v="2026-01-09T00:00:00"/>
    <s v="Booking-1224"/>
    <s v="Rejected"/>
    <d v="2025-11-26T00:00:00"/>
    <n v="64"/>
    <s v="Do Dubai Island"/>
    <s v="Tower 1"/>
    <s v="1 Bedroom"/>
    <s v="206"/>
    <s v="Blocked"/>
    <x v="1"/>
    <s v="Jens Michael Engelhardt"/>
    <s v="Switzerland"/>
    <n v="0"/>
    <n v="0"/>
    <n v="2670000"/>
    <n v="2670000"/>
    <s v="Zarina Avdalian"/>
    <s v="Metropolitan Premium Properties"/>
    <s v="a03NM00000Nuh6f"/>
    <s v="-"/>
    <e v="#N/A"/>
    <n v="10000"/>
    <n v="3.7453183520599251E-3"/>
    <s v="No"/>
    <s v="Customer requested to cancel Booking and for the paid amount to be refunded._x000a_Refund not approved by Management"/>
    <s v="Booking-1224 - Booking Rejection Request"/>
    <x v="1"/>
    <s v="Customer is unable to continue with the Purchase"/>
  </r>
  <r>
    <d v="2025-12-24T00:00:00"/>
    <d v="2025-12-29T00:00:00"/>
    <s v="Booking-1101"/>
    <s v="Rejected"/>
    <d v="2025-10-30T00:00:00"/>
    <n v="91"/>
    <s v="Laguna Residence"/>
    <s v="Tower B"/>
    <s v="Studio"/>
    <s v="B1513"/>
    <s v="Blocked"/>
    <x v="1"/>
    <s v="Poorva Avinash Rupawate"/>
    <s v="India"/>
    <n v="0"/>
    <n v="0"/>
    <n v="854000"/>
    <n v="854000"/>
    <s v="Jamil Ibrahim"/>
    <s v="BANKE INTERNATIONAL PROPERTIES L.L.C"/>
    <s v="a03J600000FmRI5"/>
    <s v="-"/>
    <s v="Not Available on Finance Tracker"/>
    <n v="8160"/>
    <n v="9.5550351288056206E-3"/>
    <s v="No"/>
    <s v="Customer requested to cancel Booking and for the paid amount to be refunded._x000a_Refund not approved by Management"/>
    <s v="Booking-1101 - Booking Rejection Request"/>
    <x v="1"/>
    <s v="Customer is unable to continue with the Purchase"/>
  </r>
  <r>
    <d v="2025-12-23T00:00:00"/>
    <d v="2026-01-09T00:00:00"/>
    <s v="Booking-1231"/>
    <s v="Rejected"/>
    <d v="2025-12-03T00:00:00"/>
    <n v="57"/>
    <s v="Laguna Residence"/>
    <s v="Tower A"/>
    <s v="Studio"/>
    <s v="A1917"/>
    <s v="Blocked"/>
    <x v="1"/>
    <s v="Vijay Kumar Bhatia"/>
    <s v="India"/>
    <n v="0"/>
    <n v="0"/>
    <n v="871000"/>
    <n v="871000"/>
    <s v="Sumeet Mehta"/>
    <s v="ANCHORMAN REAL ESTATE L.L.C"/>
    <s v="a03NM00000OQ12h"/>
    <s v="-"/>
    <e v="#N/A"/>
    <n v="12500"/>
    <n v="1.4351320321469576E-2"/>
    <s v="No"/>
    <s v="Customer requested to cancel Booking. Refund not approved by Management"/>
    <s v="Booking-1231 - Booking Rejection Request"/>
    <x v="1"/>
    <s v="Customer is unable to continue with the Purchase"/>
  </r>
  <r>
    <d v="2025-12-19T00:00:00"/>
    <d v="2026-01-09T00:00:00"/>
    <s v="Booking-864"/>
    <s v="Rejected"/>
    <d v="2025-08-02T00:00:00"/>
    <n v="180"/>
    <s v="Laguna Residence"/>
    <s v="Tower A"/>
    <s v="1 Bedroom"/>
    <s v="A1622"/>
    <s v="Blocked"/>
    <x v="1"/>
    <s v="Magdi H F Al Hassi"/>
    <s v="Libya"/>
    <n v="-47634"/>
    <n v="-3.4000000000000002E-2"/>
    <n v="1448634"/>
    <n v="1401000"/>
    <s v="Amal El Gendy"/>
    <s v="F B B REAL ESTATE BROKERAGE LLC."/>
    <s v="a03J6000009oRWK"/>
    <s v="-"/>
    <s v="Not Available on Finance Tracker"/>
    <n v="20000"/>
    <n v="1.3806109755811338E-2"/>
    <s v="NA"/>
    <s v="Cancelled due to Non Payment"/>
    <s v="Booking-864 - Booking Rejection Request"/>
    <x v="5"/>
    <s v="Cancellation Request raised by Sales Operations Team"/>
  </r>
  <r>
    <d v="2025-12-18T00:00:00"/>
    <d v="2026-01-09T00:00:00"/>
    <s v="Booking-1054"/>
    <s v="Rejected"/>
    <d v="2025-10-09T00:00:00"/>
    <n v="112"/>
    <s v="Laguna Residence"/>
    <s v="Tower B"/>
    <s v="Studio"/>
    <s v="B2303"/>
    <s v="Available"/>
    <x v="1"/>
    <s v="Michael Talarico"/>
    <s v="Australia"/>
    <n v="43800"/>
    <n v="0.05"/>
    <n v="832200"/>
    <n v="876000"/>
    <s v="Fadwa Belkaid"/>
    <s v="SEVEN CENTURY REAL ESTATE BROKERS L.L.C"/>
    <s v="a03J600000BuBcq"/>
    <s v="-"/>
    <s v="Not Available on Finance Tracker"/>
    <n v="8450"/>
    <n v="1.015380918048546E-2"/>
    <s v="N/A"/>
    <s v="Cancelled due to Non Payment"/>
    <s v="Booking-1054 - Booking Rejection Request"/>
    <x v="5"/>
    <s v="Cancellation Request raised by Sales Operations Team - No Refund"/>
  </r>
  <r>
    <d v="2025-12-18T00:00:00"/>
    <d v="2026-01-09T00:00:00"/>
    <s v="Booking-1029"/>
    <s v="Rejected"/>
    <d v="2025-10-03T00:00:00"/>
    <n v="118"/>
    <s v="Laguna Residence"/>
    <s v="Tower B"/>
    <s v="Studio"/>
    <s v="B3303"/>
    <s v="Blocked"/>
    <x v="1"/>
    <s v="Blake Taylor Talarico"/>
    <s v="Australia"/>
    <n v="48300"/>
    <n v="0.05"/>
    <n v="917700"/>
    <n v="966000"/>
    <s v="Fadwa Belkaid"/>
    <s v="SEVEN CENTURY REAL ESTATE BROKERS L.L.C"/>
    <s v="a03J600000BtrEr"/>
    <s v="-"/>
    <s v="Not Available on Finance Tracker"/>
    <n v="8450"/>
    <n v="9.2078021139806038E-3"/>
    <s v="No"/>
    <s v="Cancelled due to Non Payment"/>
    <s v="Booking-1029 - Booking Rejection Request"/>
    <x v="5"/>
    <s v="Cancellation Request raised by Sales Operations Team - No Refund"/>
  </r>
  <r>
    <d v="2025-12-15T00:00:00"/>
    <d v="2026-01-09T00:00:00"/>
    <s v="Booking-948"/>
    <s v="Rejected"/>
    <d v="2025-08-27T00:00:00"/>
    <n v="155"/>
    <s v="Laguna Residence"/>
    <s v="Tower A"/>
    <s v="Studio"/>
    <s v="A2913"/>
    <s v="Booked"/>
    <x v="1"/>
    <s v="Saleha Mubarak Murshed Ali Almarar"/>
    <s v="United Arab Emirates"/>
    <n v="0"/>
    <n v="0"/>
    <n v="805000"/>
    <n v="805000"/>
    <s v="Mohamed El Shimy"/>
    <s v="Eleva Properties LLC"/>
    <s v="a03J600000BrdNX"/>
    <s v="-"/>
    <s v="Not Available on Finance Tracker"/>
    <n v="5000"/>
    <n v="6.2111801242236021E-3"/>
    <s v="N/A"/>
    <s v="Error In Booking"/>
    <s v="Booking-948 - Booking Rejection Request"/>
    <x v="7"/>
    <s v="Unit has been rebooked as SD confirmed payment was cleared"/>
  </r>
  <r>
    <d v="2025-12-15T00:00:00"/>
    <d v="2026-01-09T00:00:00"/>
    <s v="Booking-950"/>
    <s v="Rejected"/>
    <d v="2025-08-27T00:00:00"/>
    <n v="155"/>
    <s v="Laguna Residence"/>
    <s v="Tower A"/>
    <s v="Studio"/>
    <s v="A3013"/>
    <s v="Booked"/>
    <x v="1"/>
    <s v="Jaber Ali Salmeen Ali Almazrouei"/>
    <s v="United Arab Emirates"/>
    <n v="0"/>
    <n v="0"/>
    <n v="806000"/>
    <n v="806000"/>
    <s v="Mohamed El Shimy"/>
    <s v="Eleva Properties LLC"/>
    <s v="a03J600000BrdNr"/>
    <s v="-"/>
    <s v="Not Available on Finance Tracker"/>
    <n v="5000"/>
    <n v="6.2034739454094297E-3"/>
    <s v="N/A"/>
    <s v="Error In Booking"/>
    <s v="Booking-950 - Booking Rejection Request"/>
    <x v="7"/>
    <s v="Unit has been rebooked as SD confirmed payment was cleared"/>
  </r>
  <r>
    <d v="2025-12-12T00:00:00"/>
    <d v="2025-12-22T00:00:00"/>
    <s v="Booking-1100"/>
    <s v="Rejected"/>
    <d v="2025-10-30T00:00:00"/>
    <n v="91"/>
    <s v="Laguna Residence"/>
    <s v="Tower A"/>
    <s v="Studio"/>
    <s v="A1611"/>
    <s v="SPA Executed"/>
    <x v="1"/>
    <s v="Su Mon Phyo"/>
    <s v="Myanmar (formerly Burma)"/>
    <n v="39700"/>
    <n v="0.05"/>
    <n v="754300"/>
    <n v="794000"/>
    <s v="Yang XI"/>
    <s v="TRILUXE LIVING PROPERTIES LLC"/>
    <s v="a03J600000FmRFL"/>
    <s v="-"/>
    <s v="Not Available on Finance Tracker"/>
    <n v="10000"/>
    <n v="1.3257324671881215E-2"/>
    <s v="No"/>
    <s v="Cancelled due to Non Payment"/>
    <s v="Booking-1100 - Booking Rejection Request"/>
    <x v="5"/>
    <s v="Cancellation Request raised by Sales Operations Team"/>
  </r>
  <r>
    <d v="2025-12-03T00:00:00"/>
    <d v="2025-12-10T00:00:00"/>
    <s v="Booking-1162"/>
    <s v="Rejected"/>
    <d v="2025-11-09T00:00:00"/>
    <n v="81"/>
    <s v="Laguna Residence"/>
    <s v="Tower B"/>
    <s v="Studio"/>
    <s v="B1807"/>
    <s v="Blocked"/>
    <x v="1"/>
    <s v="Riad El Kaddouri"/>
    <s v="Netherlands"/>
    <n v="47420"/>
    <n v="5.0770877944325485E-2"/>
    <n v="886580"/>
    <n v="934000"/>
    <s v="Joudy Shaker"/>
    <s v="GLOBEX REAL ESTATE L L C"/>
    <s v="a03NM00000MY1oE"/>
    <s v="-"/>
    <s v="Not Available on Finance Tracker"/>
    <n v="3000"/>
    <n v="3.383789392948183E-3"/>
    <s v="Yes"/>
    <s v="Customer requested to cancel Booking and for the paid amount to be refunded._x000a_Refund approved by Management"/>
    <s v="Booking-1162 - Booking Rejection Request"/>
    <x v="1"/>
    <s v="Customer is unable to continue with the Purchase - Refund Requested"/>
  </r>
  <r>
    <d v="2025-12-03T00:00:00"/>
    <d v="2025-12-04T00:00:00"/>
    <s v="Booking-1171"/>
    <s v="Rejected"/>
    <d v="2025-11-12T00:00:00"/>
    <n v="78"/>
    <s v="Do New Cairo"/>
    <s v="Hotel Apartments"/>
    <s v="Studio"/>
    <s v="DNC-HA-207"/>
    <s v="Blocked"/>
    <x v="1"/>
    <s v="Ahmed Mohamed said zakria"/>
    <s v="Syria"/>
    <n v="1598750"/>
    <n v="0.11618822674418605"/>
    <n v="12161250"/>
    <n v="13760000"/>
    <s v="Omar Magdy"/>
    <s v=""/>
    <s v="a03NM00000Moq0S"/>
    <s v="-"/>
    <s v="Not Available on Finance Tracker"/>
    <s v="No Payment"/>
    <n v="0"/>
    <s v="N/A"/>
    <s v="Cancellation requested by Egypt Sales Operations Team"/>
    <s v="Booking-1171 - Booking Rejection Request"/>
    <x v="8"/>
    <s v="Cancellation Request raised by Egypt Sales Operations Team"/>
  </r>
  <r>
    <d v="2025-11-30T00:00:00"/>
    <d v="2025-12-04T00:00:00"/>
    <s v="Booking-1180"/>
    <s v="Rejected"/>
    <d v="2025-11-12T00:00:00"/>
    <n v="78"/>
    <s v="Do New Cairo"/>
    <s v="Offices"/>
    <s v="-"/>
    <s v="DNC-O3-111"/>
    <s v="Blocked"/>
    <x v="1"/>
    <s v="Ali ali nasr nouh"/>
    <s v="-"/>
    <n v="0"/>
    <n v="0"/>
    <n v="20728125"/>
    <n v="20728125"/>
    <s v="Rowan Abbady"/>
    <s v=""/>
    <s v="a03NM00000Mpzj9"/>
    <s v="-"/>
    <s v="Not Available on Finance Tracker"/>
    <s v="No Payment"/>
    <n v="0"/>
    <s v="N/A"/>
    <s v="Cancellation requested by Egypt Sales Operations Team"/>
    <s v="Booking-1180 - Booking Rejection Request"/>
    <x v="8"/>
    <s v="Cancellation Request raised by Egypt Sales Operations Team"/>
  </r>
  <r>
    <d v="2025-11-30T00:00:00"/>
    <d v="2025-12-03T00:00:00"/>
    <s v="Booking-1192"/>
    <s v="Rejected"/>
    <d v="2025-11-12T00:00:00"/>
    <n v="78"/>
    <s v="Do New Cairo"/>
    <s v="Hotel Apartments"/>
    <s v="1 BR"/>
    <s v="DNC-HA-219"/>
    <s v="Booked"/>
    <x v="1"/>
    <s v="Tawfik Salah Eldin Ahmed Diab"/>
    <s v="Egypt"/>
    <n v="0"/>
    <n v="0"/>
    <n v="22912500"/>
    <n v="22912500"/>
    <s v="Hana Soliman"/>
    <s v=""/>
    <s v="a03NM00000Mqxc2"/>
    <s v="-"/>
    <s v="Not Available on Finance Tracker"/>
    <s v="No Payment"/>
    <n v="0"/>
    <s v="N/A"/>
    <s v="Cancellation requested by Egypt Sales Operations Team"/>
    <s v="Booking-1192 - Booking Rejection Request"/>
    <x v="8"/>
    <s v="Cancellation Request raised by Egypt Sales Operations Team"/>
  </r>
  <r>
    <d v="2025-11-30T00:00:00"/>
    <d v="2025-12-03T00:00:00"/>
    <s v="Booking-1181"/>
    <s v="Rejected"/>
    <d v="2025-11-12T00:00:00"/>
    <n v="78"/>
    <s v="Do New Cairo"/>
    <s v="Hotel Apartments"/>
    <s v="1 BR"/>
    <s v="DNC-HA-420"/>
    <s v="Blocked"/>
    <x v="1"/>
    <s v="Ali ali nasr nouh"/>
    <s v="-"/>
    <n v="0"/>
    <n v="0"/>
    <n v="23887500"/>
    <n v="23887500"/>
    <s v="Rowan Abbady"/>
    <s v=""/>
    <s v="a03NM00000MpXlJ"/>
    <s v="-"/>
    <s v="Not Available on Finance Tracker"/>
    <s v="No Payment"/>
    <n v="0"/>
    <s v="N/A"/>
    <s v="Cancellation requested by Egypt Sales Operations Team"/>
    <s v="Booking-1181 - Booking Rejection Request"/>
    <x v="8"/>
    <s v="Cancellation Request raised by Egypt Sales Operations Team"/>
  </r>
  <r>
    <d v="2025-11-28T00:00:00"/>
    <d v="2025-12-04T00:00:00"/>
    <s v="Booking-973"/>
    <s v="Rejected"/>
    <d v="2025-09-04T00:00:00"/>
    <n v="147"/>
    <s v="Laguna Residence"/>
    <s v="Tower B"/>
    <s v="Studio"/>
    <s v="B3012"/>
    <s v="Available"/>
    <x v="1"/>
    <s v="Mohammed Fardin Khan"/>
    <s v="United States of America"/>
    <n v="44450"/>
    <n v="0.05"/>
    <n v="844550"/>
    <n v="889000"/>
    <s v="Ramy Abdelsalam"/>
    <s v="Sevenx Properties LLC"/>
    <s v="a03J600000Bs7e5"/>
    <s v="-"/>
    <s v="Not Available on Finance Tracker"/>
    <n v="60000"/>
    <n v="7.1043751110058617E-2"/>
    <s v="N/A"/>
    <s v="Cancelled due to Non Payment"/>
    <s v="Booking-973 - Booking Rejection Request"/>
    <x v="5"/>
    <s v="Cancellation Request raised by Sales Operations Team"/>
  </r>
  <r>
    <d v="2025-11-28T00:00:00"/>
    <d v="2025-12-04T00:00:00"/>
    <s v="Booking-1011"/>
    <s v="Rejected"/>
    <d v="2025-09-24T00:00:00"/>
    <n v="127"/>
    <s v="Laguna Residence"/>
    <s v="Tower A"/>
    <s v="2 Bedroom"/>
    <s v="A2305"/>
    <s v="SPA Executed"/>
    <x v="1"/>
    <s v="Amr Mahdy Sallam Mahmoud"/>
    <s v="Egypt"/>
    <n v="114700"/>
    <n v="0.05"/>
    <n v="2179300"/>
    <n v="2294000"/>
    <s v="Feriel Dridi"/>
    <s v="Eleva Properties LLC"/>
    <s v="a03J600000BtKzJ"/>
    <s v="-"/>
    <s v="Not Available on Finance Tracker"/>
    <n v="20000"/>
    <n v="9.177258752810535E-3"/>
    <s v="N/A"/>
    <s v="Cancelled due to Non Payment"/>
    <s v="Booking-1011 - Booking Rejection Request"/>
    <x v="5"/>
    <s v="Cancellation Request raised by Sales Operations Team"/>
  </r>
  <r>
    <d v="2025-11-26T00:00:00"/>
    <d v="2025-12-10T00:00:00"/>
    <s v="Booking-949"/>
    <s v="Rejected"/>
    <d v="2025-08-27T00:00:00"/>
    <n v="155"/>
    <s v="Laguna Residence"/>
    <s v="Tower A"/>
    <s v="Studio"/>
    <s v="A2713"/>
    <s v="Booked"/>
    <x v="1"/>
    <s v="Meera Ali Salmeen Ali Almazrouei"/>
    <s v="United Arab Emirates"/>
    <n v="0"/>
    <n v="0"/>
    <n v="801000"/>
    <n v="801000"/>
    <s v="Mohamed El Shimy"/>
    <s v="Eleva Properties LLC"/>
    <s v="a03J600000BrdNh"/>
    <s v="-"/>
    <s v="Not Available on Finance Tracker"/>
    <n v="10000"/>
    <n v="1.2484394506866416E-2"/>
    <s v="No"/>
    <s v="Cancelled due to Non Payment"/>
    <s v="Booking-949 - Booking Rejection Request"/>
    <x v="5"/>
    <s v="Cancellation Request raised by Collections Team"/>
  </r>
  <r>
    <d v="2025-11-25T00:00:00"/>
    <d v="2025-11-26T00:00:00"/>
    <s v="Booking-1165"/>
    <s v="Rejected"/>
    <d v="2025-11-11T00:00:00"/>
    <n v="79"/>
    <s v="Do Dubai Island"/>
    <s v="Tower 1"/>
    <s v="1 Bedroom"/>
    <s v="609"/>
    <s v="Blocked"/>
    <x v="1"/>
    <s v="Samir Bahida"/>
    <s v="Morocco"/>
    <n v="47280"/>
    <n v="0.02"/>
    <n v="2316720"/>
    <n v="2364000"/>
    <s v="Rihab Zayani"/>
    <s v="Marrfa Discovery Real Estate L.L.C"/>
    <s v="a03NM00000Mjg07"/>
    <s v="-"/>
    <s v="Not Available on Finance Tracker"/>
    <s v="No Payment"/>
    <n v="0"/>
    <s v="N/A"/>
    <s v="Cancelled due to Non Payment"/>
    <s v="Booking-1165 - Booking Rejection Request"/>
    <x v="5"/>
    <s v="Cancellation Request raised by Collections Team"/>
  </r>
  <r>
    <d v="2025-11-25T00:00:00"/>
    <d v="2025-11-26T00:00:00"/>
    <s v="Booking-1212"/>
    <s v="Rejected"/>
    <d v="2025-11-15T00:00:00"/>
    <n v="75"/>
    <s v="Do Dubai Island"/>
    <s v="Tower 1"/>
    <s v="1 Bedroom"/>
    <s v="409"/>
    <s v="Blocked"/>
    <x v="1"/>
    <s v="Ali Lafhel"/>
    <s v="Morocco"/>
    <n v="46580"/>
    <n v="0.02"/>
    <n v="2282420"/>
    <n v="2329000"/>
    <s v="Rihab Zayani"/>
    <s v="Marrfa Discovery Real Estate L.L.C"/>
    <s v="a03NM00000N5lih"/>
    <s v="-"/>
    <s v="Not Available on Finance Tracker"/>
    <s v="No Payment"/>
    <n v="0"/>
    <s v="N/A"/>
    <s v="Cancelled due to Non Payment"/>
    <s v="Booking-1212 - Booking Rejection Request"/>
    <x v="5"/>
    <s v="Cancellation Request raised by Collections Team"/>
  </r>
  <r>
    <d v="2025-11-24T00:00:00"/>
    <d v="2025-12-05T00:00:00"/>
    <s v="Booking-443"/>
    <s v="Rejected"/>
    <d v="2025-02-05T00:00:00"/>
    <n v="358"/>
    <s v="Laguna Residence"/>
    <s v="Tower A"/>
    <s v="Studio"/>
    <s v="A1914"/>
    <s v="Booked"/>
    <x v="1"/>
    <s v="Nageswara Rao Gupta Manepalli"/>
    <s v="India"/>
    <n v="98930"/>
    <n v="0.12602547770700637"/>
    <n v="686070"/>
    <n v="785000"/>
    <s v="Khamid Marzaganov"/>
    <s v="CHALET INTERNATIONAL REAL ESTATE L.L.C"/>
    <s v="a03J60000060Aow"/>
    <s v="19102"/>
    <s v="Not Available on Finance Tracker"/>
    <n v="202634.84999999998"/>
    <n v="0.29535594035594032"/>
    <s v="N/A"/>
    <s v="Customer requested to transfer ownership to &quot;Srinivasa Rao Ganta&quot;"/>
    <s v="Booking-443 - Booking Rejection Request"/>
    <x v="9"/>
    <s v="From Nageswara Rao to Srinivasa Ganta"/>
  </r>
  <r>
    <d v="2025-11-24T00:00:00"/>
    <d v="2025-11-26T00:00:00"/>
    <s v="Booking-1153"/>
    <s v="Rejected"/>
    <d v="2025-11-07T00:00:00"/>
    <n v="83"/>
    <s v="Do Dubai Island"/>
    <s v="Tower 1"/>
    <s v="1 Bedroom"/>
    <s v="404"/>
    <s v="Booked"/>
    <x v="1"/>
    <s v="Lady Johanna Morales Torres"/>
    <s v="Colombia"/>
    <n v="0"/>
    <n v="0"/>
    <n v="2664000"/>
    <n v="2664000"/>
    <s v="Alona Lurdes"/>
    <s v="PROVIDENT REAL ESTATE BROKER L.L.C"/>
    <s v="a03NM00000MRfSF"/>
    <s v="-"/>
    <s v="Not Available on Finance Tracker"/>
    <s v="No Payment"/>
    <n v="0"/>
    <s v="N/A"/>
    <s v="Cancelled due to Non Payment"/>
    <s v="Booking-1153 - Booking Rejection Request"/>
    <x v="5"/>
    <s v="Cancellation Request raised by Collections Team"/>
  </r>
  <r>
    <d v="2025-11-19T00:00:00"/>
    <d v="2025-11-20T00:00:00"/>
    <s v="Booking-1014"/>
    <s v="Rejected"/>
    <d v="2025-09-25T00:00:00"/>
    <n v="126"/>
    <s v="Laguna Residence"/>
    <s v="Tower A"/>
    <s v="2 Bedroom"/>
    <s v="A4205"/>
    <s v="Blocked"/>
    <x v="1"/>
    <s v="Amer Darweesh Ali Almoseimi"/>
    <s v="Jordan"/>
    <n v="98600"/>
    <n v="3.8217054263565892E-2"/>
    <n v="2481400"/>
    <n v="2580000"/>
    <s v="Mohamed El Shimy"/>
    <s v="CHALET INTERNATIONAL REAL ESTATE L.L.C"/>
    <s v="a03J600000BtSUB"/>
    <s v="-"/>
    <s v="Not Available on Finance Tracker"/>
    <n v="25000"/>
    <n v="1.0074957685177723E-2"/>
    <s v="No"/>
    <s v="Cancelled due to Non Payment"/>
    <s v="Booking-1014 - Booking Rejection Request"/>
    <x v="5"/>
    <s v="Cancellation Request raised by Collections Team"/>
  </r>
  <r>
    <d v="2025-11-19T00:00:00"/>
    <d v="2025-11-20T00:00:00"/>
    <s v="Booking-1010"/>
    <s v="Rejected"/>
    <d v="2025-09-24T00:00:00"/>
    <n v="127"/>
    <s v="Laguna Residence"/>
    <s v="Tower A"/>
    <s v="Studio"/>
    <s v="A1014"/>
    <s v="Booked"/>
    <x v="1"/>
    <s v="Ayesha Ibrahim Obaid Ismail Alhamsha"/>
    <s v="United Arab Emirates"/>
    <n v="26000"/>
    <n v="3.2459425717852687E-2"/>
    <n v="774999.99977400003"/>
    <n v="801000"/>
    <s v="Mohamed El Shimy"/>
    <s v="CHALET INTERNATIONAL REAL ESTATE L.L.C"/>
    <s v="a03J600000BtKfI"/>
    <s v="-"/>
    <s v="Not Available on Finance Tracker"/>
    <n v="20000"/>
    <n v="2.580645162042872E-2"/>
    <s v="No"/>
    <s v="Cancelled due to Non Payment"/>
    <s v="Booking-1010 - Booking Rejection Request"/>
    <x v="5"/>
    <s v="Cancellation Request raised by Collections Team"/>
  </r>
  <r>
    <d v="2025-11-19T00:00:00"/>
    <d v="2025-11-20T00:00:00"/>
    <s v="Booking-987"/>
    <s v="Rejected"/>
    <d v="2025-09-12T00:00:00"/>
    <n v="139"/>
    <s v="Laguna Residence"/>
    <s v="Tower B"/>
    <s v="Studio"/>
    <s v="B2812"/>
    <s v="Available"/>
    <x v="1"/>
    <s v="Michael Adom Adomako"/>
    <s v="Ghana"/>
    <n v="17520"/>
    <n v="0.02"/>
    <n v="858480"/>
    <n v="876000"/>
    <s v="Mohamed El Shimy"/>
    <s v="PREMIA LIVINGS REAL ESTATE L.L.C"/>
    <s v="a03J600000BsZtT"/>
    <s v="-"/>
    <s v="Not Available on Finance Tracker"/>
    <n v="1500"/>
    <n v="1.7472742521666201E-3"/>
    <s v="No"/>
    <s v="Cancelled due to Non Payment"/>
    <s v="Booking-987 - Booking Rejection Request"/>
    <x v="5"/>
    <s v="Cancellation Request raised by Collections Team"/>
  </r>
  <r>
    <d v="2025-11-19T00:00:00"/>
    <d v="2025-11-20T00:00:00"/>
    <s v="Booking-1020"/>
    <s v="Rejected"/>
    <d v="2025-09-30T00:00:00"/>
    <n v="121"/>
    <s v="Laguna Residence"/>
    <s v="Tower A"/>
    <s v="1 Bedroom"/>
    <s v="A2807"/>
    <s v="Blocked"/>
    <x v="1"/>
    <s v="Chapol Molla Ali Ahamed Molla"/>
    <s v="Bangladesh"/>
    <n v="48283.199999999997"/>
    <n v="3.3599999999999998E-2"/>
    <n v="1388716.8"/>
    <n v="1437000"/>
    <s v="Mohamed El Shimy"/>
    <s v="PREMIA LIVINGS REAL ESTATE L.L.C"/>
    <s v="a03J600000BteaL"/>
    <s v="-"/>
    <s v="Not Available on Finance Tracker"/>
    <n v="5000"/>
    <n v="3.6004461096747729E-3"/>
    <s v="No"/>
    <s v="Cancelled due to Non Payment"/>
    <s v="Booking-1020 - Booking Rejection Request"/>
    <x v="5"/>
    <s v="Cancellation Request raised by Collections Team"/>
  </r>
  <r>
    <d v="2025-11-19T00:00:00"/>
    <d v="2025-11-20T00:00:00"/>
    <s v="Booking-1044"/>
    <s v="Rejected"/>
    <d v="2025-10-06T00:00:00"/>
    <n v="115"/>
    <s v="Laguna Residence"/>
    <s v="Tower B"/>
    <s v="Studio"/>
    <s v="B1219"/>
    <s v="Booked"/>
    <x v="1"/>
    <s v="Ansam Adnan Sadiq"/>
    <s v="Iraq"/>
    <n v="32000"/>
    <n v="3.9119804400977995E-2"/>
    <n v="786000"/>
    <n v="818000"/>
    <s v="Mohamed El Shimy"/>
    <s v="Eleva Properties LLC"/>
    <s v="a03J600000BtyRL"/>
    <s v="-"/>
    <s v="Not Available on Finance Tracker"/>
    <n v="20000"/>
    <n v="2.5445292620865138E-2"/>
    <s v="No"/>
    <s v="Cancelled due to Non Payment"/>
    <s v="Booking-1044 - Booking Rejection Request"/>
    <x v="5"/>
    <s v="Cancellation Request raised by Collections Team"/>
  </r>
  <r>
    <d v="2025-11-19T00:00:00"/>
    <d v="2025-11-21T00:00:00"/>
    <s v="Booking-594"/>
    <s v="Rejected"/>
    <d v="2025-04-15T00:00:00"/>
    <n v="289"/>
    <s v="Laguna Residence"/>
    <s v="Tower B"/>
    <s v="1 Bedroom"/>
    <s v="B402"/>
    <s v="Blocked"/>
    <x v="1"/>
    <s v="Madyan Maher Jameel Rishan"/>
    <s v="Iraq"/>
    <n v="82750"/>
    <n v="6.5883757961783446E-2"/>
    <n v="1173250"/>
    <n v="1256000"/>
    <s v="Midia Sedighi"/>
    <s v="NESTSEEKERS REAL ESTATE L.L.C"/>
    <s v="a03J60000081ULp"/>
    <s v="-"/>
    <n v="6000"/>
    <n v="154120"/>
    <n v="0.13136160238653313"/>
    <s v="No"/>
    <s v="Cancelled due to Non Payment"/>
    <s v="Booking-594 - Booking Rejection Request"/>
    <x v="5"/>
    <s v="Cancellation Request raised by Collections Team"/>
  </r>
  <r>
    <d v="2025-11-19T00:00:00"/>
    <d v="2025-11-20T00:00:00"/>
    <s v="Booking-1000"/>
    <s v="Rejected"/>
    <d v="2025-09-19T00:00:00"/>
    <n v="132"/>
    <s v="Laguna Residence"/>
    <s v="Tower A"/>
    <s v="Studio"/>
    <s v="A2014"/>
    <s v="SPA Executed"/>
    <x v="1"/>
    <s v="Zainab Mohammed Saif Obaid"/>
    <s v="United Arab Emirates"/>
    <n v="31960"/>
    <n v="0.04"/>
    <n v="767040.00028716063"/>
    <n v="799000"/>
    <s v="Mohamed El Shimy"/>
    <s v="PREMIA LIVINGS REAL ESTATE L.L.C"/>
    <s v="a03J600000Bswpp"/>
    <s v="-"/>
    <s v="Not Available on Finance Tracker"/>
    <n v="25000"/>
    <n v="3.2592824351586128E-2"/>
    <s v="No"/>
    <s v="Cancelled due to Non Payment"/>
    <s v="Booking-1000 - Booking Rejection Request"/>
    <x v="5"/>
    <s v="Cancellation Request raised by Collections Team"/>
  </r>
  <r>
    <d v="2025-11-19T00:00:00"/>
    <d v="2025-11-20T00:00:00"/>
    <s v="Booking-988"/>
    <s v="Rejected"/>
    <d v="2025-09-12T00:00:00"/>
    <n v="139"/>
    <s v="Laguna Residence"/>
    <s v="Tower A"/>
    <s v="Studio"/>
    <s v="A2712"/>
    <s v="Blocked"/>
    <x v="1"/>
    <s v="Michael Adom Adomako"/>
    <s v="Ghana"/>
    <n v="16380"/>
    <n v="0.02"/>
    <n v="802620"/>
    <n v="819000"/>
    <s v="Mohamed El Shimy"/>
    <s v="PREMIA LIVINGS REAL ESTATE L.L.C"/>
    <s v="a03J600000BsZxQ"/>
    <s v="-"/>
    <s v="Not Available on Finance Tracker"/>
    <n v="1500"/>
    <n v="1.868879419899828E-3"/>
    <s v="No"/>
    <s v="Cancelled due to Non Payment"/>
    <s v="Booking-988 - Booking Rejection Request"/>
    <x v="5"/>
    <s v="Cancellation Request raised by Collections Team"/>
  </r>
  <r>
    <d v="2025-11-19T00:00:00"/>
    <d v="2025-11-20T00:00:00"/>
    <s v="Booking-970"/>
    <s v="Rejected"/>
    <d v="2025-09-04T00:00:00"/>
    <n v="147"/>
    <s v="Laguna Residence"/>
    <s v="Tower A"/>
    <s v="Studio"/>
    <s v="A1716"/>
    <s v="Blocked"/>
    <x v="1"/>
    <s v="Farah Ahmad Saeed Khalifa Almarri"/>
    <s v="United Arab Emirates"/>
    <n v="39600"/>
    <n v="0.05"/>
    <n v="752400"/>
    <n v="792000"/>
    <s v="Mohamed El Shimy"/>
    <s v="Eleva Properties LLC"/>
    <s v="a03J600000Bs5Df"/>
    <s v="-"/>
    <s v="Not Available on Finance Tracker"/>
    <n v="5400"/>
    <n v="7.1770334928229667E-3"/>
    <s v="No"/>
    <s v="Cancelled due to Non Payment"/>
    <s v="Booking-970 - Booking Rejection Request"/>
    <x v="5"/>
    <s v="Cancellation Request raised by Collections Team"/>
  </r>
  <r>
    <d v="2025-11-19T00:00:00"/>
    <d v="2025-11-20T00:00:00"/>
    <s v="Booking-1166"/>
    <s v="Rejected"/>
    <d v="2025-11-11T00:00:00"/>
    <n v="79"/>
    <s v="Do Dubai Island"/>
    <s v="Tower 1"/>
    <s v="1 Bedroom"/>
    <s v="516"/>
    <s v="Blocked"/>
    <x v="1"/>
    <s v="Ali Lafhel"/>
    <s v="Morocco"/>
    <n v="0"/>
    <n v="0"/>
    <n v="2252000"/>
    <n v="2252000"/>
    <s v="Rihab Zayani"/>
    <s v="Marrfa Discovery Real Estate L.L.C"/>
    <s v="a03NM00000MjL2C"/>
    <s v="-"/>
    <s v="Not Available on Finance Tracker"/>
    <s v="No Payment"/>
    <n v="0"/>
    <s v="N/A"/>
    <s v="Unit Swapped with DO 409 as approved by Management"/>
    <s v="Booking-1166 - Booking Rejection Request"/>
    <x v="3"/>
    <s v="Swapped from DO 516 to DO 409"/>
  </r>
  <r>
    <d v="2025-11-19T00:00:00"/>
    <d v="2025-11-20T00:00:00"/>
    <s v="Booking-1127"/>
    <s v="Rejected"/>
    <d v="2025-10-31T00:00:00"/>
    <n v="90"/>
    <s v="Laguna Residence"/>
    <s v="Tower B"/>
    <s v="Studio"/>
    <s v="B614"/>
    <s v="Blocked"/>
    <x v="1"/>
    <s v="Argishti Darbinyan"/>
    <s v="Armenia"/>
    <n v="0"/>
    <n v="0"/>
    <n v="838000"/>
    <n v="838000"/>
    <s v="Zarina Avdalian"/>
    <s v="ALBINA MKRTCHYAN REAL ESTATE"/>
    <s v="a03J600000FmbmR"/>
    <s v="-"/>
    <s v="Not Available on Finance Tracker"/>
    <s v="No Payment"/>
    <n v="0"/>
    <s v="No"/>
    <s v="Customer requested to cancel"/>
    <s v="Booking-1127 - Booking Rejection Request"/>
    <x v="1"/>
    <s v="Customer purchased 2 units and will now proceed with only Unit B1010. No Refund"/>
  </r>
  <r>
    <d v="2025-11-17T00:00:00"/>
    <d v="2025-11-17T00:00:00"/>
    <s v="Booking-1174"/>
    <s v="Rejected"/>
    <d v="2025-11-12T00:00:00"/>
    <n v="78"/>
    <s v="Do New Cairo"/>
    <s v="Hotel Apartments"/>
    <s v="1 BR"/>
    <s v="DNC-HA-401"/>
    <s v="Booked"/>
    <x v="1"/>
    <s v="hossam saeed abdel fattah"/>
    <s v="-"/>
    <n v="0"/>
    <n v="0"/>
    <n v="25416300"/>
    <n v="25416300"/>
    <s v="Ahmed Arafat"/>
    <s v=""/>
    <s v="a03NM00000MpNh3"/>
    <s v="-"/>
    <s v="Not Available on Finance Tracker"/>
    <s v="No Payment"/>
    <n v="0"/>
    <s v="N/A"/>
    <s v="Cancelled due to Repricing"/>
    <s v="Booking-1174 - Booking Rejection Request"/>
    <x v="10"/>
    <s v="Increase in Price requested by Hussien "/>
  </r>
  <r>
    <d v="2025-11-17T00:00:00"/>
    <d v="2025-11-17T00:00:00"/>
    <s v="Booking-1173"/>
    <s v="Rejected"/>
    <d v="2025-11-12T00:00:00"/>
    <n v="78"/>
    <s v="Do New Cairo"/>
    <s v="Offices"/>
    <s v="-"/>
    <s v="DNC-O3-312"/>
    <s v="Booked"/>
    <x v="1"/>
    <s v="hossam saeed abdel fattah"/>
    <s v="-"/>
    <n v="-2736565.44"/>
    <n v="-4.1666666666666664E-2"/>
    <n v="68414136"/>
    <n v="65677570.560000002"/>
    <s v="Ahmed Arafat"/>
    <s v=""/>
    <s v="a03NM00000MpL49"/>
    <s v="-"/>
    <s v="Not Available on Finance Tracker"/>
    <s v="No Payment"/>
    <n v="0"/>
    <s v="N/A"/>
    <s v="Cancelled due to Repricing"/>
    <s v="Booking-1173 - Booking Rejection Request"/>
    <x v="10"/>
    <s v="Increase in Price requested by Hussien "/>
  </r>
  <r>
    <d v="2025-11-14T00:00:00"/>
    <d v="2025-11-20T00:00:00"/>
    <s v="Booking-1167"/>
    <s v="Rejected"/>
    <d v="2025-11-11T00:00:00"/>
    <n v="79"/>
    <s v="Laguna Residence"/>
    <s v="Tower A"/>
    <s v="Studio"/>
    <s v="A2108"/>
    <s v="Blocked"/>
    <x v="1"/>
    <s v="Mohamed Abdelhakim Elsayed Mahmoud Amer"/>
    <s v="Egypt"/>
    <n v="39950"/>
    <n v="0.05"/>
    <n v="759050"/>
    <n v="799000"/>
    <s v="Osama Elsharkasy"/>
    <s v=""/>
    <s v="a03NM00000Mk4gg"/>
    <s v="-"/>
    <s v="Not Available on Finance Tracker"/>
    <n v="81900"/>
    <n v="0.10789803043277782"/>
    <s v="N/A"/>
    <s v="Unit Swapped with B518"/>
    <s v="Booking-1167 - Booking Rejection Request"/>
    <x v="3"/>
    <s v="Swapped from A2108 to B518"/>
  </r>
  <r>
    <d v="2025-11-10T00:00:00"/>
    <d v="2025-11-11T00:00:00"/>
    <s v="Booking-1025"/>
    <s v="Rejected"/>
    <d v="2025-09-30T00:00:00"/>
    <n v="121"/>
    <s v="Do Dubai Island"/>
    <s v="Tower 1"/>
    <s v="Studio"/>
    <s v="110"/>
    <s v="SPA Executed"/>
    <x v="1"/>
    <s v="Ekaterina Shipova"/>
    <s v="Russia"/>
    <n v="0"/>
    <n v="0"/>
    <n v="1250000"/>
    <n v="1250000"/>
    <s v="Gulnoz Khodjayeva"/>
    <s v="Home Liga Real Estate"/>
    <s v="a03J600000Bth7k"/>
    <s v="-"/>
    <s v="Not Available on Finance Tracker"/>
    <s v="No Payment"/>
    <n v="0"/>
    <s v="N/A"/>
    <s v="Cancellation raised by Sales Director and approved by CCO"/>
    <s v="Booking-1025 - Booking Rejection Request"/>
    <x v="11"/>
    <s v="Amal El Gendy"/>
  </r>
  <r>
    <d v="2025-11-10T00:00:00"/>
    <d v="2025-11-11T00:00:00"/>
    <s v="Booking-1114"/>
    <s v="Rejected"/>
    <d v="2025-10-31T00:00:00"/>
    <n v="90"/>
    <s v="Laguna Residence"/>
    <s v="Tower B"/>
    <s v="Studio"/>
    <s v="B714"/>
    <s v="Booked"/>
    <x v="1"/>
    <s v="Albina Mkrtchyan"/>
    <s v="Armenia"/>
    <n v="0"/>
    <n v="0"/>
    <n v="832000"/>
    <n v="832000"/>
    <s v="Zarina Avdalian"/>
    <s v="ALBINA MKRTCHYAN REAL ESTATE"/>
    <s v="a03J600000FmbGz"/>
    <s v="-"/>
    <s v="Not Available on Finance Tracker"/>
    <s v="No Payment"/>
    <n v="0"/>
    <s v="N/A"/>
    <s v="Customer requested to cancel"/>
    <s v="Booking-1114 - Booking Rejection Request"/>
    <x v="1"/>
    <s v="Customer is unable to continue with the Purchase"/>
  </r>
  <r>
    <d v="2025-11-10T00:00:00"/>
    <d v="2025-11-11T00:00:00"/>
    <s v="Booking-1110"/>
    <s v="Rejected"/>
    <d v="2025-10-31T00:00:00"/>
    <n v="90"/>
    <s v="Laguna Residence"/>
    <s v="Tower B"/>
    <s v="Studio"/>
    <s v="B911"/>
    <s v="Blocked"/>
    <x v="1"/>
    <s v="Gor Keshishoghlyan"/>
    <s v="Armenia"/>
    <n v="0"/>
    <n v="0"/>
    <n v="832000"/>
    <n v="832000"/>
    <s v="Zarina Avdalian"/>
    <s v="ALBINA MKRTCHYAN REAL ESTATE"/>
    <s v="a03J600000Fmam0"/>
    <s v="-"/>
    <s v="Not Available on Finance Tracker"/>
    <n v="9000"/>
    <n v="1.0817307692307692E-2"/>
    <s v="No"/>
    <s v="Customer requested to cancel"/>
    <s v="Booking-1110 - Booking Rejection Request"/>
    <x v="1"/>
    <s v="Customer is unable to continue with the Purchase"/>
  </r>
  <r>
    <d v="2025-11-05T00:00:00"/>
    <d v="2025-11-07T00:00:00"/>
    <s v="Booking-1133"/>
    <s v="Rejected"/>
    <d v="2025-10-31T00:00:00"/>
    <n v="90"/>
    <s v="Laguna Residence"/>
    <s v="Tower B"/>
    <s v="Studio"/>
    <s v="B412"/>
    <s v="Blocked"/>
    <x v="1"/>
    <s v="Omar Mohamed Mohamed  Ibrahim"/>
    <s v="Egypt"/>
    <n v="0"/>
    <n v="0"/>
    <n v="848000"/>
    <n v="848000"/>
    <s v="Shady Amin"/>
    <s v=""/>
    <s v="a03J600000Fmbe8"/>
    <s v="-"/>
    <s v="Not Available on Finance Tracker"/>
    <n v="3675"/>
    <n v="4.3337264150943395E-3"/>
    <s v="Yes"/>
    <s v="Customer requested to cancel as it is out of his budget"/>
    <s v="Booking-1133 - Booking Rejection Request"/>
    <x v="1"/>
    <s v="Customer is unable to continue with the Purchase"/>
  </r>
  <r>
    <d v="2025-11-04T00:00:00"/>
    <d v="2025-11-07T00:00:00"/>
    <s v="Booking-1129"/>
    <s v="Rejected"/>
    <d v="2025-10-31T00:00:00"/>
    <n v="90"/>
    <s v="Laguna Residence"/>
    <s v="Tower A"/>
    <s v="Studio"/>
    <s v="A1619"/>
    <s v="Blocked"/>
    <x v="1"/>
    <s v="Roman Alexandrovich Grichanchenko"/>
    <s v="Russia"/>
    <n v="0"/>
    <n v="0"/>
    <n v="857000"/>
    <n v="857000"/>
    <s v="Ahmed Eissa"/>
    <s v="FIDU PROPERTY REAL ESTATE BROKERAGE"/>
    <s v="a03J600000Fmbp1"/>
    <s v="-"/>
    <s v="Not Available on Finance Tracker"/>
    <s v="No Payment"/>
    <n v="0"/>
    <s v="No"/>
    <s v="Booking was created under wrong unit A1619 during Booking process"/>
    <s v="Booking-1129 - Booking Rejection Request"/>
    <x v="12"/>
    <s v="Duplicate Booking"/>
  </r>
  <r>
    <d v="2025-11-03T00:00:00"/>
    <d v="2025-11-05T00:00:00"/>
    <s v="Booking-1147"/>
    <s v="Rejected"/>
    <d v="2025-11-03T00:00:00"/>
    <n v="87"/>
    <s v="Laguna Residence"/>
    <s v="Tower B"/>
    <s v="Studio"/>
    <s v="B1312"/>
    <s v="Booked"/>
    <x v="1"/>
    <s v="Hagop Karapetjan"/>
    <s v="Netherlands"/>
    <n v="0"/>
    <n v="0"/>
    <n v="813000"/>
    <n v="813000"/>
    <s v="Jude Kwakye"/>
    <s v="EMIRALD REAL ESTATE"/>
    <s v="a03NM00000M57D1"/>
    <s v="-"/>
    <s v="Not Available on Finance Tracker"/>
    <n v="8948"/>
    <n v="1.1006150061500615E-2"/>
    <s v="Yes"/>
    <s v="Cancelled as unit is not part of promotional offer list - Refund Approved by Management"/>
    <s v="Booking-1147 - Booking Rejection Request"/>
    <x v="13"/>
    <s v="Refund approved by Management"/>
  </r>
  <r>
    <d v="2025-11-03T00:00:00"/>
    <d v="2025-11-07T00:00:00"/>
    <s v="Booking-1112"/>
    <s v="Rejected"/>
    <d v="2025-10-31T00:00:00"/>
    <n v="90"/>
    <s v="Laguna Residence"/>
    <s v="Tower B"/>
    <s v="Studio"/>
    <s v="B1912"/>
    <s v="Blocked"/>
    <x v="1"/>
    <s v="Hagop Karapetjan"/>
    <s v="Netherlands"/>
    <n v="0"/>
    <n v="0"/>
    <n v="873000"/>
    <n v="873000"/>
    <s v="Jude Kwakye"/>
    <s v="EMIRALD REAL ESTATE"/>
    <s v="a03J600000FmbAw"/>
    <s v="-"/>
    <s v="Not Available on Finance Tracker"/>
    <s v="No Payment"/>
    <n v="0"/>
    <s v="No"/>
    <s v="Unit Swapped with B1312 as approved by Management"/>
    <s v="Booking-1112 - Booking Rejection Request"/>
    <x v="3"/>
    <s v="Swapped from B1912 to B1312"/>
  </r>
  <r>
    <d v="2025-11-01T00:00:00"/>
    <d v="2025-11-03T00:00:00"/>
    <s v="Booking-1028"/>
    <s v="Rejected"/>
    <d v="2025-10-01T00:00:00"/>
    <n v="120"/>
    <s v="Laguna Residence"/>
    <s v="Tower A"/>
    <s v="Studio"/>
    <s v="A418"/>
    <s v="SPA Executed"/>
    <x v="1"/>
    <s v="Yara Mohammad Alloush"/>
    <s v="Syria"/>
    <n v="23310"/>
    <n v="0.03"/>
    <n v="753690"/>
    <n v="777000"/>
    <s v="Yara Haddad"/>
    <s v="STARS AND SANDS PROPERTIES L.L.C"/>
    <s v="a03J600000Btkky"/>
    <s v="-"/>
    <s v="Not Available on Finance Tracker"/>
    <n v="10000"/>
    <n v="1.3268054505167907E-2"/>
    <s v="Yes"/>
    <s v="Customer requested to cancel Booking and for the paid amount to be refunded._x000a_Refund approved by Management"/>
    <s v="Booking-1028 - Booking Rejection Request"/>
    <x v="1"/>
    <s v="Customer is unable to continue with the Purchase - Refund Requested"/>
  </r>
  <r>
    <d v="2025-10-31T00:00:00"/>
    <d v="2025-11-07T00:00:00"/>
    <s v="Booking-1108"/>
    <s v="Rejected"/>
    <d v="2025-10-31T00:00:00"/>
    <n v="90"/>
    <s v="Laguna Residence"/>
    <s v="Tower B"/>
    <s v="Studio"/>
    <s v="B2714"/>
    <s v="Blocked"/>
    <x v="1"/>
    <s v="Hagop Karapetjan"/>
    <s v="Netherlands"/>
    <n v="0"/>
    <n v="0"/>
    <n v="894800"/>
    <n v="894800"/>
    <s v="Jude Kwakye"/>
    <s v=""/>
    <s v="a03J600000FmaPA"/>
    <s v="-"/>
    <s v="Not Available on Finance Tracker"/>
    <s v="No Payment"/>
    <n v="0"/>
    <s v="No"/>
    <s v="Cancelled as unit is not part of promotional offer list"/>
    <s v="Booking-1108 - Booking Rejection Request"/>
    <x v="14"/>
    <s v="Unit Not Part of Promotional List"/>
  </r>
  <r>
    <d v="2025-10-30T00:00:00"/>
    <d v="2025-10-31T00:00:00"/>
    <s v="Booking-1078"/>
    <s v="Rejected"/>
    <d v="2025-10-24T00:00:00"/>
    <n v="97"/>
    <s v="Laguna Residence"/>
    <s v="Tower B"/>
    <s v="Studio"/>
    <s v="B1311"/>
    <s v="Blocked"/>
    <x v="1"/>
    <s v="Poorva Avinash Rupawate"/>
    <s v="India"/>
    <n v="0"/>
    <n v="0"/>
    <n v="835000"/>
    <n v="835000"/>
    <s v="Jamil Ibrahim"/>
    <s v="BANKE INTERNATIONAL PROPERTIES L.L.C"/>
    <s v="a03J600000Fm7go"/>
    <s v="-"/>
    <s v="Not Available on Finance Tracker"/>
    <n v="16320"/>
    <n v="1.9544910179640718E-2"/>
    <s v="No"/>
    <s v="Customer requested to Swap to unit B1513. Unit Swapp Approved by Management"/>
    <s v="Booking-1078 - Booking Rejection Request"/>
    <x v="3"/>
    <s v="Swapped from B1311 to B1513"/>
  </r>
  <r>
    <d v="2025-10-28T00:00:00"/>
    <d v="2025-10-29T00:00:00"/>
    <s v="Booking-1084"/>
    <s v="Rejected"/>
    <d v="2025-10-27T00:00:00"/>
    <n v="94"/>
    <s v="Laguna Residence"/>
    <s v="Tower A"/>
    <s v="Studio"/>
    <s v="A1812"/>
    <s v="Booked"/>
    <x v="1"/>
    <s v="Syeda Sadiya"/>
    <s v="India"/>
    <n v="42000"/>
    <n v="4.8000000000000001E-2"/>
    <n v="833000"/>
    <n v="875000"/>
    <s v="Aqsa Bhatti"/>
    <s v="MUHAMMAD SAEEDI REAL ESTATE MANAGEMENT SUPERVISION SERVICES L.L.C"/>
    <s v="a03J600000FmEA4"/>
    <s v="-"/>
    <s v="Not Available on Finance Tracker"/>
    <s v="No Payment"/>
    <n v="0"/>
    <s v="N/A"/>
    <s v="Customer requested to Swap to unit B914. Unit Swapp Approved by Management"/>
    <s v="Booking-1084 - Booking Rejection Request"/>
    <x v="3"/>
    <s v="Swapped from A1812 to B914"/>
  </r>
  <r>
    <d v="2025-10-27T00:00:00"/>
    <d v="2025-10-28T00:00:00"/>
    <s v="Booking-776"/>
    <s v="Rejected"/>
    <d v="2025-06-17T00:00:00"/>
    <n v="226"/>
    <s v="Laguna Residence"/>
    <s v="Tower B"/>
    <s v="1 Bedroom"/>
    <s v="B403"/>
    <s v="Booked"/>
    <x v="1"/>
    <s v="Yousef Saeed Hamad Dalwan Alketbi"/>
    <s v="United Arab Emirates"/>
    <n v="85000"/>
    <n v="6.5485362095531588E-2"/>
    <n v="1213000"/>
    <n v="1298000"/>
    <s v="Feriel Dridi"/>
    <s v="Eleva Properties LLC"/>
    <s v="a03J6000009lyri"/>
    <s v="-"/>
    <s v="Not Available on Finance Tracker"/>
    <n v="50000"/>
    <n v="4.1220115416323165E-2"/>
    <s v="Yes"/>
    <s v="Customer requested to cancel Booking and for the paid amount to be refunded._x000a_Refund approved by Management"/>
    <s v="Booking-776 - Booking Rejection Request"/>
    <x v="1"/>
    <s v="Customer is unable to continue with the Purchase - Refund Requested"/>
  </r>
  <r>
    <d v="2025-10-21T00:00:00"/>
    <d v="2025-10-21T00:00:00"/>
    <s v="Booking-1023"/>
    <s v="Rejected"/>
    <d v="2025-09-30T00:00:00"/>
    <n v="121"/>
    <s v="Laguna Residence"/>
    <s v="Tower B"/>
    <s v="2 Bedroom"/>
    <s v="B1208"/>
    <s v="Booked"/>
    <x v="1"/>
    <s v="Aashish Bindra"/>
    <s v="India"/>
    <n v="0"/>
    <n v="0"/>
    <n v="1770000"/>
    <n v="1770000"/>
    <s v="Sumeet Mehta"/>
    <s v="ANCHORMAN REAL ESTATE L.L.C"/>
    <s v="a03J600000Bth5b"/>
    <s v="-"/>
    <s v="Not Available on Finance Tracker"/>
    <s v="No Payment"/>
    <n v="0"/>
    <s v="N/A"/>
    <s v="Cancelled due to Non Payment"/>
    <s v="Booking-1023 - Booking Rejection Request"/>
    <x v="5"/>
    <s v="Cancellation Request raised by Collections Team"/>
  </r>
  <r>
    <d v="2025-10-21T00:00:00"/>
    <d v="2025-10-21T00:00:00"/>
    <s v="Booking-1019"/>
    <s v="Rejected"/>
    <d v="2025-09-29T00:00:00"/>
    <n v="122"/>
    <s v="Laguna Residence"/>
    <s v="Tower B"/>
    <s v="Studio"/>
    <s v="B2503"/>
    <s v="SPA Executed"/>
    <x v="1"/>
    <s v="Achal Gupta"/>
    <s v="India"/>
    <n v="44300"/>
    <n v="0.05"/>
    <n v="841700"/>
    <n v="886000"/>
    <s v="Sumeet Mehta"/>
    <s v="ANCHORMAN REAL ESTATE L.L.C"/>
    <s v="a03J600000Btbev"/>
    <s v="-"/>
    <s v="Not Available on Finance Tracker"/>
    <s v="No Payment"/>
    <n v="0"/>
    <s v="N/A"/>
    <s v="Cancelled due to Non Payment"/>
    <s v="Booking-1019 - Booking Rejection Request"/>
    <x v="5"/>
    <s v="Cancellation Request raised by Collections Team"/>
  </r>
  <r>
    <d v="2025-10-21T00:00:00"/>
    <d v="2025-10-21T00:00:00"/>
    <s v="Booking-989"/>
    <s v="Rejected"/>
    <d v="2025-09-12T00:00:00"/>
    <n v="139"/>
    <s v="Laguna Residence"/>
    <s v="Tower A"/>
    <s v="3 Bedroom"/>
    <s v="A107"/>
    <s v="Blocked"/>
    <x v="1"/>
    <s v="Afrah Mohi Eldin Bilal Ali"/>
    <s v="Sudan"/>
    <n v="260600"/>
    <n v="0.05"/>
    <n v="4951400"/>
    <n v="5212000"/>
    <s v="Ahmed Eissa"/>
    <s v="STARS AND SANDS PROPERTIES L.L.C"/>
    <s v="a03J600000BsaJy"/>
    <s v="-"/>
    <s v="Not Available on Finance Tracker"/>
    <s v="No Payment"/>
    <n v="0"/>
    <s v="N/A"/>
    <s v="Cancelled due to Non Payment"/>
    <s v="Booking-989 - Booking Rejection Request"/>
    <x v="5"/>
    <s v="Cancellation Request raised by Collections Team"/>
  </r>
  <r>
    <d v="2025-10-21T00:00:00"/>
    <d v="2025-10-21T00:00:00"/>
    <s v="Booking-986"/>
    <s v="Rejected"/>
    <d v="2025-09-12T00:00:00"/>
    <n v="139"/>
    <s v="Laguna Residence"/>
    <s v="Tower A"/>
    <s v="2 Bedroom"/>
    <s v="A2122"/>
    <s v="Booked"/>
    <x v="1"/>
    <s v="Sharbel Chehade"/>
    <s v="Australia"/>
    <n v="132550"/>
    <n v="0.05"/>
    <n v="2518450"/>
    <n v="2651000"/>
    <s v="Fadwa Belkaid"/>
    <s v="SYKON PROPERTIES L.L.C"/>
    <s v="a03J600000BsZmC"/>
    <s v="-"/>
    <s v="Not Available on Finance Tracker"/>
    <s v="No Payment"/>
    <n v="0"/>
    <s v="N/A"/>
    <s v="Cancelled due to Non Payment"/>
    <s v="Booking-986 - Booking Rejection Request"/>
    <x v="5"/>
    <s v="Cancellation Request raised by Collections Team"/>
  </r>
  <r>
    <d v="2025-10-13T00:00:00"/>
    <d v="2025-10-15T00:00:00"/>
    <s v="Booking-966"/>
    <s v="Rejected"/>
    <d v="2025-09-03T00:00:00"/>
    <n v="148"/>
    <s v="Laguna Residence"/>
    <s v="Tower A"/>
    <s v="2 Bedroom"/>
    <s v="A801"/>
    <s v="Blocked"/>
    <x v="1"/>
    <s v="Joseph Mallekkattu"/>
    <s v="India"/>
    <n v="0"/>
    <n v="0"/>
    <n v="2526000"/>
    <n v="2526000"/>
    <s v="Yasmin Bahader"/>
    <s v="Poseidon Real Estate LLC"/>
    <s v="a03J600000Bs0mh"/>
    <s v="-"/>
    <s v="Not Available on Finance Tracker"/>
    <s v="No Payment"/>
    <n v="0"/>
    <s v="N/A"/>
    <s v="Cancelled due to Non Payment"/>
    <s v="Booking-966 - Booking Rejection Request"/>
    <x v="5"/>
    <s v="Cancellation Request raised by Collections Team"/>
  </r>
  <r>
    <d v="2025-10-13T00:00:00"/>
    <d v="2025-10-15T00:00:00"/>
    <s v="Booking-1017"/>
    <s v="Rejected"/>
    <d v="2025-09-26T00:00:00"/>
    <n v="125"/>
    <s v="Laguna Residence"/>
    <s v="Tower A"/>
    <s v="2 Bedroom"/>
    <s v="A2618"/>
    <s v="Available"/>
    <x v="1"/>
    <s v="Chidinma Joyce Odiaka"/>
    <s v="Nigeria"/>
    <n v="0"/>
    <n v="0"/>
    <n v="2706000"/>
    <n v="2706000"/>
    <s v="Hocem Amouri"/>
    <s v="SKYRAN REAL ESTATE L.L.C"/>
    <s v="a03J600000BtW0H"/>
    <s v="-"/>
    <s v="Not Available on Finance Tracker"/>
    <s v="No Payment"/>
    <n v="0"/>
    <s v="N/A"/>
    <s v="Cancelled due to Non Payment"/>
    <s v="Booking-1017 - Booking Rejection Request"/>
    <x v="5"/>
    <s v="Cancellation Request raised by Sales Operations Team"/>
  </r>
  <r>
    <d v="2025-10-13T00:00:00"/>
    <d v="2025-10-15T00:00:00"/>
    <s v="Booking-1016"/>
    <s v="Rejected"/>
    <d v="2025-09-25T00:00:00"/>
    <n v="126"/>
    <s v="Laguna Residence"/>
    <s v="Tower A"/>
    <s v="2 Bedroom"/>
    <s v="A2718"/>
    <s v="Available"/>
    <x v="1"/>
    <s v="Abubakar Salihu Sadiq"/>
    <s v="Nigeria"/>
    <n v="0"/>
    <n v="0"/>
    <n v="2675000"/>
    <n v="2675000"/>
    <s v="Hocem Amouri"/>
    <s v="SKYRAN REAL ESTATE L.L.C"/>
    <s v="a03J600000BtSoj"/>
    <s v="-"/>
    <s v="Not Available on Finance Tracker"/>
    <s v="No Payment"/>
    <n v="0"/>
    <s v="N/A"/>
    <s v="Cancelled due to Non Payment"/>
    <s v="Booking-1016 - Booking Rejection Request"/>
    <x v="5"/>
    <s v="Cancellation Request raised by Sales Operations Team"/>
  </r>
  <r>
    <d v="2025-10-13T00:00:00"/>
    <d v="2025-10-15T00:00:00"/>
    <s v="Booking-1015"/>
    <s v="Rejected"/>
    <d v="2025-09-25T00:00:00"/>
    <n v="126"/>
    <s v="Laguna Residence"/>
    <s v="Tower A"/>
    <s v="2 Bedroom"/>
    <s v="A3118"/>
    <s v="Available"/>
    <x v="1"/>
    <s v="Angela Luyanda Portia Gqirana"/>
    <s v="South Africa"/>
    <n v="0"/>
    <n v="0"/>
    <n v="2696000"/>
    <n v="2696000"/>
    <s v="Nihal Mohamed"/>
    <s v="SKYRAN REAL ESTATE L.L.C"/>
    <s v="a03J600000BtSnl"/>
    <s v="-"/>
    <s v="Not Available on Finance Tracker"/>
    <s v="No Payment"/>
    <n v="0"/>
    <s v="N/A"/>
    <s v="Cancelled due to Non Payment"/>
    <s v="Booking-1015 - Booking Rejection Request"/>
    <x v="5"/>
    <s v="Cancellation Request raised by Sales Operations Team"/>
  </r>
  <r>
    <d v="2025-10-08T00:00:00"/>
    <d v="2025-10-08T00:00:00"/>
    <s v="Booking-1050"/>
    <s v="Rejected"/>
    <d v="2025-10-07T00:00:00"/>
    <n v="114"/>
    <s v="Laguna Residence"/>
    <s v="Tower B"/>
    <s v="Studio"/>
    <s v="B1205"/>
    <s v="SPA Executed"/>
    <x v="1"/>
    <s v="Haaris Aslam Selia"/>
    <s v="India"/>
    <n v="0"/>
    <n v="0"/>
    <n v="755000"/>
    <n v="755000"/>
    <s v="Amal El Gendy"/>
    <s v="R E M REAL ESTATE BROKER OWNED BY MUNA SAYED SAEED ALHASHEMI"/>
    <s v="a03J600000Bu1f5"/>
    <s v="-"/>
    <s v="Not Available on Finance Tracker"/>
    <s v="No Payment"/>
    <n v="0"/>
    <s v="N/A"/>
    <s v="Duplicate Booking for unit B1205. (Unit was sold to another customer - Booking-509) Unit status was manually updated to Blocked creating the error._x000a_Unit B2005 booked under Booking-1052"/>
    <s v="Booking-1050 - Booking Rejection Request"/>
    <x v="12"/>
    <s v="Duplicate Booking"/>
  </r>
  <r>
    <d v="2025-10-07T00:00:00"/>
    <d v="2025-10-09T00:00:00"/>
    <s v="Booking-1040"/>
    <s v="Rejected"/>
    <d v="2025-10-06T00:00:00"/>
    <n v="115"/>
    <s v="Laguna Residence"/>
    <s v="Tower B"/>
    <s v="1 Bedroom"/>
    <s v="B1103"/>
    <s v="Available"/>
    <x v="1"/>
    <s v="Basel Amin Yahia"/>
    <s v="Syria"/>
    <n v="63000"/>
    <n v="3.9647577092511016E-2"/>
    <n v="1526000"/>
    <n v="1589000"/>
    <s v="Fadi Ismander"/>
    <s v="RISE PROPERTIES L.L.C"/>
    <s v="a03J600000Bty49"/>
    <s v="-"/>
    <s v="Not Available on Finance Tracker"/>
    <s v="No Payment"/>
    <n v="0"/>
    <s v="N/A"/>
    <s v="Customer requested to cancel"/>
    <s v="Booking-1040 - Booking Rejection Request"/>
    <x v="1"/>
    <s v="Customer is unable to continue with the Purchase"/>
  </r>
  <r>
    <d v="2025-10-06T00:00:00"/>
    <d v="2025-10-09T00:00:00"/>
    <s v="Booking-1022"/>
    <s v="Rejected"/>
    <d v="2025-09-30T00:00:00"/>
    <n v="121"/>
    <s v="Do Dubai Island"/>
    <s v="Tower 1"/>
    <s v="1 Bedroom"/>
    <s v="316"/>
    <s v="Blocked"/>
    <x v="1"/>
    <s v="Soufian Chamlal"/>
    <s v="Netherlands"/>
    <n v="0"/>
    <n v="0"/>
    <n v="2218000"/>
    <n v="2218000"/>
    <s v="Joudy Shaker"/>
    <s v="GLOBEX REAL ESTATE L L C"/>
    <s v="a03J600000BtgwE"/>
    <s v="-"/>
    <s v="Not Available on Finance Tracker"/>
    <s v="No Payment"/>
    <n v="0"/>
    <s v="N/A"/>
    <s v="Cancellation raised by Sales Manager as no payment was received and the unit was booked under the Brokers Name"/>
    <s v="Booking-1022 - Booking Rejection Request"/>
    <x v="5"/>
    <s v="Cancellation Request raised by Sales Operations Team"/>
  </r>
  <r>
    <d v="2025-10-06T00:00:00"/>
    <d v="2025-10-09T00:00:00"/>
    <s v="Booking-1021"/>
    <s v="Rejected"/>
    <d v="2025-09-30T00:00:00"/>
    <n v="121"/>
    <s v="Laguna Residence"/>
    <s v="Tower A"/>
    <s v="2 Bedroom"/>
    <s v="A2107"/>
    <s v="Booked"/>
    <x v="1"/>
    <s v="Soufian Chamlal"/>
    <s v="Netherlands"/>
    <n v="0"/>
    <n v="0"/>
    <n v="1917000"/>
    <n v="1917000"/>
    <s v="Joudy Shaker"/>
    <s v="GLOBEX REAL ESTATE L L C"/>
    <s v="a03J600000Btgwh"/>
    <s v="-"/>
    <s v="Not Available on Finance Tracker"/>
    <s v="No Payment"/>
    <n v="0"/>
    <s v="N/A"/>
    <s v="Cancellation raised by Sales Manager as no payment was received and the unit was booked under the Brokers Name"/>
    <s v="Booking-1021 - Booking Rejection Request"/>
    <x v="5"/>
    <s v="Cancellation Request raised by Sales Operations Team"/>
  </r>
  <r>
    <d v="2025-10-04T00:00:00"/>
    <d v="2025-10-07T00:00:00"/>
    <s v="Booking-1002"/>
    <s v="Rejected"/>
    <d v="2025-09-19T00:00:00"/>
    <n v="132"/>
    <s v="Laguna Residence"/>
    <s v="Tower A"/>
    <s v="2 Bedroom"/>
    <s v="A4005"/>
    <s v="Blocked"/>
    <x v="1"/>
    <s v="Ibrahim Caner Ozger"/>
    <s v="Turkey"/>
    <n v="250354"/>
    <n v="9.4401960784313732E-2"/>
    <n v="2401646"/>
    <n v="2652000"/>
    <s v="Mariam Shakuhi"/>
    <s v=""/>
    <s v="a03J600000Bsxl8"/>
    <s v="-"/>
    <s v="Not Available on Finance Tracker"/>
    <n v="10000"/>
    <n v="4.1638109862985632E-3"/>
    <s v="No"/>
    <s v="Unit Swapped with A2101 as approved by Management"/>
    <s v="Booking-1002 - Booking Rejection Request"/>
    <x v="3"/>
    <s v="Swapped from A4005 to A2101"/>
  </r>
  <r>
    <d v="2025-10-04T00:00:00"/>
    <d v="2025-10-07T00:00:00"/>
    <s v="Booking-1001"/>
    <s v="Rejected"/>
    <d v="2025-09-19T00:00:00"/>
    <n v="132"/>
    <s v="Laguna Residence"/>
    <s v="Tower A"/>
    <s v="2 Bedroom"/>
    <s v="A4105"/>
    <s v="Blocked"/>
    <x v="1"/>
    <s v="Muhammed Devvud"/>
    <s v="Turkey"/>
    <n v="208880"/>
    <n v="0.08"/>
    <n v="2402120"/>
    <n v="2611000"/>
    <s v="Mariam Shakuhi"/>
    <s v=""/>
    <s v="a03J600000Bsxkr"/>
    <s v="-"/>
    <s v="Not Available on Finance Tracker"/>
    <n v="10000"/>
    <n v="4.1629893593991977E-3"/>
    <s v="No"/>
    <s v="Unit Swapped with A2001 as approved by Management"/>
    <s v="Booking-1001 - Booking Rejection Request"/>
    <x v="3"/>
    <s v="Swapped from A4105 to A2001"/>
  </r>
  <r>
    <d v="2025-10-03T00:00:00"/>
    <d v="2025-10-06T00:00:00"/>
    <s v="Booking-1030"/>
    <s v="Rejected"/>
    <d v="2025-10-03T00:00:00"/>
    <n v="118"/>
    <s v="Laguna Residence"/>
    <s v="Tower B"/>
    <s v="2 Bedroom"/>
    <s v="B2402"/>
    <s v="Booked"/>
    <x v="1"/>
    <s v="Rami Kamaleldin Elnour Fadul"/>
    <s v="Sudan"/>
    <n v="0"/>
    <n v="0"/>
    <n v="2252000"/>
    <n v="2252000"/>
    <s v="Mohamed El Shimy"/>
    <s v="Eleva Properties LLC"/>
    <s v="a03J600000Btrkg"/>
    <s v="-"/>
    <s v="Not Available on Finance Tracker"/>
    <s v="No Payment"/>
    <n v="0"/>
    <s v="N/A"/>
    <s v="Booking was created under wrong Customer Name"/>
    <s v="Booking-1030 - Booking Rejection Request"/>
    <x v="15"/>
    <s v="Unit was to be booked under &quot;Dilier Sanchez Mora&quot; "/>
  </r>
  <r>
    <d v="2025-09-30T00:00:00"/>
    <d v="2025-09-30T00:00:00"/>
    <s v="Booking-956"/>
    <s v="Rejected"/>
    <d v="2025-08-28T00:00:00"/>
    <n v="154"/>
    <s v="Do Dubai Island"/>
    <s v="Tower 1"/>
    <s v="Studio"/>
    <s v="110"/>
    <s v="SPA Executed"/>
    <x v="1"/>
    <s v="Stanislav Krulic"/>
    <s v="Croatia"/>
    <n v="19000"/>
    <n v="1.52E-2"/>
    <n v="1231000"/>
    <n v="1250000"/>
    <s v="Zeynep Mustekin"/>
    <s v="CAMELIA REAL ESTATE"/>
    <s v="a03J600000Brhg4"/>
    <s v="-"/>
    <s v="Not Available on Finance Tracker"/>
    <n v="50000"/>
    <n v="4.0617384240454912E-2"/>
    <s v="No"/>
    <s v="Cancelled due to Non Payment"/>
    <s v="Booking-956 - Booking Rejection Request"/>
    <x v="5"/>
    <s v="Cancellation Request raised by Collections Team"/>
  </r>
  <r>
    <d v="2025-09-30T00:00:00"/>
    <d v="2025-10-09T00:00:00"/>
    <s v="Booking-980"/>
    <s v="Rejected"/>
    <d v="2025-09-09T00:00:00"/>
    <n v="142"/>
    <s v="Laguna Residence"/>
    <s v="Tower A"/>
    <s v="Studio"/>
    <s v="A2112"/>
    <s v="Blocked"/>
    <x v="1"/>
    <s v="Shiv Gupta"/>
    <s v="India"/>
    <n v="41900"/>
    <n v="0.05"/>
    <n v="796100"/>
    <n v="838000"/>
    <s v="Jude Kwakye"/>
    <s v="SOVEEREIGN ASSETS REAL ESTATE L.L.C"/>
    <s v="a03J600000BsM90"/>
    <s v="-"/>
    <s v="Not Available on Finance Tracker"/>
    <n v="19942.25"/>
    <n v="2.5049930913201859E-2"/>
    <s v="No"/>
    <s v="Customer requested cancel as he is unable to make further payments and has requested for refund"/>
    <s v="Booking-980 - Booking Rejection Request"/>
    <x v="1"/>
    <s v="Customer is unable to continue with the Purchase - Refund Requested"/>
  </r>
  <r>
    <d v="2025-09-29T00:00:00"/>
    <d v="2025-10-09T00:00:00"/>
    <s v="Booking-701"/>
    <s v="Rejected"/>
    <d v="2025-05-30T00:00:00"/>
    <n v="244"/>
    <s v="Laguna Residence"/>
    <s v="Tower B"/>
    <s v="Studio"/>
    <s v="B2006"/>
    <s v="SPA Executed"/>
    <x v="1"/>
    <s v="Hawbir Hassan"/>
    <s v="Netherlands"/>
    <n v="55800"/>
    <n v="6.6192170818505341E-2"/>
    <n v="787200"/>
    <n v="843000"/>
    <s v="Joudy Shaker"/>
    <s v="GLOBEX REAL ESTATE L L C"/>
    <s v="a03J6000009l02q"/>
    <s v="-"/>
    <s v="Not Available on Finance Tracker"/>
    <n v="192000"/>
    <n v="0.24390243902439024"/>
    <s v="No"/>
    <s v="Customer requested to Change Ownership from Hawbir Hassan to Riad El Kaddouri"/>
    <s v="Booking-701 - Booking Rejection Request"/>
    <x v="9"/>
    <s v="From Hawbir Hassan to Riad El Kaddouri"/>
  </r>
  <r>
    <d v="2025-09-29T00:00:00"/>
    <d v="2025-10-09T00:00:00"/>
    <s v="Booking-700"/>
    <s v="Rejected"/>
    <d v="2025-05-30T00:00:00"/>
    <n v="244"/>
    <s v="Laguna Residence"/>
    <s v="Tower B"/>
    <s v="Studio"/>
    <s v="B1906"/>
    <s v="SPA Executed"/>
    <x v="1"/>
    <s v="Hawbir Hassan"/>
    <s v="Netherlands"/>
    <n v="56000"/>
    <n v="6.5420560747663545E-2"/>
    <n v="800000"/>
    <n v="856000"/>
    <s v="Joudy Shaker"/>
    <s v="GLOBEX REAL ESTATE L L C"/>
    <s v="a03J6000009l01j"/>
    <s v="-"/>
    <s v="Not Available on Finance Tracker"/>
    <n v="188928"/>
    <n v="0.23616000000000001"/>
    <s v="No"/>
    <s v="Customer requested to Change Ownership from Hawbir Hassan to Rojbin Saeed"/>
    <s v="Booking-700 - Booking Rejection Request"/>
    <x v="9"/>
    <s v="From Hawbir Hassan to Rojbin Saeed"/>
  </r>
  <r>
    <d v="2025-09-29T00:00:00"/>
    <d v="2025-09-29T00:00:00"/>
    <s v="Booking-851"/>
    <s v="Rejected"/>
    <d v="2025-07-26T00:00:00"/>
    <n v="187"/>
    <s v="Laguna Residence"/>
    <s v="Tower A"/>
    <s v="Studio"/>
    <s v="A419"/>
    <s v="Booked"/>
    <x v="1"/>
    <s v="Kerstin Schimkus"/>
    <s v="Germany"/>
    <n v="55025"/>
    <n v="7.0999999999999994E-2"/>
    <n v="719975"/>
    <n v="775000"/>
    <s v="Joudy Shaker"/>
    <s v="FNM PROPERTIES LLC"/>
    <s v="a03J6000009o5SN"/>
    <s v="-"/>
    <s v="Not Available on Finance Tracker"/>
    <n v="32474"/>
    <n v="4.5104343900829888E-2"/>
    <s v="No"/>
    <s v="Cancelled due to Non Payment"/>
    <s v="Booking-851 - Booking Rejection Request"/>
    <x v="5"/>
    <s v="Cancellation Request raised by Collections Team"/>
  </r>
  <r>
    <d v="2025-09-29T00:00:00"/>
    <d v="2025-09-29T00:00:00"/>
    <s v="Booking-683"/>
    <s v="Rejected"/>
    <d v="2025-05-23T00:00:00"/>
    <n v="251"/>
    <s v="Laguna Residence"/>
    <s v="Tower B"/>
    <s v="Studio"/>
    <s v="B1306"/>
    <s v="SPA Executed"/>
    <x v="1"/>
    <s v="Hamad Bader Ahmed Ali Alyafei"/>
    <s v="United Arab Emirates"/>
    <n v="55060"/>
    <n v="6.6098439375750301E-2"/>
    <n v="777940"/>
    <n v="833000"/>
    <s v="Joudy Shaker"/>
    <s v="Unique Properties L.L.C"/>
    <s v="a03J6000009kab1"/>
    <s v="-"/>
    <s v="Not Available on Finance Tracker"/>
    <n v="25000"/>
    <n v="3.2136154459212793E-2"/>
    <s v="No"/>
    <s v="Cancelled due to Non Payment"/>
    <s v="Booking-683 - Booking Rejection Request"/>
    <x v="5"/>
    <s v="Cancellation Request raised by Collections Team"/>
  </r>
  <r>
    <d v="2025-09-24T00:00:00"/>
    <d v="2025-09-24T00:00:00"/>
    <s v="Booking-957"/>
    <s v="Rejected"/>
    <d v="2025-08-28T00:00:00"/>
    <n v="154"/>
    <s v="Do Dubai Island"/>
    <s v="Tower 1"/>
    <s v="Studio"/>
    <s v="112"/>
    <s v="SPA Executed"/>
    <x v="1"/>
    <s v="Murat Gumusluol"/>
    <s v="Turkey"/>
    <n v="59000"/>
    <n v="4.7967479674796747E-2"/>
    <n v="1171000"/>
    <n v="1230000"/>
    <s v="Ramy Abdelsalam"/>
    <s v="HAKI MULTIMODAL LOJISTIK HIZMETLERI ANONIM SIRKETI"/>
    <s v="a03J600000Brj9X"/>
    <s v="-"/>
    <s v="Not Available on Finance Tracker"/>
    <n v="25000"/>
    <n v="2.1349274124679761E-2"/>
    <s v="No"/>
    <s v="Cancelled due to Non Payment"/>
    <s v="Booking-957 - Booking Rejection Request"/>
    <x v="5"/>
    <s v="Cancellation Request raised by Collections Team"/>
  </r>
  <r>
    <d v="2025-09-23T00:00:00"/>
    <d v="2025-09-24T00:00:00"/>
    <s v="Booking-916"/>
    <s v="Rejected"/>
    <d v="2025-08-18T00:00:00"/>
    <n v="164"/>
    <s v="Do Dubai Island"/>
    <s v="Tower 1"/>
    <s v="Studio"/>
    <s v="318"/>
    <s v="SPA Executed"/>
    <x v="1"/>
    <s v="Denisa Freundova"/>
    <s v="Slovakia"/>
    <n v="0"/>
    <n v="0"/>
    <n v="1161000"/>
    <n v="1161000"/>
    <s v="Gulnoz Khodjayeva"/>
    <s v="MOVE HOMES REAL ESTATE BROKERS L.L.C"/>
    <s v="a03J600000Br87K"/>
    <s v="-"/>
    <s v="Not Available on Finance Tracker"/>
    <n v="49925"/>
    <n v="4.3001722652885446E-2"/>
    <s v="No"/>
    <s v="Cancelled due to Non Payment"/>
    <s v="Booking-916 - Booking Rejection Request"/>
    <x v="5"/>
    <s v="Cancellation Request raised by Collections Team"/>
  </r>
  <r>
    <d v="2025-09-22T00:00:00"/>
    <d v="2025-09-24T00:00:00"/>
    <s v="Booking-982"/>
    <s v="Rejected"/>
    <d v="2025-09-09T00:00:00"/>
    <n v="142"/>
    <s v="Laguna Residence"/>
    <s v="Tower A"/>
    <s v="Studio"/>
    <s v="A1014"/>
    <s v="Booked"/>
    <x v="1"/>
    <s v="Hayder Abbas Ahmed Al Iessa"/>
    <s v="Iraq"/>
    <n v="30999.97"/>
    <n v="3.870158551810237E-2"/>
    <n v="770000.03281799995"/>
    <n v="801000"/>
    <s v="Mohamed El Shimy"/>
    <s v="Eleva Properties LLC"/>
    <s v="a03J600000BsMq5"/>
    <s v="-"/>
    <s v="Not Available on Finance Tracker"/>
    <n v="25000"/>
    <n v="3.2467531083740994E-2"/>
    <s v="Yes"/>
    <s v="Cancelled due to Non Payment"/>
    <s v="Booking-982 - Booking Rejection Request"/>
    <x v="5"/>
    <s v="Cancellation Request raised by Collections Team"/>
  </r>
  <r>
    <d v="2025-09-18T00:00:00"/>
    <d v="2025-09-18T00:00:00"/>
    <s v="Booking-774"/>
    <s v="Rejected"/>
    <d v="2025-06-17T00:00:00"/>
    <n v="226"/>
    <s v="Laguna Residence"/>
    <s v="Tower B"/>
    <s v="Studio"/>
    <s v="B405"/>
    <s v="SPA Executed"/>
    <x v="1"/>
    <s v="Katharina Junimann Appelhans"/>
    <s v="Germany"/>
    <n v="52200"/>
    <n v="6.5660377358490563E-2"/>
    <n v="742800"/>
    <n v="795000"/>
    <s v="Joudy Shaker"/>
    <s v="FNM PROPERTIES LLC"/>
    <s v="a03J6000009lyYB"/>
    <s v="-"/>
    <s v="Not Available on Finance Tracker"/>
    <s v="No Payment"/>
    <n v="0"/>
    <s v="N/A"/>
    <s v="Customer requested to Change Ownership from Katharina Junimann Appelhans to Helena Erbis"/>
    <s v="Booking-774 - Booking Rejection Request"/>
    <x v="9"/>
    <s v="From Katharina Junimann Appelhans to Helena Erbis"/>
  </r>
  <r>
    <d v="2025-09-17T00:00:00"/>
    <d v="2025-09-18T00:00:00"/>
    <s v="Booking-783"/>
    <s v="Rejected"/>
    <d v="2025-06-20T00:00:00"/>
    <n v="223"/>
    <s v="Laguna Residence"/>
    <s v="Tower A"/>
    <s v="Studio"/>
    <s v="A2115"/>
    <s v="SPA Executed"/>
    <x v="1"/>
    <s v="ANJA SPRINZ"/>
    <s v="Germany"/>
    <n v="51113"/>
    <n v="6.561360718870346E-2"/>
    <n v="727887"/>
    <n v="779000"/>
    <s v="Joudy Shaker"/>
    <s v="FNM PROPERTIES LLC"/>
    <s v="a03J6000009mBJ1"/>
    <s v="-"/>
    <s v="Not Available on Finance Tracker"/>
    <n v="32790.480000000003"/>
    <n v="4.5048860606110568E-2"/>
    <s v="No"/>
    <s v="Cancelled due to Non Payment"/>
    <s v="Booking-783 - Booking Rejection Request"/>
    <x v="5"/>
    <s v="Cancellation Request raised by Collections Team"/>
  </r>
  <r>
    <d v="2025-09-16T00:00:00"/>
    <d v="2025-09-22T00:00:00"/>
    <s v="Booking-711"/>
    <s v="Rejected"/>
    <d v="2025-06-07T00:00:00"/>
    <n v="236"/>
    <s v="Laguna Residence"/>
    <s v="Tower B"/>
    <s v="1 Bedroom"/>
    <s v="B323"/>
    <s v="SPA Executed"/>
    <x v="1"/>
    <s v="Sivakeerthi Kumarathas"/>
    <s v="United Kingdom"/>
    <n v="128000"/>
    <n v="9.8461538461538461E-2"/>
    <n v="1172000"/>
    <n v="1300000"/>
    <s v="Aqsa Bhatti"/>
    <s v="CHALET INTERNATIONAL REAL ESTATE L.L.C"/>
    <s v="a03J6000009lRBS"/>
    <s v="-"/>
    <s v="Not Available on Finance Tracker"/>
    <n v="45000"/>
    <n v="3.839590443686007E-2"/>
    <s v="No"/>
    <s v="Cancelled due to Non Payment"/>
    <s v="Booking-711 - Booking Rejection Request"/>
    <x v="5"/>
    <s v="Cancellation Request raised by Collections Team"/>
  </r>
  <r>
    <d v="2025-09-16T00:00:00"/>
    <d v="2025-09-22T00:00:00"/>
    <s v="Booking-657"/>
    <s v="Rejected"/>
    <d v="2025-05-10T00:00:00"/>
    <n v="264"/>
    <s v="Laguna Residence"/>
    <s v="Tower A"/>
    <s v="Studio"/>
    <s v="A1311"/>
    <s v="Booked"/>
    <x v="1"/>
    <s v="Sivakeerthi Kumarathas"/>
    <s v="United Kingdom"/>
    <n v="101746"/>
    <n v="0.12879240506329115"/>
    <n v="688254"/>
    <n v="790000"/>
    <s v="Aiham Addi"/>
    <s v="CHALET INTERNATIONAL REAL ESTATE L.L.C"/>
    <s v="a03J60000082sgj"/>
    <s v="-"/>
    <n v="5000"/>
    <n v="68825.399999999994"/>
    <n v="9.9999999999999992E-2"/>
    <s v="No"/>
    <s v="Cancelled due to Non Payment"/>
    <s v="Booking-657 - Booking Rejection Request"/>
    <x v="5"/>
    <s v="Cancellation Request raised by Collections Team"/>
  </r>
  <r>
    <d v="2025-09-15T00:00:00"/>
    <d v="2025-09-18T00:00:00"/>
    <s v="Booking-971"/>
    <s v="Rejected"/>
    <d v="2025-09-04T00:00:00"/>
    <n v="147"/>
    <s v="Laguna Residence"/>
    <s v="Tower B"/>
    <s v="Studio"/>
    <s v="B3103"/>
    <s v="Blocked"/>
    <x v="1"/>
    <s v="Mohammed Fardin Khan"/>
    <s v="United States of America"/>
    <n v="0"/>
    <n v="0"/>
    <n v="941000"/>
    <n v="941000"/>
    <s v="Ramy Abdelsalam"/>
    <s v="Sevenx Properties LLC"/>
    <s v="a03J600000Bs5Zm"/>
    <s v="-"/>
    <s v="Not Available on Finance Tracker"/>
    <n v="5000"/>
    <n v="5.3134962805526037E-3"/>
    <s v="No"/>
    <s v="Request received from Sales Manager | Sales Director to cancel the booking as customer booked another unit on the same day (Booking- 973 - B3012)"/>
    <s v="Booking-971 - Booking Rejection Request"/>
    <x v="3"/>
    <s v="Swapped from B3103 to B3012"/>
  </r>
  <r>
    <d v="2025-09-15T00:00:00"/>
    <d v="2025-09-16T00:00:00"/>
    <s v="Booking-935"/>
    <s v="Rejected"/>
    <d v="2025-08-21T00:00:00"/>
    <n v="161"/>
    <s v="Do Dubai Island"/>
    <s v="Tower 1"/>
    <s v="Studio"/>
    <s v="107"/>
    <s v="SPA Executed"/>
    <x v="1"/>
    <s v="Onur Tukel"/>
    <s v="Canada"/>
    <n v="25920"/>
    <n v="0.02"/>
    <n v="1270080"/>
    <n v="1296000"/>
    <s v="Zeynep Mustekin"/>
    <s v="Parcel Real Estates L.L.C"/>
    <s v="a03J600000BrKLL"/>
    <s v="-"/>
    <s v="Not Available on Finance Tracker"/>
    <n v="31700"/>
    <n v="2.4959057697152936E-2"/>
    <s v="No"/>
    <s v="Customer requested to Change Ownership from Onur Tukel to Burhan Tukel"/>
    <s v="Booking-935 - Booking Rejection Request"/>
    <x v="9"/>
    <s v="From Onur Tukel to Burhan Tukel"/>
  </r>
  <r>
    <d v="2025-09-15T00:00:00"/>
    <d v="2025-09-15T00:00:00"/>
    <s v="Booking-884"/>
    <s v="Rejected"/>
    <d v="2025-08-09T00:00:00"/>
    <n v="173"/>
    <s v="Laguna Residence"/>
    <s v="Tower B"/>
    <s v="2 Bedroom"/>
    <s v="B308"/>
    <s v="Blocked"/>
    <x v="1"/>
    <s v="Touria Agallouch"/>
    <s v="Morocco"/>
    <n v="151363.5"/>
    <n v="8.9300000000000004E-2"/>
    <n v="1543636.5"/>
    <n v="1695000"/>
    <s v="Mohamed El Shimy"/>
    <s v=""/>
    <s v="a03J600000BqiQg"/>
    <s v="-"/>
    <s v="Not Available on Finance Tracker"/>
    <m/>
    <n v="0"/>
    <m/>
    <s v="As per the system, cancellation reason _x000a_'Management Cancelation Request'"/>
    <s v="No Email"/>
    <x v="11"/>
    <s v="Mohammed El Shimmy - Part of the Bulk Deal"/>
  </r>
  <r>
    <d v="2025-09-11T00:00:00"/>
    <d v="2025-09-11T00:00:00"/>
    <s v="Booking-879"/>
    <s v="Rejected"/>
    <d v="2025-08-08T00:00:00"/>
    <n v="174"/>
    <s v="Laguna Residence"/>
    <s v="Tower A"/>
    <s v="2 Bedroom"/>
    <s v="A106"/>
    <s v="Booked"/>
    <x v="1"/>
    <s v="Daniel Phinn"/>
    <s v="United Kingdom"/>
    <n v="119350"/>
    <n v="0.05"/>
    <n v="2267650"/>
    <n v="2387000"/>
    <s v="Claire Moussa"/>
    <s v="Paul Anthony Smith"/>
    <s v="a03J600000Bqgbk"/>
    <s v="-"/>
    <s v="Not Available on Finance Tracker"/>
    <s v="No Payment"/>
    <s v="N/A"/>
    <s v="N/A"/>
    <s v="Cancelled due to Non Payment"/>
    <s v="Booking-879 - Booking Rejection Request"/>
    <x v="5"/>
    <s v="Cancellation Request raised by Collections Team"/>
  </r>
  <r>
    <d v="2025-09-11T00:00:00"/>
    <d v="2025-09-12T00:00:00"/>
    <s v="Booking-882"/>
    <s v="Rejected"/>
    <d v="2025-08-09T00:00:00"/>
    <n v="173"/>
    <s v="Laguna Residence"/>
    <s v="Tower B"/>
    <s v="2 Bedroom"/>
    <s v="B917"/>
    <s v="Blocked"/>
    <x v="1"/>
    <s v="Abdelkarim Ghaizi"/>
    <s v="Tunisia"/>
    <n v="40150"/>
    <n v="2.5000000000000001E-2"/>
    <n v="1565850"/>
    <n v="1606000"/>
    <s v="Mohamed El Shimy"/>
    <s v=""/>
    <s v="a03J600000BqiQI"/>
    <s v="-"/>
    <s v="Not Available on Finance Tracker"/>
    <s v="No Payment"/>
    <s v="N/A"/>
    <s v="N/A"/>
    <s v="Unit Swapped with B817 as approved by Management"/>
    <s v="Booking-882 - Booking Rejection Request"/>
    <x v="3"/>
    <s v="Swapped from B917 to B817"/>
  </r>
  <r>
    <d v="2025-09-11T00:00:00"/>
    <d v="2025-09-22T00:00:00"/>
    <s v="Booking-505"/>
    <s v="Rejected"/>
    <d v="2025-03-15T00:00:00"/>
    <n v="320"/>
    <s v="Laguna Residence"/>
    <s v="Tower A"/>
    <s v="2 Bedroom"/>
    <s v="A103"/>
    <s v="Available"/>
    <x v="1"/>
    <s v="Moinuddin Mansuri"/>
    <s v="India"/>
    <n v="161399"/>
    <n v="6.5582689963429502E-2"/>
    <n v="2299601"/>
    <n v="2461000"/>
    <s v="Amal El Gendy"/>
    <s v="R E M REAL ESTATE BROKER OWNED BY MUNA SAYED SAEED ALHASHEMI"/>
    <s v="a03J6000007zo3p"/>
    <s v="21502"/>
    <n v="7000"/>
    <n v="100000"/>
    <n v="4.3485804711339053E-2"/>
    <s v="No"/>
    <s v="Cancelled due to Non Payment"/>
    <s v="Booking-505 - Booking Rejection Request"/>
    <x v="5"/>
    <s v="Cancellation Request raised by Collections Team"/>
  </r>
  <r>
    <d v="2025-09-09T00:00:00"/>
    <d v="2025-09-09T00:00:00"/>
    <s v="Booking-972"/>
    <s v="Rejected"/>
    <d v="2025-09-04T00:00:00"/>
    <n v="147"/>
    <s v="Laguna Residence"/>
    <s v="Tower A"/>
    <s v="2 Bedroom"/>
    <s v="A1801"/>
    <s v="SPA Executed"/>
    <x v="1"/>
    <s v="Joseph Mallekkattu"/>
    <s v="India"/>
    <n v="129450"/>
    <n v="0.05"/>
    <n v="2459550"/>
    <n v="2589000"/>
    <s v="Yasmin Bahader"/>
    <s v="RANGE INTERNATIONAL PROPERTY INVESTMENT ONE PERSON COMPANY L.L.C"/>
    <s v="a03J600000Bs7ad"/>
    <s v="-"/>
    <s v="Not Available on Finance Tracker"/>
    <n v="50000"/>
    <n v="2.0328921957268604E-2"/>
    <s v="No"/>
    <s v="Unit was initially booked with Joint Owner. Customer requested to cancel in order to book under single owner for Golden Visa Process. Funds to be reallocated to single owner Dr. Ajoy"/>
    <s v="Booking-972 - Booking Rejection Request"/>
    <x v="9"/>
    <s v="From Joint Ownership to Single Ownership"/>
  </r>
  <r>
    <d v="2025-09-08T00:00:00"/>
    <d v="2025-09-11T00:00:00"/>
    <s v="Booking-968"/>
    <s v="Rejected"/>
    <d v="2025-09-03T00:00:00"/>
    <n v="148"/>
    <s v="Laguna Residence"/>
    <s v="Tower A"/>
    <s v="Studio"/>
    <s v="A3103"/>
    <s v="SPA Executed"/>
    <x v="1"/>
    <s v="Vishal Sardana"/>
    <s v="Australia"/>
    <n v="0"/>
    <n v="0"/>
    <n v="896000"/>
    <n v="896000"/>
    <s v="Fadwa Belkaid"/>
    <s v="Blaze Realty L.L.C"/>
    <s v="a03J600000Bs37n"/>
    <s v="-"/>
    <s v="Not Available on Finance Tracker"/>
    <n v="2400"/>
    <n v="2.6785714285714286E-3"/>
    <s v="N/A"/>
    <s v="Customer requested to Cancel as mentioned by Sales Manager. Request to reallocate paid funds to different unit - B2612 (Booking-978)"/>
    <s v="Booking-968 - Booking Rejection Request"/>
    <x v="1"/>
    <s v="Paid Amount allocated to unit B2612"/>
  </r>
  <r>
    <d v="2025-09-03T00:00:00"/>
    <d v="2025-09-04T00:00:00"/>
    <s v="Booking-964"/>
    <s v="Rejected"/>
    <d v="2025-09-02T00:00:00"/>
    <n v="149"/>
    <s v="Do Dubai Island"/>
    <s v="Tower 1"/>
    <s v="1 Bedroom"/>
    <s v="403"/>
    <s v="SPA Executed"/>
    <x v="1"/>
    <s v="Sriram Rajagopalan Rajagopalan"/>
    <s v="India"/>
    <n v="0"/>
    <n v="0"/>
    <n v="2646000"/>
    <n v="2646000"/>
    <s v="Ramy Abdelsalam"/>
    <s v="Gwt real estate agent"/>
    <s v="a03J600000BrxUQ"/>
    <s v="-"/>
    <s v="Not Available on Finance Tracker"/>
    <s v="No Payment"/>
    <s v="N/A"/>
    <s v="N/A"/>
    <s v="As per the system, customer requested to cancel"/>
    <s v="No Email"/>
    <x v="3"/>
    <s v="Swapped from 403 to 420 (Upgrade)"/>
  </r>
  <r>
    <d v="2025-08-29T00:00:00"/>
    <d v="2025-09-01T00:00:00"/>
    <s v="Booking-874"/>
    <s v="Rejected"/>
    <d v="2025-08-06T00:00:00"/>
    <n v="176"/>
    <s v="Do Dubai Island"/>
    <s v="Tower 1"/>
    <s v="Studio"/>
    <s v="211"/>
    <s v="SPA Executed"/>
    <x v="1"/>
    <s v="reem a lkhalaf"/>
    <s v="Canada"/>
    <n v="0"/>
    <n v="0"/>
    <n v="1184000"/>
    <n v="1184000"/>
    <s v="Nehad Abdelmeguid"/>
    <s v="AHYAN REAL ESTATE BROKER"/>
    <s v="a03J6000009ogJ6"/>
    <s v="-"/>
    <s v="Not Available on Finance Tracker"/>
    <n v="50000"/>
    <n v="4.2229729729729729E-2"/>
    <s v="Yes"/>
    <s v="Request received from Sales Team for Cancellation_x000a_Customer has shared email with CRM manager stating to cancel the booking citing Financial Concerns"/>
    <s v="Booking-874 - Booking Rejection Request"/>
    <x v="1"/>
    <s v="Customer is unable to continue with the Purchase - Refund Requested"/>
  </r>
  <r>
    <d v="2025-08-26T00:00:00"/>
    <d v="2025-08-26T00:00:00"/>
    <s v="Booking-945"/>
    <s v="Rejected"/>
    <d v="2025-08-26T00:00:00"/>
    <n v="156"/>
    <s v="Laguna Residence"/>
    <s v="Tower A"/>
    <s v="1 Bedroom"/>
    <s v="A322"/>
    <s v="SPA Executed"/>
    <x v="1"/>
    <s v="Batuhan Nuri Melek"/>
    <s v="Turkey"/>
    <n v="0"/>
    <n v="0"/>
    <n v="1342000"/>
    <n v="1342000"/>
    <s v="Mohamed El Shimy"/>
    <s v="PREMIA LIVINGS REAL ESTATE L.L.C"/>
    <s v="a03J600000BrZYd"/>
    <s v="-"/>
    <s v="Not Available on Finance Tracker"/>
    <s v="No Payment"/>
    <s v="N/A"/>
    <s v="N/A"/>
    <s v="Error in Booking"/>
    <s v="No Email"/>
    <x v="16"/>
    <s v="Cancelled by Sales Operations as Wrong Payment Plan was selected. Cancelled by IT without any Cancellation Approval Flow. Booking-947 created."/>
  </r>
  <r>
    <d v="2025-08-26T00:00:00"/>
    <d v="2025-08-26T00:00:00"/>
    <s v="Booking-944"/>
    <s v="Rejected"/>
    <d v="2025-08-26T00:00:00"/>
    <n v="156"/>
    <s v="Laguna Residence"/>
    <s v="Tower A"/>
    <s v="Studio"/>
    <s v="A2514"/>
    <s v="SPA Executed"/>
    <x v="1"/>
    <s v="Shon Philip Koshy"/>
    <s v="India"/>
    <n v="0"/>
    <n v="0"/>
    <n v="787000"/>
    <n v="787000"/>
    <s v="Mohamed El Shimy"/>
    <s v="PREMIA LIVINGS REAL ESTATE L.L.C"/>
    <s v="a03J600000BrYy2"/>
    <s v="-"/>
    <s v="Not Available on Finance Tracker"/>
    <s v="No Payment"/>
    <s v="N/A"/>
    <s v="N/A"/>
    <s v="Error in Booking"/>
    <s v="No Email"/>
    <x v="16"/>
    <s v="Cancelled by Sales Operations as Wrong Payment Plan was selected. Cancelled by IT without any Cancellation Approval Flow. Booking-947 created."/>
  </r>
  <r>
    <d v="2025-08-26T00:00:00"/>
    <d v="2025-08-26T00:00:00"/>
    <s v="Booking-853"/>
    <s v="Rejected"/>
    <d v="2025-07-31T00:00:00"/>
    <n v="182"/>
    <s v="Laguna Residence"/>
    <s v="Tower A"/>
    <s v="1 Bedroom"/>
    <s v="A322"/>
    <s v="SPA Executed"/>
    <x v="1"/>
    <s v="Shon Philip Koshy"/>
    <s v="India"/>
    <n v="67100"/>
    <n v="0.05"/>
    <n v="1274900"/>
    <n v="1342000"/>
    <s v="Mohamed El Shimy"/>
    <s v="PREMIA LIVINGS REAL ESTATE L.L.C"/>
    <s v="a03J6000009oMOO"/>
    <s v="-"/>
    <s v="Not Available on Finance Tracker"/>
    <n v="25000"/>
    <n v="1.8628912071535022E-2"/>
    <s v="No"/>
    <s v="Request recevied from Sales Team for Cancellation and Reallocation"/>
    <s v="Booking-853 - Booking Rejection Request"/>
    <x v="3"/>
    <s v="Swapped from A322 to A2514"/>
  </r>
  <r>
    <d v="2025-08-25T00:00:00"/>
    <d v="2025-08-26T00:00:00"/>
    <s v="Booking-836"/>
    <s v="Rejected"/>
    <d v="2025-07-18T00:00:00"/>
    <n v="195"/>
    <s v="Laguna Residence"/>
    <s v="Tower A"/>
    <s v="Studio"/>
    <s v="A2514"/>
    <s v="SPA Executed"/>
    <x v="1"/>
    <s v="Omar Rezgani"/>
    <s v="Tunisia"/>
    <n v="39350"/>
    <n v="0.05"/>
    <n v="747650"/>
    <n v="787000"/>
    <s v="Mohamed El Shimy"/>
    <s v="Eleva Properties LLC"/>
    <s v="a03J6000009nfhe"/>
    <s v="-"/>
    <s v="Not Available on Finance Tracker"/>
    <n v="5000"/>
    <n v="6.3532401524777635E-3"/>
    <s v="No"/>
    <s v="Customer requested to transfer ownership to &quot;Hossam ibraheem&quot;"/>
    <s v="Booking-836 - Booking Rejections Request"/>
    <x v="9"/>
    <s v="From Omar Rezgani to Hossam ibraheem"/>
  </r>
  <r>
    <d v="2025-08-25T00:00:00"/>
    <d v="2025-09-03T00:00:00"/>
    <s v="Booking-587"/>
    <s v="Rejected"/>
    <d v="2025-04-09T00:00:00"/>
    <n v="295"/>
    <s v="Laguna Residence"/>
    <s v="Tower B"/>
    <s v="Studio"/>
    <s v="B1720"/>
    <s v="SPA Executed"/>
    <x v="1"/>
    <s v="GUSTAV SJUNNESSON"/>
    <s v="Sweden"/>
    <n v="0"/>
    <n v="0"/>
    <n v="710000"/>
    <n v="710000"/>
    <s v="Karen Altabaa"/>
    <s v="S B H PROPERTIES FZE"/>
    <s v="a03J60000081BOq"/>
    <s v="26802"/>
    <s v="Not Available on Finance Tracker"/>
    <n v="183000"/>
    <n v="0.25774647887323943"/>
    <s v="No"/>
    <s v="Customer requested to transfer ownership to &quot;Mohammed Adam Metto&quot;"/>
    <s v="Booking-587 - Booking Rejection Request"/>
    <x v="9"/>
    <s v="From GUSTAV SJUNNESSON to Mohammed Adam Metto"/>
  </r>
  <r>
    <d v="2025-08-25T00:00:00"/>
    <d v="2025-09-04T00:00:00"/>
    <s v="Booking-726"/>
    <s v="Rejected"/>
    <d v="2025-06-10T00:00:00"/>
    <n v="233"/>
    <s v="Do Dubai Island"/>
    <s v="Tower 1"/>
    <s v="2 Bedroom"/>
    <s v="601"/>
    <s v="Blocked"/>
    <x v="1"/>
    <s v="UNDINE ELISABETH GELPKE"/>
    <s v="Germany"/>
    <n v="1000000"/>
    <n v="0.16393442622950818"/>
    <n v="5100000"/>
    <n v="6100000"/>
    <s v="Aiham Addi"/>
    <s v="P E R A REAL ESTATE L.L.C"/>
    <s v="a03J6000009lYbm"/>
    <s v="-"/>
    <s v="Not Available on Finance Tracker"/>
    <n v="100000"/>
    <n v="1.9607843137254902E-2"/>
    <s v="No"/>
    <s v="Customer requested to cancel the booking and refund the paid amount"/>
    <s v="Booking-726 - Booking Rejection Request"/>
    <x v="1"/>
    <s v="Customer is unable to continue with the Purchase - No Refund"/>
  </r>
  <r>
    <d v="2025-08-25T00:00:00"/>
    <d v="2025-09-04T00:00:00"/>
    <s v="Booking-865"/>
    <s v="Rejected"/>
    <d v="2025-08-03T00:00:00"/>
    <n v="179"/>
    <s v="Do Dubai Island"/>
    <s v="Tower 1"/>
    <s v="Studio"/>
    <s v="314"/>
    <s v="SPA Executed"/>
    <x v="1"/>
    <s v="Daniel Koluman"/>
    <s v="Sweden"/>
    <n v="22980"/>
    <n v="0.02"/>
    <n v="1126020"/>
    <n v="1149000"/>
    <s v="Karen Altabaa"/>
    <s v="GUROVA REAL ESTATE LLC"/>
    <s v="a03J6000009oU6U"/>
    <s v="-"/>
    <s v="Not Available on Finance Tracker"/>
    <n v="4000"/>
    <n v="3.4812880765883376E-3"/>
    <s v="N/A"/>
    <s v="Cancellation request received from VP of Sales. Request to cancel the booking and to block the unit against another Sales Manager."/>
    <s v="Booking-865 - Booking Rejection Request"/>
    <x v="5"/>
    <s v="Cancellation Request raised by VP-Sales"/>
  </r>
  <r>
    <d v="2025-08-04T00:00:00"/>
    <d v="2025-08-07T00:00:00"/>
    <s v="Booking-844"/>
    <s v="Rejected"/>
    <d v="2025-07-21T00:00:00"/>
    <n v="192"/>
    <s v="Laguna Residence"/>
    <s v="Tower A"/>
    <s v="2 Bedroom"/>
    <s v="A417"/>
    <s v="Booked"/>
    <x v="1"/>
    <s v="Ephraim Pelino Cosinero"/>
    <s v="Philippines"/>
    <n v="155850"/>
    <n v="9.5321100917431192E-2"/>
    <n v="1479150"/>
    <n v="1635000"/>
    <s v="Ahmed Eissa"/>
    <s v="PREMIA LIVINGS REAL ESTATE L.L.C"/>
    <s v="a03J6000009no2b"/>
    <s v="-"/>
    <s v="Not Available on Finance Tracker"/>
    <s v="No Payment"/>
    <s v="N/A"/>
    <s v="N/A"/>
    <s v="Customer requested to cancel as he has declined the offer. VP Sales advised to cancel and release back to inventory as per attached email. "/>
    <s v="Booking-844 - Booking Rejection Request"/>
    <x v="1"/>
    <s v="Customer is unable to continue with the Purchase"/>
  </r>
  <r>
    <d v="2025-07-15T00:00:00"/>
    <d v="2025-07-21T00:00:00"/>
    <s v="Booking-806"/>
    <s v="Rejected"/>
    <d v="2025-07-05T00:00:00"/>
    <n v="208"/>
    <s v="Do Dubai Island"/>
    <s v="Tower 1"/>
    <s v="Studio"/>
    <s v="107"/>
    <s v="SPA Executed"/>
    <x v="1"/>
    <s v="Mohanad Adel Abdo Saif"/>
    <s v="Yemen"/>
    <n v="0"/>
    <n v="0"/>
    <n v="1296000"/>
    <n v="1296000"/>
    <s v="Ramy Abdelsalam"/>
    <s v="STARS AND SANDS PROPERTIES L.L.C"/>
    <s v="a03J6000009mxJ1"/>
    <s v="-"/>
    <s v="Not Available on Finance Tracker"/>
    <s v="No Payment"/>
    <s v="N/A"/>
    <s v="N/A"/>
    <s v="Customer requested to cancel and purchase only 1 unit (Laguna-B205 - Booking-800)"/>
    <s v="Booking-806 - Booking Rejection Request"/>
    <x v="1"/>
    <s v="Customer only wants to proceed with unit B205 only"/>
  </r>
  <r>
    <d v="2025-07-15T00:00:00"/>
    <d v="2025-07-21T00:00:00"/>
    <s v="Booking-804"/>
    <s v="Rejected"/>
    <d v="2025-07-05T00:00:00"/>
    <n v="208"/>
    <s v="Do Dubai Island"/>
    <s v="Tower 1"/>
    <s v="1 Bedroom"/>
    <s v="216"/>
    <s v="Available"/>
    <x v="1"/>
    <s v="Mohanad Adel Abdo Saif"/>
    <s v="Yemen"/>
    <n v="0"/>
    <n v="0"/>
    <n v="2191000"/>
    <n v="2191000"/>
    <s v="Ramy Abdelsalam"/>
    <s v="STARS AND SANDS PROPERTIES L.L.C"/>
    <s v="a03J6000009mxIc"/>
    <s v="-"/>
    <s v="Not Available on Finance Tracker"/>
    <s v="No Payment"/>
    <m/>
    <m/>
    <s v="Customer requested to cancel and purchase only 1 unit (Laguna-B205 - Booking-800)"/>
    <s v="Booking-804 - Booking Rejection Request"/>
    <x v="1"/>
    <s v="Customer only wants to proceed with unit B205 only"/>
  </r>
  <r>
    <d v="2025-07-15T00:00:00"/>
    <d v="2025-07-21T00:00:00"/>
    <s v="Booking-795"/>
    <s v="Rejected"/>
    <d v="2025-06-29T00:00:00"/>
    <n v="214"/>
    <s v="Laguna Residence"/>
    <s v="Tower A"/>
    <s v="Studio"/>
    <s v="A2110"/>
    <s v="Booked"/>
    <x v="1"/>
    <s v="Aziz Ghassan Saba"/>
    <s v="Canada"/>
    <n v="53000"/>
    <n v="6.5594059405940597E-2"/>
    <n v="755000"/>
    <n v="808000"/>
    <s v="Ahmed Eissa"/>
    <s v="PREMIA LIVINGS REAL ESTATE L.L.C"/>
    <s v="a03J6000009mayR"/>
    <s v="-"/>
    <s v="Not Available on Finance Tracker"/>
    <n v="15100"/>
    <n v="1.8688118811881187E-2"/>
    <s v="No"/>
    <s v="Customer requested to cancel"/>
    <s v="Booking-795 - Booking Rejection Request"/>
    <x v="1"/>
    <s v="Customer is unable to continue with the Purchase"/>
  </r>
  <r>
    <d v="2025-07-15T00:00:00"/>
    <d v="2025-07-21T00:00:00"/>
    <s v="Booking-786"/>
    <s v="Rejected"/>
    <d v="2025-06-25T00:00:00"/>
    <n v="218"/>
    <s v="Do Dubai Island"/>
    <s v="Tower 1"/>
    <s v="Studio"/>
    <s v="618"/>
    <s v="SPA Executed"/>
    <x v="1"/>
    <s v="GIORGIO SAIU"/>
    <s v="Italy"/>
    <n v="0"/>
    <n v="0"/>
    <n v="1184000"/>
    <n v="1184000"/>
    <s v="Amal El Gendy"/>
    <s v="Aarniko Consulting/Mr. FELICE LAFORZA"/>
    <s v="a03J6000009mQVN"/>
    <s v="-"/>
    <s v="Not Available on Finance Tracker"/>
    <s v="No Payment"/>
    <s v="N/A"/>
    <s v="N/A"/>
    <s v="Request received from Sales Director"/>
    <s v="Booking-786 - Booking Rejection Request"/>
    <x v="11"/>
    <s v="Amal El Gendy"/>
  </r>
  <r>
    <d v="2025-07-15T00:00:00"/>
    <d v="2025-07-21T00:00:00"/>
    <s v="Booking-735"/>
    <s v="Rejected"/>
    <d v="2025-06-10T00:00:00"/>
    <n v="233"/>
    <s v="Do Dubai Island"/>
    <s v="Tower 1"/>
    <s v="1 Bedroom"/>
    <s v="509"/>
    <s v="SPA Executed"/>
    <x v="1"/>
    <s v="Ramazan ozturk"/>
    <s v="Turkey"/>
    <n v="0"/>
    <n v="0"/>
    <n v="2274000"/>
    <n v="2274000"/>
    <s v="Zeynep Mustekin"/>
    <s v="Seven Luxury Real Estate L.L.C"/>
    <s v="a03J6000009la3Y"/>
    <s v="-"/>
    <s v="Not Available on Finance Tracker"/>
    <s v="No Payment"/>
    <s v="N/A"/>
    <s v="No"/>
    <s v="Cancellation requested by Hussien"/>
    <s v="Booking-735 - Booking Rejection Request"/>
    <x v="5"/>
    <s v="Cancellation Request raised by Collections Team"/>
  </r>
  <r>
    <d v="2025-07-15T00:00:00"/>
    <d v="2025-07-21T00:00:00"/>
    <s v="Booking-734"/>
    <s v="Rejected"/>
    <d v="2025-06-10T00:00:00"/>
    <n v="233"/>
    <s v="Do Dubai Island"/>
    <s v="Tower 1"/>
    <s v="Studio"/>
    <s v="612"/>
    <s v="SPA Executed"/>
    <x v="1"/>
    <s v="Ahmed Bharkhat Roheb"/>
    <s v="United Kingdom"/>
    <n v="0"/>
    <n v="0"/>
    <n v="1215000"/>
    <n v="1215000"/>
    <s v="Claire Moussa"/>
    <s v="GOLD MILE PROPERTIES"/>
    <s v="a03J6000009la30"/>
    <s v="-"/>
    <s v="Not Available on Finance Tracker"/>
    <n v="50010"/>
    <n v="4.1160493827160492E-2"/>
    <s v="Yes"/>
    <s v="Cancellation requested by Hussien"/>
    <s v="Booking-734 - Booking Rejection Request"/>
    <x v="5"/>
    <s v="Cancellation Request raised by Collections Team"/>
  </r>
  <r>
    <d v="2025-07-15T00:00:00"/>
    <d v="2025-07-17T00:00:00"/>
    <s v="Booking-722"/>
    <s v="Rejected"/>
    <d v="2025-06-09T00:00:00"/>
    <n v="234"/>
    <s v="Do Dubai Island"/>
    <s v="Tower 1"/>
    <s v="1 Bedroom"/>
    <s v="502"/>
    <s v="SPA Executed"/>
    <x v="1"/>
    <s v="MAXIMILIAN WINZLMEIER"/>
    <s v="Germany"/>
    <n v="0"/>
    <n v="0"/>
    <n v="2654000"/>
    <n v="2654000"/>
    <s v="Amal El Gendy"/>
    <s v="H&amp;S REAL ESTATE LLC"/>
    <s v="a03J6000009lWlJ"/>
    <s v="-"/>
    <s v="Not Available on Finance Tracker"/>
    <n v="199268.78"/>
    <n v="7.5082434061793518E-2"/>
    <s v="Yes"/>
    <s v="Request received from Sales Director as customer requested to cancel"/>
    <s v="Booking-722 - Booking Rejection Request"/>
    <x v="1"/>
    <s v="Customer is unable to continue with the Purchase - Refund Request Approved"/>
  </r>
  <r>
    <d v="2025-07-15T00:00:00"/>
    <d v="2025-07-21T00:00:00"/>
    <s v="Booking-541"/>
    <s v="Rejected"/>
    <d v="2025-03-24T00:00:00"/>
    <n v="311"/>
    <s v="Laguna Residence"/>
    <s v="Tower A"/>
    <s v="Studio"/>
    <s v="A918"/>
    <s v="Booked"/>
    <x v="1"/>
    <s v="Hayah Mohammed Abdulla Mohamed Alnuaimi"/>
    <s v="United Arab Emirates"/>
    <n v="52000"/>
    <n v="6.5822784810126586E-2"/>
    <n v="738000"/>
    <n v="790000"/>
    <s v="Feriel Dridi"/>
    <s v="AHYAN REAL ESTATE BROKER"/>
    <s v="a03J60000080F5C"/>
    <s v="23702"/>
    <s v="Not Available on Finance Tracker"/>
    <n v="20000"/>
    <n v="2.5316455696202531E-2"/>
    <s v="No"/>
    <s v="Request received from Hussien"/>
    <s v="Booking-541 - Booking Rejection Request"/>
    <x v="5"/>
    <s v="Cancellation Request raised by Collections Team"/>
  </r>
  <r>
    <d v="2025-07-15T00:00:00"/>
    <d v="2025-07-21T00:00:00"/>
    <s v="Booking-208"/>
    <s v="Rejected"/>
    <d v="2024-12-04T00:00:00"/>
    <n v="421"/>
    <s v="Laguna Residence"/>
    <s v="Tower A"/>
    <s v="3 Bedroom"/>
    <s v="A4001"/>
    <s v="Blocked"/>
    <x v="1"/>
    <s v="Alem Mengstu Meles"/>
    <s v="Ethiopia"/>
    <n v="797000"/>
    <n v="0.15046252595808948"/>
    <n v="4500000"/>
    <n v="5297000"/>
    <s v="Aiham Addi"/>
    <s v="GLOBEX REAL ESTATE L L C"/>
    <s v="a03J6000003iewX"/>
    <s v="14633"/>
    <s v="Not Available on Finance Tracker"/>
    <n v="680000"/>
    <n v="0.12837455163299982"/>
    <s v="No"/>
    <s v="Customer requested to cancel. Paid amount for A4001 has been transferred to B3001"/>
    <s v="Booking-208 - Booking Rejection Request"/>
    <x v="3"/>
    <s v="Swapped from A4001 to B300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5">
  <r>
    <s v="January"/>
    <d v="2026-01-29T00:00:00"/>
    <d v="1899-12-30T00:00:00"/>
    <s v="Booking-1502"/>
    <s v="Draft"/>
    <d v="2026-01-28T00:00:00"/>
    <n v="1"/>
    <s v="One Residence"/>
    <s v="Tower 1"/>
    <s v="2 BR"/>
    <s v="OR-2407"/>
    <s v="Booked"/>
    <s v="Draft"/>
    <s v="JIANPING SU"/>
    <s v="China"/>
    <n v="0"/>
    <n v="0"/>
    <n v="2370111"/>
    <n v="2370111"/>
    <s v="Tanveer Ansari"/>
    <s v="Dingsen Properties LLC"/>
    <s v="a03NM00000Ul7rC"/>
    <s v="-"/>
    <m/>
    <s v="No Payment"/>
    <n v="0"/>
    <s v="N/A"/>
    <s v="Cancelled due to Repricing"/>
    <m/>
    <x v="0"/>
    <x v="0"/>
  </r>
  <r>
    <s v="January"/>
    <d v="2026-01-28T00:00:00"/>
    <d v="2026-01-28T00:00:00"/>
    <s v="Booking-1474"/>
    <s v="Rejected"/>
    <d v="2026-01-21T00:00:00"/>
    <n v="8"/>
    <s v="One Residence"/>
    <s v="Tower 1"/>
    <s v="2 BR"/>
    <s v="OR-407"/>
    <s v="Available"/>
    <s v="Rejected"/>
    <s v="Wang GuiLian"/>
    <s v="China"/>
    <n v="0"/>
    <n v="0"/>
    <n v="2404111"/>
    <n v="2404111"/>
    <s v="Yang XI"/>
    <s v="WEALTH KEY REAL ESTATE L.L.C"/>
    <s v="a03NM00000Tz8ej"/>
    <s v="-"/>
    <m/>
    <s v="No Payment"/>
    <n v="0"/>
    <s v="N/A"/>
    <s v="Customer requested to cancel Booking"/>
    <s v="Booking-1474 - Booking Rejection Request"/>
    <x v="1"/>
    <x v="1"/>
  </r>
  <r>
    <s v="January"/>
    <d v="2026-01-27T00:00:00"/>
    <d v="2026-01-28T00:00:00"/>
    <s v="Booking-1437"/>
    <s v="Rejected"/>
    <d v="2026-01-12T00:00:00"/>
    <n v="17"/>
    <s v="One Residence"/>
    <s v="Tower 1"/>
    <s v="2 BR"/>
    <s v="OR-1404"/>
    <s v="Booked"/>
    <s v="Rejected"/>
    <s v="Vrushali Subhash Desai Subhash Atmaram Desai"/>
    <s v="India"/>
    <n v="10000"/>
    <n v="4.0816326530612249E-3"/>
    <n v="2440000"/>
    <n v="2450000"/>
    <s v="Amr Abdelghafar"/>
    <s v="PARKER PREMIER REAL  ESTATE L.L.C."/>
    <s v="a03NM00000T48MW"/>
    <s v="-"/>
    <m/>
    <s v="No Payment"/>
    <n v="0"/>
    <s v="N/A"/>
    <s v="Error In Booking"/>
    <s v="Booking-1437 - Booking Rejection Request"/>
    <x v="2"/>
    <x v="2"/>
  </r>
  <r>
    <s v="January"/>
    <d v="2026-01-27T00:00:00"/>
    <d v="2026-01-27T00:00:00"/>
    <s v="Booking-1480"/>
    <s v="Rejected"/>
    <d v="2026-01-22T00:00:00"/>
    <n v="7"/>
    <s v="Laguna Residence"/>
    <s v="Tower B"/>
    <s v="Studio"/>
    <s v="B512"/>
    <s v="Blocked"/>
    <s v="Rejected"/>
    <s v="Elsheikh Mohammed Ahmed Wageealla"/>
    <s v="Sudan"/>
    <n v="40350"/>
    <n v="0.05"/>
    <n v="766650"/>
    <n v="807000"/>
    <s v="Feraz Mohamed"/>
    <s v="Metropolitan Capital Real Estate - Sole proprietorship LLC"/>
    <s v="a03NM00000U532a"/>
    <s v="-"/>
    <m/>
    <s v="No Payment"/>
    <n v="0"/>
    <s v="Yes"/>
    <s v="Unit Swapped with OR-1407 as approved by Management"/>
    <s v="Booking-1480 - Booking Rejection Request"/>
    <x v="3"/>
    <x v="3"/>
  </r>
  <r>
    <s v="January"/>
    <d v="2026-01-27T00:00:00"/>
    <d v="2026-01-27T00:00:00"/>
    <s v="Booking-1428"/>
    <s v="Rejected"/>
    <d v="2026-01-09T00:00:00"/>
    <n v="20"/>
    <s v="One Residence"/>
    <s v="Tower 1"/>
    <s v="2 BR"/>
    <s v="OR-1606"/>
    <s v="Booked"/>
    <s v="Rejected"/>
    <s v="Guy Ghosn"/>
    <s v="Lebanon"/>
    <n v="0"/>
    <n v="0"/>
    <n v="2550000"/>
    <n v="2550000"/>
    <s v="Hossam Mostafa"/>
    <s v="TOP OF THE TOP PROPERTIES  LLC - SPC"/>
    <s v="a03NM00000Sp3v3"/>
    <s v="-"/>
    <m/>
    <s v="No Payment"/>
    <n v="0"/>
    <s v="N/A"/>
    <s v="Error In Booking"/>
    <s v="Booking-1428 - Booking Rejection Request"/>
    <x v="4"/>
    <x v="4"/>
  </r>
  <r>
    <s v="January"/>
    <d v="2026-01-26T00:00:00"/>
    <d v="2026-01-27T00:00:00"/>
    <s v="Booking-1491"/>
    <s v="Rejected"/>
    <d v="2026-01-23T00:00:00"/>
    <n v="6"/>
    <s v="One Residence"/>
    <s v="Tower 1"/>
    <s v="2 BR"/>
    <s v="OR-2507"/>
    <s v="Booked"/>
    <s v="Rejected"/>
    <s v="JOEBEN TAI"/>
    <s v="Philippines"/>
    <n v="49422"/>
    <n v="1.960775756556252E-2"/>
    <n v="2471111"/>
    <n v="2520533"/>
    <s v="Tanveer Ansari"/>
    <s v="NOVA VISION REAL ESTATE L.L.C"/>
    <s v="a03NM00000UELMh"/>
    <s v="-"/>
    <m/>
    <s v="No Payment"/>
    <n v="0"/>
    <s v="N/A"/>
    <s v="Cancelled due to Repricing"/>
    <s v="Booking-1491 - Booking Rejection Request"/>
    <x v="0"/>
    <x v="0"/>
  </r>
  <r>
    <s v="January"/>
    <d v="2026-01-26T00:00:00"/>
    <d v="2026-01-26T00:00:00"/>
    <s v="Booking-1489"/>
    <s v="Rejected"/>
    <d v="2026-01-23T00:00:00"/>
    <n v="6"/>
    <s v="One Residence"/>
    <s v="Tower 1"/>
    <s v="2 BR"/>
    <s v="OR-1301"/>
    <s v="Booked"/>
    <s v="Rejected"/>
    <s v="AHMED GAMAL AHMED SAYED ABDELHADY"/>
    <s v="Egypt"/>
    <n v="54142"/>
    <n v="1.9607765025515589E-2"/>
    <n v="2707111"/>
    <n v="2761253"/>
    <s v="Feraz Mohamed"/>
    <s v="KINGS EDITION REAL ESTATE L.L.C"/>
    <s v="a03NM00000UDg9u"/>
    <s v="-"/>
    <m/>
    <s v="No Payment"/>
    <n v="0"/>
    <s v="N/A"/>
    <s v="Cancelled due to Repricing"/>
    <s v="Booking-1489 - Booking Rejection Request"/>
    <x v="0"/>
    <x v="0"/>
  </r>
  <r>
    <s v="January"/>
    <d v="2026-01-22T00:00:00"/>
    <d v="2026-01-22T00:00:00"/>
    <s v="Booking-1340"/>
    <s v="Rejected"/>
    <d v="2026-01-07T00:00:00"/>
    <n v="22"/>
    <s v="One Residence"/>
    <s v="Tower 1"/>
    <s v="1 BR"/>
    <s v="OR-603"/>
    <s v="Booked"/>
    <s v="Rejected"/>
    <s v="Carlos Augusto Castro"/>
    <s v="United Arab Emirates"/>
    <n v="11626"/>
    <n v="7.2662500000000001E-3"/>
    <n v="1588374"/>
    <n v="1600000"/>
    <s v="Keana Nagtalon"/>
    <s v="Property Shop Investment LLC"/>
    <s v="a03NM00000SfMyv"/>
    <s v="-"/>
    <m/>
    <s v="No Payment"/>
    <n v="0"/>
    <s v="N/A"/>
    <s v="Customer requested to cancel Booking. Refund Approved by Management"/>
    <s v="Booking-1340 - Booking Rejection Request"/>
    <x v="1"/>
    <x v="1"/>
  </r>
  <r>
    <s v="January"/>
    <d v="2026-01-22T00:00:00"/>
    <d v="2026-01-22T00:00:00"/>
    <s v="Booking-1477"/>
    <s v="Rejected"/>
    <d v="2026-01-21T00:00:00"/>
    <n v="8"/>
    <s v="One Residence"/>
    <s v="Tower 1"/>
    <s v="1 BR"/>
    <s v="OR-808"/>
    <s v="Booked"/>
    <s v="Rejected"/>
    <s v="REDA AYOUBI"/>
    <s v="United States of America"/>
    <n v="-50000"/>
    <n v="-3.0674846625766871E-2"/>
    <n v="1680000"/>
    <n v="1630000"/>
    <s v="Amr Abdelghafar"/>
    <s v="P S I ASSETS REAL ESTATES L.L.C."/>
    <s v="a03NM00000U0VNa"/>
    <s v="-"/>
    <m/>
    <s v="No Payment"/>
    <n v="0"/>
    <s v="N/A"/>
    <s v="Cancelled due to Repricing"/>
    <s v="Booking-1477 - Booking Rejection Request"/>
    <x v="0"/>
    <x v="0"/>
  </r>
  <r>
    <s v="January"/>
    <d v="2026-01-22T00:00:00"/>
    <d v="2026-01-22T00:00:00"/>
    <s v="Booking-1425"/>
    <s v="Rejected"/>
    <d v="2026-01-09T00:00:00"/>
    <n v="20"/>
    <s v="One Residence"/>
    <s v="Tower 1"/>
    <s v="2 BR"/>
    <s v="OR-1205"/>
    <s v="Booked"/>
    <s v="Rejected"/>
    <s v="George michael Baida"/>
    <s v="United States of America"/>
    <n v="10000"/>
    <n v="4.048582995951417E-3"/>
    <n v="2460000"/>
    <n v="2470000"/>
    <s v="Hossam Mostafa"/>
    <s v="LEGACY LIVING REAL ESTATE - L.L.C - S.P.C"/>
    <s v="a03NM00000Soffx"/>
    <s v="-"/>
    <m/>
    <s v="No Payment"/>
    <n v="0"/>
    <s v="N/A"/>
    <s v="Cancelled due to Repricing"/>
    <s v="Booking-1425 - Booking Rejection Request"/>
    <x v="0"/>
    <x v="0"/>
  </r>
  <r>
    <s v="January"/>
    <d v="2026-01-21T00:00:00"/>
    <d v="2026-01-21T00:00:00"/>
    <s v="Booking-1250"/>
    <s v="Rejected"/>
    <d v="2025-12-11T00:00:00"/>
    <n v="49"/>
    <s v="Do Dubai Island"/>
    <s v="Tower 1"/>
    <s v="1 Bedroom"/>
    <s v="106"/>
    <s v="Blocked"/>
    <s v="Rejected"/>
    <s v="Albert Nesterov"/>
    <s v="Russia"/>
    <n v="0"/>
    <n v="0"/>
    <n v="2525000"/>
    <n v="2525000"/>
    <s v="Vladyslav Parkhomchuk"/>
    <s v="Rich Property Real Estate Brokerages LLC"/>
    <s v="a03NM00000PGtRx"/>
    <s v="-"/>
    <m/>
    <s v="No Payment"/>
    <n v="0"/>
    <s v="N/A"/>
    <s v="Cancelled due to Non Payment"/>
    <s v="Booking-1250 - Booking Rejection Request"/>
    <x v="5"/>
    <x v="5"/>
  </r>
  <r>
    <s v="January"/>
    <d v="2026-01-21T00:00:00"/>
    <d v="2026-01-21T00:00:00"/>
    <s v="Booking-1461"/>
    <s v="Rejected"/>
    <d v="2026-01-19T00:00:00"/>
    <n v="10"/>
    <s v="One Residence"/>
    <s v="Tower 1"/>
    <s v="1 BR"/>
    <s v="OR-808"/>
    <s v="Booked"/>
    <s v="Rejected"/>
    <s v="FAHD AYOUBI"/>
    <s v="United States of America"/>
    <n v="-50000"/>
    <n v="-3.0674846625766871E-2"/>
    <n v="1680000"/>
    <n v="1630000"/>
    <s v="Amr Abdelghafar"/>
    <s v="P S I ASSETS REAL ESTATES L.L.C."/>
    <s v="a03NM00000Tn6ef"/>
    <s v="-"/>
    <m/>
    <s v="No Payment"/>
    <n v="0"/>
    <s v="N/A"/>
    <s v="Cancelled due to Repricing"/>
    <s v="Booking-1461 - Booking Rejection Request"/>
    <x v="0"/>
    <x v="0"/>
  </r>
  <r>
    <s v="January"/>
    <d v="2026-01-21T00:00:00"/>
    <d v="2026-01-21T00:00:00"/>
    <s v="Booking-1394"/>
    <s v="Rejected"/>
    <d v="2026-01-09T00:00:00"/>
    <n v="20"/>
    <s v="One Residence"/>
    <s v="Tower 1"/>
    <s v="1 BR"/>
    <s v="OR-809"/>
    <s v="Booked"/>
    <s v="Rejected"/>
    <s v="REDA AYOUBI"/>
    <s v="United States of America"/>
    <n v="0"/>
    <n v="0"/>
    <n v="1670000"/>
    <n v="1670000"/>
    <s v="Amr Abdelghafar"/>
    <s v="P S I ASSETS REAL ESTATES L.L.C."/>
    <s v="a03NM00000Snp7v"/>
    <s v="-"/>
    <m/>
    <s v="No Payment"/>
    <n v="0"/>
    <s v="N/A"/>
    <s v="Cancelled due to Repricing"/>
    <s v="Booking-1394 - Booking Rejection Request"/>
    <x v="0"/>
    <x v="0"/>
  </r>
  <r>
    <s v="January"/>
    <d v="2026-01-21T00:00:00"/>
    <d v="2026-01-21T00:00:00"/>
    <s v="Booking-1424"/>
    <s v="Rejected"/>
    <d v="2026-01-09T00:00:00"/>
    <n v="20"/>
    <s v="One Residence"/>
    <s v="Tower 1"/>
    <s v="1 BR"/>
    <s v="OR-610"/>
    <s v="Booked"/>
    <s v="Rejected"/>
    <s v="Mohammad Kerdi"/>
    <s v="Lebanon"/>
    <n v="2000"/>
    <n v="1.25E-3"/>
    <n v="1598000"/>
    <n v="1600000"/>
    <s v="Hossam Mostafa"/>
    <s v="LEGACY LIVING REAL ESTATE - L.L.C - S.P.C"/>
    <s v="a03NM00000SpEbx"/>
    <s v="-"/>
    <m/>
    <s v="No Payment"/>
    <n v="0"/>
    <s v="N/A"/>
    <s v="Cancelled due to Repricing"/>
    <s v="Booking-1424 - Booking Rejection Request"/>
    <x v="0"/>
    <x v="0"/>
  </r>
  <r>
    <s v="January"/>
    <d v="2026-01-21T00:00:00"/>
    <d v="2026-01-21T00:00:00"/>
    <s v="Booking-1420"/>
    <s v="Rejected"/>
    <d v="2026-01-09T00:00:00"/>
    <n v="20"/>
    <s v="One Residence"/>
    <s v="Tower 1"/>
    <s v="2 BR"/>
    <s v="OR-1309"/>
    <s v="Booked"/>
    <s v="Rejected"/>
    <s v="NANIK RAM PARMANAND"/>
    <s v="Pakistan"/>
    <n v="100000"/>
    <n v="4.1841004184100417E-2"/>
    <n v="2290000"/>
    <n v="2390000"/>
    <s v="Amr Abdelghafar"/>
    <s v="P S I ASSETS REAL ESTATES L.L.C."/>
    <s v="a03NM00000SoqTB"/>
    <s v="-"/>
    <m/>
    <s v="No Payment"/>
    <n v="0"/>
    <s v="N/A"/>
    <s v="Cancelled due to Repricing"/>
    <s v="Booking-1420 - Booking Rejection Request"/>
    <x v="0"/>
    <x v="0"/>
  </r>
  <r>
    <s v="January"/>
    <d v="2026-01-20T00:00:00"/>
    <d v="2026-01-20T00:00:00"/>
    <s v="Booking-1462"/>
    <s v="Rejected"/>
    <d v="2026-01-19T00:00:00"/>
    <n v="10"/>
    <s v="One Residence"/>
    <s v="Tower 1"/>
    <s v="2 BR"/>
    <s v="OR-2404"/>
    <s v="Booked"/>
    <s v="Rejected"/>
    <s v="Bader saeed Mohammedd Salem Allamki"/>
    <s v="United Arab Emirates"/>
    <n v="21889"/>
    <n v="8.7556000000000005E-3"/>
    <n v="2478111"/>
    <n v="2500000"/>
    <s v="Jamil Ibrahim"/>
    <s v="CAPITAL AVENUE REAL ESTATE SOLE PROPRIETORSHIP L.L.C."/>
    <s v="a03NM00000TnDt3"/>
    <s v="-"/>
    <m/>
    <s v="No Payment"/>
    <n v="0"/>
    <s v="N/A"/>
    <s v="Cancelled due to Repricing"/>
    <s v="Booking-1462 - Booking Rejection Request"/>
    <x v="0"/>
    <x v="0"/>
  </r>
  <r>
    <s v="January"/>
    <d v="2026-01-20T00:00:00"/>
    <d v="2026-01-21T00:00:00"/>
    <s v="Booking-1330"/>
    <s v="Rejected"/>
    <d v="2026-01-07T00:00:00"/>
    <n v="22"/>
    <s v="One Residence"/>
    <s v="Tower 1"/>
    <s v="2 BR"/>
    <s v="OR-2106"/>
    <s v="Blocked"/>
    <s v="Rejected"/>
    <s v="Khaja Huzoor Ahamed khan Hussain khan Ahamed Khan"/>
    <s v="India"/>
    <n v="26104"/>
    <n v="1.0416167884493222E-2"/>
    <n v="2480000"/>
    <n v="2506104"/>
    <s v="Mohamed Safraji"/>
    <s v="Metropolitan Capital Real Estate - Sole proprietorship LLC"/>
    <s v="a03NM00000Sdqy3"/>
    <s v="-"/>
    <m/>
    <s v="No Payment"/>
    <n v="0"/>
    <s v="N/A"/>
    <s v="Unit Swapped with OR-707 as approved by Management"/>
    <s v="Booking-1330 - Booking Rejection Request"/>
    <x v="3"/>
    <x v="6"/>
  </r>
  <r>
    <s v="January"/>
    <d v="2026-01-19T00:00:00"/>
    <d v="2026-01-20T00:00:00"/>
    <s v="Booking-1423"/>
    <s v="Rejected"/>
    <d v="2026-01-09T00:00:00"/>
    <n v="20"/>
    <s v="One Residence"/>
    <s v="Tower 1"/>
    <s v="3 BR"/>
    <s v="OR-2602"/>
    <s v="Blocked"/>
    <s v="Rejected"/>
    <s v="MOHAMMED ABBAS HUSSAIN Al Obaidi"/>
    <s v="Iraq"/>
    <n v="0"/>
    <n v="0"/>
    <n v="3850000"/>
    <n v="3850000"/>
    <s v="Amr Abdelghafar"/>
    <s v="Royal Lounge Properties L.L.C."/>
    <s v="a03NM00000SooOA"/>
    <s v="-"/>
    <m/>
    <s v="No Payment"/>
    <n v="0"/>
    <s v="Yes"/>
    <s v="Customer requested to cancel Booking. Refund Approved by Management"/>
    <s v="Booking-1423 - Booking Rejection Request"/>
    <x v="1"/>
    <x v="1"/>
  </r>
  <r>
    <s v="January"/>
    <d v="2026-01-19T00:00:00"/>
    <d v="2026-01-20T00:00:00"/>
    <s v="Booking-1434"/>
    <s v="Rejected"/>
    <d v="2026-01-12T00:00:00"/>
    <n v="17"/>
    <s v="One Residence"/>
    <s v="Tower 1"/>
    <s v="1 BR"/>
    <s v="OR-803"/>
    <s v="Booked"/>
    <s v="Rejected"/>
    <s v="SARA МОНАМЕD DIB"/>
    <s v="Syria"/>
    <n v="194889"/>
    <n v="0.11149256292906179"/>
    <n v="1553111"/>
    <n v="1748000"/>
    <s v="Hossam Mostafa"/>
    <s v=""/>
    <s v="a03NM00000T3Aju"/>
    <s v="-"/>
    <m/>
    <s v="No Payment"/>
    <n v="0"/>
    <s v="N/A"/>
    <s v="Cancelled due to Repricing"/>
    <s v="Booking-1434 - Booking Rejection Request"/>
    <x v="0"/>
    <x v="0"/>
  </r>
  <r>
    <s v="January"/>
    <d v="2026-01-19T00:00:00"/>
    <d v="2026-01-20T00:00:00"/>
    <s v="Booking-1254"/>
    <s v="Rejected"/>
    <d v="2025-12-11T00:00:00"/>
    <n v="49"/>
    <s v="Do Dubai Island"/>
    <s v="Tower 1"/>
    <s v="1 Bedroom"/>
    <s v="508"/>
    <s v="Blocked"/>
    <s v="Rejected"/>
    <s v="Cemal Atilla Birmis"/>
    <s v="Turkey"/>
    <n v="68080"/>
    <n v="0.02"/>
    <n v="3335920"/>
    <n v="3404000"/>
    <s v="Midia Sedighi"/>
    <s v="PRIME RICHMOND PROPERTIES L.L.C"/>
    <s v="a03NM00000PHQvn"/>
    <s v="-"/>
    <m/>
    <n v="8000"/>
    <n v="2.398139044101777E-3"/>
    <s v="No"/>
    <s v="Cancelled due to Non Payment"/>
    <s v="Booking-1254 - Booking Rejection Request"/>
    <x v="5"/>
    <x v="7"/>
  </r>
  <r>
    <s v="January"/>
    <d v="2026-01-19T00:00:00"/>
    <d v="2026-01-20T00:00:00"/>
    <s v="Booking-1253"/>
    <s v="Rejected"/>
    <d v="2025-12-11T00:00:00"/>
    <n v="49"/>
    <s v="Do Dubai Island"/>
    <s v="Tower 1"/>
    <s v="1 Bedroom"/>
    <s v="409"/>
    <s v="Blocked"/>
    <s v="Rejected"/>
    <s v="Cemal Atilla Birmis"/>
    <s v="Turkey"/>
    <n v="46580"/>
    <n v="0.02"/>
    <n v="2282420"/>
    <n v="2329000"/>
    <s v="Midia Sedighi"/>
    <s v="PRIME RICHMOND PROPERTIES L.L.C"/>
    <s v="a03NM00000PHOxF"/>
    <s v="-"/>
    <m/>
    <n v="8000"/>
    <n v="3.505051655698776E-3"/>
    <s v="No"/>
    <s v="Cancelled due to Non Payment"/>
    <s v="Booking-1253 - Booking Rejection Request"/>
    <x v="5"/>
    <x v="7"/>
  </r>
  <r>
    <s v="January"/>
    <d v="2026-01-19T00:00:00"/>
    <d v="2026-01-20T00:00:00"/>
    <s v="Booking-1252"/>
    <s v="Rejected"/>
    <d v="2025-12-11T00:00:00"/>
    <n v="49"/>
    <s v="Do Dubai Island"/>
    <s v="Tower 1"/>
    <s v="1 Bedroom"/>
    <s v="204"/>
    <s v="Blocked"/>
    <s v="Rejected"/>
    <s v="Cemal Atilla Birmis"/>
    <s v="Turkey"/>
    <n v="52620"/>
    <n v="0.02"/>
    <n v="2578380"/>
    <n v="2631000"/>
    <s v="Midia Sedighi"/>
    <s v="PRIME RICHMOND PROPERTIES L.L.C"/>
    <s v="a03NM00000PHY8X"/>
    <s v="-"/>
    <m/>
    <n v="8000"/>
    <n v="3.1027234154779358E-3"/>
    <s v="No"/>
    <s v="Cancelled due to Non Payment"/>
    <s v="Booking-1252 - Booking Rejection Request"/>
    <x v="5"/>
    <x v="7"/>
  </r>
  <r>
    <s v="January"/>
    <d v="2026-01-19T00:00:00"/>
    <d v="2026-01-19T00:00:00"/>
    <s v="Booking-1443"/>
    <s v="Rejected"/>
    <d v="2026-01-13T00:00:00"/>
    <n v="16"/>
    <s v="One Residence"/>
    <s v="Tower 1"/>
    <s v="1 BR"/>
    <s v="OR-402"/>
    <s v="Booked"/>
    <s v="Rejected"/>
    <s v="Dana Imad Aldin Al Afiouni"/>
    <s v="Syria"/>
    <n v="10000"/>
    <n v="5.5555555555555558E-3"/>
    <n v="1790000"/>
    <n v="1800000"/>
    <s v="Jamil Ibrahim"/>
    <s v="Real Urban Modern International Real Estate L. L. C -S. P.C"/>
    <s v="a03NM00000TALnK"/>
    <s v="-"/>
    <m/>
    <s v="No Payment"/>
    <n v="0"/>
    <s v="N/A"/>
    <s v="Cancelled due to Repricing"/>
    <s v="Booking-1443 - Booking Rejection Request"/>
    <x v="0"/>
    <x v="0"/>
  </r>
  <r>
    <s v="January"/>
    <d v="2026-01-17T00:00:00"/>
    <d v="2026-01-19T00:00:00"/>
    <s v="Booking-1392"/>
    <s v="Rejected"/>
    <d v="2026-01-09T00:00:00"/>
    <n v="20"/>
    <s v="One Residence"/>
    <s v="Tower 1"/>
    <s v="1 BR"/>
    <s v="OR-808"/>
    <s v="Booked"/>
    <s v="Rejected"/>
    <s v="FAHD AYOUBI"/>
    <s v="United States of America"/>
    <n v="0"/>
    <n v="0"/>
    <n v="1630000"/>
    <n v="1630000"/>
    <s v="Amr Abdelghafar"/>
    <s v="P S I ASSETS REAL ESTATES L.L.C."/>
    <s v="a03NM00000SoeoZ"/>
    <s v="-"/>
    <m/>
    <s v="No Payment"/>
    <n v="0"/>
    <s v="N/A"/>
    <s v="Cancelled due to Repricing"/>
    <s v="Booking-1392 - Booking Rejection Request"/>
    <x v="0"/>
    <x v="0"/>
  </r>
  <r>
    <s v="January"/>
    <d v="2026-01-15T00:00:00"/>
    <d v="2026-01-15T00:00:00"/>
    <s v="Booking-1451"/>
    <s v="Rejected"/>
    <d v="2026-01-15T00:00:00"/>
    <n v="14"/>
    <s v="One Residence"/>
    <s v="Tower 1"/>
    <s v="2 BR"/>
    <s v="OR-2506"/>
    <s v="Booked"/>
    <s v="Rejected"/>
    <s v="Amiran Kavkasidze"/>
    <s v="Switzerland"/>
    <n v="17889"/>
    <n v="7.1843373493975906E-3"/>
    <n v="2472111"/>
    <n v="2490000"/>
    <s v="Claire Moussa"/>
    <s v="IOKA International Real Estate LLC"/>
    <s v="a03NM00000TN2AV"/>
    <s v="-"/>
    <e v="#N/A"/>
    <s v="No Payment"/>
    <n v="0"/>
    <s v="N/A"/>
    <s v="Cancelled due to Repricing"/>
    <s v="Booking-1451- Booking Rejection Request"/>
    <x v="0"/>
    <x v="0"/>
  </r>
  <r>
    <s v="January"/>
    <d v="2026-01-14T00:00:00"/>
    <d v="2026-01-15T00:00:00"/>
    <s v="Booking-1406"/>
    <s v="Rejected"/>
    <d v="2026-01-09T00:00:00"/>
    <n v="20"/>
    <s v="One Residence"/>
    <s v="Tower 1"/>
    <s v="2 BR"/>
    <s v="OR-1403"/>
    <s v="Booked"/>
    <s v="Rejected"/>
    <s v="Anton Mikhailov"/>
    <s v="Russia"/>
    <n v="0"/>
    <n v="0"/>
    <n v="2390000"/>
    <n v="2390000"/>
    <s v="Jamil Ibrahim"/>
    <s v="CAPITAL AVENUE REAL ESTATE SOLE PROPRIETORSHIP L.L.C."/>
    <s v="a03NM00000Son8f"/>
    <s v="-"/>
    <e v="#N/A"/>
    <s v="No Payment"/>
    <n v="0"/>
    <s v="N/A"/>
    <s v="Booking was created under wrong unit "/>
    <s v="Booking-1406 - Booking Rejection Request"/>
    <x v="6"/>
    <x v="8"/>
  </r>
  <r>
    <s v="January"/>
    <d v="2026-01-14T00:00:00"/>
    <d v="2026-01-16T00:00:00"/>
    <s v="Booking-1446"/>
    <s v="Rejected"/>
    <d v="2026-01-13T00:00:00"/>
    <n v="16"/>
    <s v="One Residence"/>
    <s v="Tower 1"/>
    <s v="2 BR"/>
    <s v="OR-1503"/>
    <s v="Booked"/>
    <s v="Rejected"/>
    <s v="Mayank Chadha"/>
    <s v="India"/>
    <n v="10000"/>
    <n v="4.0650406504065045E-3"/>
    <n v="2450000"/>
    <n v="2460000"/>
    <s v="Jamil Ibrahim"/>
    <s v="EAST WEST HOMES PROPERTIES - L.L.C - S.P.C"/>
    <s v="a03NM00000TBPLr"/>
    <s v="-"/>
    <e v="#N/A"/>
    <s v="No Payment"/>
    <n v="0"/>
    <s v="N/A"/>
    <s v="Cancelled due to Repricing"/>
    <s v="Booking-1446 - Booking Rejection Request"/>
    <x v="0"/>
    <x v="0"/>
  </r>
  <r>
    <s v="January"/>
    <d v="2026-01-14T00:00:00"/>
    <d v="2026-01-16T00:00:00"/>
    <s v="Booking-800"/>
    <s v="Rejected"/>
    <d v="2025-07-01T00:00:00"/>
    <n v="212"/>
    <s v="Laguna Residence"/>
    <s v="Tower B"/>
    <s v="1 Bedroom"/>
    <s v="B205"/>
    <s v="Blocked"/>
    <s v="Rejected"/>
    <s v="Mohanad Adel Abdo Saif"/>
    <s v="Yemen"/>
    <n v="98000"/>
    <n v="7.7287066246056788E-2"/>
    <n v="1170000"/>
    <n v="1268000"/>
    <s v="Ramy Abdelsalam"/>
    <s v="STARS AND SANDS PROPERTIES L.L.C"/>
    <s v="a03J6000009mhWb"/>
    <s v="-"/>
    <n v="8000"/>
    <n v="317550"/>
    <n v="0.2714102564102564"/>
    <s v="No"/>
    <s v="Unit Swapped with A604 as approved by Management"/>
    <s v="Booking-800 - Booking Rejection Request"/>
    <x v="3"/>
    <x v="9"/>
  </r>
  <r>
    <s v="January"/>
    <d v="2026-01-10T00:00:00"/>
    <d v="2026-01-13T00:00:00"/>
    <s v="Booking-1345"/>
    <s v="Rejected"/>
    <d v="2026-01-07T00:00:00"/>
    <n v="22"/>
    <s v="One Residence"/>
    <s v="Tower 1"/>
    <s v="1 BR"/>
    <s v="OR-810"/>
    <s v="Booked"/>
    <s v="Rejected"/>
    <s v="Andrea Nannini"/>
    <s v="Italy"/>
    <n v="113889"/>
    <n v="6.902363636363637E-2"/>
    <n v="1536111"/>
    <n v="1650000"/>
    <s v="Hussam Haitham Alrez"/>
    <s v="NARA REAL ESTATE SOLE PROPRIETORSHIP  L.L.C"/>
    <s v="a03NM00000Sf0vZ"/>
    <s v="-"/>
    <e v="#N/A"/>
    <s v="No Payment"/>
    <n v="0"/>
    <s v="N/A"/>
    <s v="Cancelled due to Repricing"/>
    <s v="Booking-1345 - Booking Rejection Request"/>
    <x v="0"/>
    <x v="0"/>
  </r>
  <r>
    <s v="January"/>
    <d v="2026-01-07T00:00:00"/>
    <d v="2026-01-09T00:00:00"/>
    <s v="Booking-1085"/>
    <s v="Rejected"/>
    <d v="2025-10-28T00:00:00"/>
    <n v="93"/>
    <s v="Laguna Residence"/>
    <s v="Tower B"/>
    <s v="Studio"/>
    <s v="B914"/>
    <s v="Blocked"/>
    <s v="Rejected"/>
    <s v="Syeda Sadiya"/>
    <s v="India"/>
    <n v="0"/>
    <n v="0"/>
    <n v="832000"/>
    <n v="832000"/>
    <s v="Aqsa Bhatti"/>
    <s v="MUHAMMAD SAEEDI REAL ESTATE MANAGEMENT SUPERVISION SERVICES L.L.C"/>
    <s v="a03J600000FmHk1"/>
    <s v="-"/>
    <s v="Not Available on Finance Tracker"/>
    <s v="No Payment"/>
    <n v="0"/>
    <s v="N/A"/>
    <s v="Cancelled due to Non Payment"/>
    <s v="Booking-1085 - Booking Rejection Request"/>
    <x v="5"/>
    <x v="5"/>
  </r>
  <r>
    <s v="January"/>
    <d v="2026-01-07T00:00:00"/>
    <d v="2026-01-09T00:00:00"/>
    <s v="Booking-1111"/>
    <s v="Rejected"/>
    <d v="2025-10-31T00:00:00"/>
    <n v="90"/>
    <s v="Laguna Residence"/>
    <s v="Tower B"/>
    <s v="Studio"/>
    <s v="B814"/>
    <s v="Blocked"/>
    <s v="Rejected"/>
    <s v="Harutyun Melikyan"/>
    <s v="Armenia"/>
    <n v="0"/>
    <n v="0"/>
    <n v="840000"/>
    <n v="840000"/>
    <s v="Zarina Avdalian"/>
    <s v="ALBINA MKRTCHYAN REAL ESTATE"/>
    <s v="a03J600000Fmas0"/>
    <s v="-"/>
    <s v="Not Available on Finance Tracker"/>
    <n v="8400"/>
    <n v="0.01"/>
    <s v="No"/>
    <s v="Cancelled due to Non Payment"/>
    <s v="Booking-1111 - Booking Rejection Request"/>
    <x v="5"/>
    <x v="10"/>
  </r>
  <r>
    <s v="January"/>
    <d v="2026-01-02T00:00:00"/>
    <d v="2026-01-09T00:00:00"/>
    <s v="Booking-1226"/>
    <s v="Rejected"/>
    <d v="2025-11-26T00:00:00"/>
    <n v="64"/>
    <s v="Laguna Residence"/>
    <s v="Tower B"/>
    <s v="2 Bedroom"/>
    <s v="B2101"/>
    <s v="Blocked"/>
    <s v="Rejected"/>
    <s v="Garry Anthony Mebane"/>
    <s v="United States of America"/>
    <n v="0"/>
    <n v="0"/>
    <n v="2790000"/>
    <n v="2790000"/>
    <s v="Jude Kwakye"/>
    <s v="ANCHORMAN REAL ESTATE L.L.C"/>
    <s v="a03NM00000NvuTI"/>
    <s v="-"/>
    <e v="#N/A"/>
    <n v="7345.2"/>
    <n v="2.6326881720430107E-3"/>
    <s v="No"/>
    <s v="Cancelled due to Non Payment"/>
    <s v="Booking-1226 - Booking Rejection Request"/>
    <x v="5"/>
    <x v="10"/>
  </r>
  <r>
    <s v="January"/>
    <d v="2026-01-02T00:00:00"/>
    <d v="2026-01-09T00:00:00"/>
    <s v="Booking-951"/>
    <s v="Rejected"/>
    <d v="2025-08-27T00:00:00"/>
    <n v="155"/>
    <s v="Laguna Residence"/>
    <s v="Tower A"/>
    <s v="Studio"/>
    <s v="A3113"/>
    <s v="Booked"/>
    <s v="Rejected"/>
    <s v="Osha Ali Salmeen Ali Almazrouei"/>
    <s v="United Arab Emirates"/>
    <n v="0"/>
    <n v="0"/>
    <n v="805000"/>
    <n v="805000"/>
    <s v="Mohamed El Shimy"/>
    <s v="Eleva Properties LLC"/>
    <s v="a03J600000BrdNw"/>
    <s v="-"/>
    <s v="Not Available on Finance Tracker"/>
    <n v="5000"/>
    <n v="6.2111801242236021E-3"/>
    <s v="N/A"/>
    <s v="Error In Booking"/>
    <s v="Booking-951 - Booking Rejection Request"/>
    <x v="4"/>
    <x v="11"/>
  </r>
  <r>
    <s v="December"/>
    <d v="2025-12-30T00:00:00"/>
    <d v="2026-01-09T00:00:00"/>
    <s v="Booking-1224"/>
    <s v="Rejected"/>
    <d v="2025-11-26T00:00:00"/>
    <n v="64"/>
    <s v="Do Dubai Island"/>
    <s v="Tower 1"/>
    <s v="1 Bedroom"/>
    <s v="206"/>
    <s v="Blocked"/>
    <s v="Rejected"/>
    <s v="Jens Michael Engelhardt"/>
    <s v="Switzerland"/>
    <n v="0"/>
    <n v="0"/>
    <n v="2670000"/>
    <n v="2670000"/>
    <s v="Zarina Avdalian"/>
    <s v="Metropolitan Premium Properties"/>
    <s v="a03NM00000Nuh6f"/>
    <s v="-"/>
    <e v="#N/A"/>
    <n v="10000"/>
    <n v="3.7453183520599251E-3"/>
    <s v="No"/>
    <s v="Customer requested to cancel Booking and for the paid amount to be refunded._x000a_Refund not approved by Management"/>
    <s v="Booking-1224 - Booking Rejection Request"/>
    <x v="1"/>
    <x v="1"/>
  </r>
  <r>
    <s v="December"/>
    <d v="2025-12-24T00:00:00"/>
    <d v="2025-12-29T00:00:00"/>
    <s v="Booking-1101"/>
    <s v="Rejected"/>
    <d v="2025-10-30T00:00:00"/>
    <n v="91"/>
    <s v="Laguna Residence"/>
    <s v="Tower B"/>
    <s v="Studio"/>
    <s v="B1513"/>
    <s v="Blocked"/>
    <s v="Rejected"/>
    <s v="Poorva Avinash Rupawate"/>
    <s v="India"/>
    <n v="0"/>
    <n v="0"/>
    <n v="854000"/>
    <n v="854000"/>
    <s v="Jamil Ibrahim"/>
    <s v="BANKE INTERNATIONAL PROPERTIES L.L.C"/>
    <s v="a03J600000FmRI5"/>
    <s v="-"/>
    <s v="Not Available on Finance Tracker"/>
    <n v="8160"/>
    <n v="9.5550351288056206E-3"/>
    <s v="No"/>
    <s v="Customer requested to cancel Booking and for the paid amount to be refunded._x000a_Refund not approved by Management"/>
    <s v="Booking-1101 - Booking Rejection Request"/>
    <x v="1"/>
    <x v="1"/>
  </r>
  <r>
    <s v="December"/>
    <d v="2025-12-23T00:00:00"/>
    <d v="2026-01-09T00:00:00"/>
    <s v="Booking-1231"/>
    <s v="Rejected"/>
    <d v="2025-12-03T00:00:00"/>
    <n v="57"/>
    <s v="Laguna Residence"/>
    <s v="Tower A"/>
    <s v="Studio"/>
    <s v="A1917"/>
    <s v="Blocked"/>
    <s v="Rejected"/>
    <s v="Vijay Kumar Bhatia"/>
    <s v="India"/>
    <n v="0"/>
    <n v="0"/>
    <n v="871000"/>
    <n v="871000"/>
    <s v="Sumeet Mehta"/>
    <s v="ANCHORMAN REAL ESTATE L.L.C"/>
    <s v="a03NM00000OQ12h"/>
    <s v="-"/>
    <e v="#N/A"/>
    <n v="12500"/>
    <n v="1.4351320321469576E-2"/>
    <s v="No"/>
    <s v="Customer requested to cancel Booking. Refund not approved by Management"/>
    <s v="Booking-1231 - Booking Rejection Request"/>
    <x v="1"/>
    <x v="1"/>
  </r>
  <r>
    <s v="December"/>
    <d v="2025-12-19T00:00:00"/>
    <d v="2026-01-09T00:00:00"/>
    <s v="Booking-864"/>
    <s v="Rejected"/>
    <d v="2025-08-02T00:00:00"/>
    <n v="180"/>
    <s v="Laguna Residence"/>
    <s v="Tower A"/>
    <s v="1 Bedroom"/>
    <s v="A1622"/>
    <s v="Blocked"/>
    <s v="Rejected"/>
    <s v="Magdi H F Al Hassi"/>
    <s v="Libya"/>
    <n v="-47634"/>
    <n v="-3.4000000000000002E-2"/>
    <n v="1448634"/>
    <n v="1401000"/>
    <s v="Amal El Gendy"/>
    <s v="F B B REAL ESTATE BROKERAGE LLC."/>
    <s v="a03J6000009oRWK"/>
    <s v="-"/>
    <s v="Not Available on Finance Tracker"/>
    <n v="20000"/>
    <n v="1.3806109755811338E-2"/>
    <s v="NA"/>
    <s v="Cancelled due to Non Payment"/>
    <s v="Booking-864 - Booking Rejection Request"/>
    <x v="5"/>
    <x v="5"/>
  </r>
  <r>
    <s v="December"/>
    <d v="2025-12-18T00:00:00"/>
    <d v="2026-01-09T00:00:00"/>
    <s v="Booking-1054"/>
    <s v="Rejected"/>
    <d v="2025-10-09T00:00:00"/>
    <n v="112"/>
    <s v="Laguna Residence"/>
    <s v="Tower B"/>
    <s v="Studio"/>
    <s v="B2303"/>
    <s v="Available"/>
    <s v="Rejected"/>
    <s v="Michael Talarico"/>
    <s v="Australia"/>
    <n v="43800"/>
    <n v="0.05"/>
    <n v="832200"/>
    <n v="876000"/>
    <s v="Fadwa Belkaid"/>
    <s v="SEVEN CENTURY REAL ESTATE BROKERS L.L.C"/>
    <s v="a03J600000BuBcq"/>
    <s v="-"/>
    <s v="Not Available on Finance Tracker"/>
    <n v="8450"/>
    <n v="1.015380918048546E-2"/>
    <s v="N/A"/>
    <s v="Cancelled due to Non Payment"/>
    <s v="Booking-1054 - Booking Rejection Request"/>
    <x v="5"/>
    <x v="10"/>
  </r>
  <r>
    <s v="December"/>
    <d v="2025-12-18T00:00:00"/>
    <d v="2026-01-09T00:00:00"/>
    <s v="Booking-1029"/>
    <s v="Rejected"/>
    <d v="2025-10-03T00:00:00"/>
    <n v="118"/>
    <s v="Laguna Residence"/>
    <s v="Tower B"/>
    <s v="Studio"/>
    <s v="B3303"/>
    <s v="Blocked"/>
    <s v="Rejected"/>
    <s v="Blake Taylor Talarico"/>
    <s v="Australia"/>
    <n v="48300"/>
    <n v="0.05"/>
    <n v="917700"/>
    <n v="966000"/>
    <s v="Fadwa Belkaid"/>
    <s v="SEVEN CENTURY REAL ESTATE BROKERS L.L.C"/>
    <s v="a03J600000BtrEr"/>
    <s v="-"/>
    <s v="Not Available on Finance Tracker"/>
    <n v="8450"/>
    <n v="9.2078021139806038E-3"/>
    <s v="No"/>
    <s v="Cancelled due to Non Payment"/>
    <s v="Booking-1029 - Booking Rejection Request"/>
    <x v="5"/>
    <x v="10"/>
  </r>
  <r>
    <s v="December"/>
    <d v="2025-12-15T00:00:00"/>
    <d v="2026-01-09T00:00:00"/>
    <s v="Booking-948"/>
    <s v="Rejected"/>
    <d v="2025-08-27T00:00:00"/>
    <n v="155"/>
    <s v="Laguna Residence"/>
    <s v="Tower A"/>
    <s v="Studio"/>
    <s v="A2913"/>
    <s v="Booked"/>
    <s v="Rejected"/>
    <s v="Saleha Mubarak Murshed Ali Almarar"/>
    <s v="United Arab Emirates"/>
    <n v="0"/>
    <n v="0"/>
    <n v="805000"/>
    <n v="805000"/>
    <s v="Mohamed El Shimy"/>
    <s v="Eleva Properties LLC"/>
    <s v="a03J600000BrdNX"/>
    <s v="-"/>
    <s v="Not Available on Finance Tracker"/>
    <n v="5000"/>
    <n v="6.2111801242236021E-3"/>
    <s v="N/A"/>
    <s v="Error In Booking"/>
    <s v="Booking-948 - Booking Rejection Request"/>
    <x v="7"/>
    <x v="11"/>
  </r>
  <r>
    <s v="December"/>
    <d v="2025-12-15T00:00:00"/>
    <d v="2026-01-09T00:00:00"/>
    <s v="Booking-950"/>
    <s v="Rejected"/>
    <d v="2025-08-27T00:00:00"/>
    <n v="155"/>
    <s v="Laguna Residence"/>
    <s v="Tower A"/>
    <s v="Studio"/>
    <s v="A3013"/>
    <s v="Booked"/>
    <s v="Rejected"/>
    <s v="Jaber Ali Salmeen Ali Almazrouei"/>
    <s v="United Arab Emirates"/>
    <n v="0"/>
    <n v="0"/>
    <n v="806000"/>
    <n v="806000"/>
    <s v="Mohamed El Shimy"/>
    <s v="Eleva Properties LLC"/>
    <s v="a03J600000BrdNr"/>
    <s v="-"/>
    <s v="Not Available on Finance Tracker"/>
    <n v="5000"/>
    <n v="6.2034739454094297E-3"/>
    <s v="N/A"/>
    <s v="Error In Booking"/>
    <s v="Booking-950 - Booking Rejection Request"/>
    <x v="7"/>
    <x v="11"/>
  </r>
  <r>
    <s v="December"/>
    <d v="2025-12-12T00:00:00"/>
    <d v="2025-12-22T00:00:00"/>
    <s v="Booking-1100"/>
    <s v="Rejected"/>
    <d v="2025-10-30T00:00:00"/>
    <n v="91"/>
    <s v="Laguna Residence"/>
    <s v="Tower A"/>
    <s v="Studio"/>
    <s v="A1611"/>
    <s v="SPA Executed"/>
    <s v="Rejected"/>
    <s v="Su Mon Phyo"/>
    <s v="Myanmar (formerly Burma)"/>
    <n v="39700"/>
    <n v="0.05"/>
    <n v="754300"/>
    <n v="794000"/>
    <s v="Yang XI"/>
    <s v="TRILUXE LIVING PROPERTIES LLC"/>
    <s v="a03J600000FmRFL"/>
    <s v="-"/>
    <s v="Not Available on Finance Tracker"/>
    <n v="10000"/>
    <n v="1.3257324671881215E-2"/>
    <s v="No"/>
    <s v="Cancelled due to Non Payment"/>
    <s v="Booking-1100 - Booking Rejection Request"/>
    <x v="5"/>
    <x v="5"/>
  </r>
  <r>
    <s v="December"/>
    <d v="2025-12-03T00:00:00"/>
    <d v="2025-12-10T00:00:00"/>
    <s v="Booking-1162"/>
    <s v="Rejected"/>
    <d v="2025-11-09T00:00:00"/>
    <n v="81"/>
    <s v="Laguna Residence"/>
    <s v="Tower B"/>
    <s v="Studio"/>
    <s v="B1807"/>
    <s v="Blocked"/>
    <s v="Rejected"/>
    <s v="Riad El Kaddouri"/>
    <s v="Netherlands"/>
    <n v="47420"/>
    <n v="5.0770877944325485E-2"/>
    <n v="886580"/>
    <n v="934000"/>
    <s v="Joudy Shaker"/>
    <s v="GLOBEX REAL ESTATE L L C"/>
    <s v="a03NM00000MY1oE"/>
    <s v="-"/>
    <s v="Not Available on Finance Tracker"/>
    <n v="3000"/>
    <n v="3.383789392948183E-3"/>
    <s v="Yes"/>
    <s v="Customer requested to cancel Booking and for the paid amount to be refunded._x000a_Refund approved by Management"/>
    <s v="Booking-1162 - Booking Rejection Request"/>
    <x v="1"/>
    <x v="12"/>
  </r>
  <r>
    <s v="December"/>
    <d v="2025-12-03T00:00:00"/>
    <d v="2025-12-04T00:00:00"/>
    <s v="Booking-1171"/>
    <s v="Rejected"/>
    <d v="2025-11-12T00:00:00"/>
    <n v="78"/>
    <s v="Do New Cairo"/>
    <s v="Hotel Apartments"/>
    <s v="Studio"/>
    <s v="DNC-HA-207"/>
    <s v="Blocked"/>
    <s v="Rejected"/>
    <s v="Ahmed Mohamed said zakria"/>
    <s v="Syria"/>
    <n v="1598750"/>
    <n v="0.11618822674418605"/>
    <n v="12161250"/>
    <n v="13760000"/>
    <s v="Omar Magdy"/>
    <s v=""/>
    <s v="a03NM00000Moq0S"/>
    <s v="-"/>
    <s v="Not Available on Finance Tracker"/>
    <s v="No Payment"/>
    <n v="0"/>
    <s v="N/A"/>
    <s v="Cancellation requested by Egypt Sales Operations Team"/>
    <s v="Booking-1171 - Booking Rejection Request"/>
    <x v="8"/>
    <x v="13"/>
  </r>
  <r>
    <s v="November"/>
    <d v="2025-11-30T00:00:00"/>
    <d v="2025-12-04T00:00:00"/>
    <s v="Booking-1180"/>
    <s v="Rejected"/>
    <d v="2025-11-12T00:00:00"/>
    <n v="78"/>
    <s v="Do New Cairo"/>
    <s v="Offices"/>
    <s v="-"/>
    <s v="DNC-O3-111"/>
    <s v="Blocked"/>
    <s v="Rejected"/>
    <s v="Ali ali nasr nouh"/>
    <s v="-"/>
    <n v="0"/>
    <n v="0"/>
    <n v="20728125"/>
    <n v="20728125"/>
    <s v="Rowan Abbady"/>
    <s v=""/>
    <s v="a03NM00000Mpzj9"/>
    <s v="-"/>
    <s v="Not Available on Finance Tracker"/>
    <s v="No Payment"/>
    <n v="0"/>
    <s v="N/A"/>
    <s v="Cancellation requested by Egypt Sales Operations Team"/>
    <s v="Booking-1180 - Booking Rejection Request"/>
    <x v="8"/>
    <x v="13"/>
  </r>
  <r>
    <s v="November"/>
    <d v="2025-11-30T00:00:00"/>
    <d v="2025-12-03T00:00:00"/>
    <s v="Booking-1192"/>
    <s v="Rejected"/>
    <d v="2025-11-12T00:00:00"/>
    <n v="78"/>
    <s v="Do New Cairo"/>
    <s v="Hotel Apartments"/>
    <s v="1 BR"/>
    <s v="DNC-HA-219"/>
    <s v="Booked"/>
    <s v="Rejected"/>
    <s v="Tawfik Salah Eldin Ahmed Diab"/>
    <s v="Egypt"/>
    <n v="0"/>
    <n v="0"/>
    <n v="22912500"/>
    <n v="22912500"/>
    <s v="Hana Soliman"/>
    <s v=""/>
    <s v="a03NM00000Mqxc2"/>
    <s v="-"/>
    <s v="Not Available on Finance Tracker"/>
    <s v="No Payment"/>
    <n v="0"/>
    <s v="N/A"/>
    <s v="Cancellation requested by Egypt Sales Operations Team"/>
    <s v="Booking-1192 - Booking Rejection Request"/>
    <x v="8"/>
    <x v="13"/>
  </r>
  <r>
    <s v="November"/>
    <d v="2025-11-30T00:00:00"/>
    <d v="2025-12-03T00:00:00"/>
    <s v="Booking-1181"/>
    <s v="Rejected"/>
    <d v="2025-11-12T00:00:00"/>
    <n v="78"/>
    <s v="Do New Cairo"/>
    <s v="Hotel Apartments"/>
    <s v="1 BR"/>
    <s v="DNC-HA-420"/>
    <s v="Blocked"/>
    <s v="Rejected"/>
    <s v="Ali ali nasr nouh"/>
    <s v="-"/>
    <n v="0"/>
    <n v="0"/>
    <n v="23887500"/>
    <n v="23887500"/>
    <s v="Rowan Abbady"/>
    <s v=""/>
    <s v="a03NM00000MpXlJ"/>
    <s v="-"/>
    <s v="Not Available on Finance Tracker"/>
    <s v="No Payment"/>
    <n v="0"/>
    <s v="N/A"/>
    <s v="Cancellation requested by Egypt Sales Operations Team"/>
    <s v="Booking-1181 - Booking Rejection Request"/>
    <x v="8"/>
    <x v="13"/>
  </r>
  <r>
    <s v="November"/>
    <d v="2025-11-28T00:00:00"/>
    <d v="2025-12-04T00:00:00"/>
    <s v="Booking-973"/>
    <s v="Rejected"/>
    <d v="2025-09-04T00:00:00"/>
    <n v="147"/>
    <s v="Laguna Residence"/>
    <s v="Tower B"/>
    <s v="Studio"/>
    <s v="B3012"/>
    <s v="Available"/>
    <s v="Rejected"/>
    <s v="Mohammed Fardin Khan"/>
    <s v="United States of America"/>
    <n v="44450"/>
    <n v="0.05"/>
    <n v="844550"/>
    <n v="889000"/>
    <s v="Ramy Abdelsalam"/>
    <s v="Sevenx Properties LLC"/>
    <s v="a03J600000Bs7e5"/>
    <s v="-"/>
    <s v="Not Available on Finance Tracker"/>
    <n v="60000"/>
    <n v="7.1043751110058617E-2"/>
    <s v="N/A"/>
    <s v="Cancelled due to Non Payment"/>
    <s v="Booking-973 - Booking Rejection Request"/>
    <x v="5"/>
    <x v="5"/>
  </r>
  <r>
    <s v="November"/>
    <d v="2025-11-28T00:00:00"/>
    <d v="2025-12-04T00:00:00"/>
    <s v="Booking-1011"/>
    <s v="Rejected"/>
    <d v="2025-09-24T00:00:00"/>
    <n v="127"/>
    <s v="Laguna Residence"/>
    <s v="Tower A"/>
    <s v="2 Bedroom"/>
    <s v="A2305"/>
    <s v="SPA Executed"/>
    <s v="Rejected"/>
    <s v="Amr Mahdy Sallam Mahmoud"/>
    <s v="Egypt"/>
    <n v="114700"/>
    <n v="0.05"/>
    <n v="2179300"/>
    <n v="2294000"/>
    <s v="Feriel Dridi"/>
    <s v="Eleva Properties LLC"/>
    <s v="a03J600000BtKzJ"/>
    <s v="-"/>
    <s v="Not Available on Finance Tracker"/>
    <n v="20000"/>
    <n v="9.177258752810535E-3"/>
    <s v="N/A"/>
    <s v="Cancelled due to Non Payment"/>
    <s v="Booking-1011 - Booking Rejection Request"/>
    <x v="5"/>
    <x v="5"/>
  </r>
  <r>
    <s v="November"/>
    <d v="2025-11-26T00:00:00"/>
    <d v="2025-12-10T00:00:00"/>
    <s v="Booking-949"/>
    <s v="Rejected"/>
    <d v="2025-08-27T00:00:00"/>
    <n v="155"/>
    <s v="Laguna Residence"/>
    <s v="Tower A"/>
    <s v="Studio"/>
    <s v="A2713"/>
    <s v="Booked"/>
    <s v="Rejected"/>
    <s v="Meera Ali Salmeen Ali Almazrouei"/>
    <s v="United Arab Emirates"/>
    <n v="0"/>
    <n v="0"/>
    <n v="801000"/>
    <n v="801000"/>
    <s v="Mohamed El Shimy"/>
    <s v="Eleva Properties LLC"/>
    <s v="a03J600000BrdNh"/>
    <s v="-"/>
    <s v="Not Available on Finance Tracker"/>
    <n v="10000"/>
    <n v="1.2484394506866416E-2"/>
    <s v="No"/>
    <s v="Cancelled due to Non Payment"/>
    <s v="Booking-949 - Booking Rejection Request"/>
    <x v="5"/>
    <x v="7"/>
  </r>
  <r>
    <s v="November"/>
    <d v="2025-11-25T00:00:00"/>
    <d v="2025-11-26T00:00:00"/>
    <s v="Booking-1165"/>
    <s v="Rejected"/>
    <d v="2025-11-11T00:00:00"/>
    <n v="79"/>
    <s v="Do Dubai Island"/>
    <s v="Tower 1"/>
    <s v="1 Bedroom"/>
    <s v="609"/>
    <s v="Blocked"/>
    <s v="Rejected"/>
    <s v="Samir Bahida"/>
    <s v="Morocco"/>
    <n v="47280"/>
    <n v="0.02"/>
    <n v="2316720"/>
    <n v="2364000"/>
    <s v="Rihab Zayani"/>
    <s v="Marrfa Discovery Real Estate L.L.C"/>
    <s v="a03NM00000Mjg07"/>
    <s v="-"/>
    <s v="Not Available on Finance Tracker"/>
    <s v="No Payment"/>
    <n v="0"/>
    <s v="N/A"/>
    <s v="Cancelled due to Non Payment"/>
    <s v="Booking-1165 - Booking Rejection Request"/>
    <x v="5"/>
    <x v="7"/>
  </r>
  <r>
    <s v="November"/>
    <d v="2025-11-25T00:00:00"/>
    <d v="2025-11-26T00:00:00"/>
    <s v="Booking-1212"/>
    <s v="Rejected"/>
    <d v="2025-11-15T00:00:00"/>
    <n v="75"/>
    <s v="Do Dubai Island"/>
    <s v="Tower 1"/>
    <s v="1 Bedroom"/>
    <s v="409"/>
    <s v="Blocked"/>
    <s v="Rejected"/>
    <s v="Ali Lafhel"/>
    <s v="Morocco"/>
    <n v="46580"/>
    <n v="0.02"/>
    <n v="2282420"/>
    <n v="2329000"/>
    <s v="Rihab Zayani"/>
    <s v="Marrfa Discovery Real Estate L.L.C"/>
    <s v="a03NM00000N5lih"/>
    <s v="-"/>
    <s v="Not Available on Finance Tracker"/>
    <s v="No Payment"/>
    <n v="0"/>
    <s v="N/A"/>
    <s v="Cancelled due to Non Payment"/>
    <s v="Booking-1212 - Booking Rejection Request"/>
    <x v="5"/>
    <x v="7"/>
  </r>
  <r>
    <s v="November"/>
    <d v="2025-11-24T00:00:00"/>
    <d v="2025-12-05T00:00:00"/>
    <s v="Booking-443"/>
    <s v="Rejected"/>
    <d v="2025-02-05T00:00:00"/>
    <n v="358"/>
    <s v="Laguna Residence"/>
    <s v="Tower A"/>
    <s v="Studio"/>
    <s v="A1914"/>
    <s v="Booked"/>
    <s v="Rejected"/>
    <s v="Nageswara Rao Gupta Manepalli"/>
    <s v="India"/>
    <n v="98930"/>
    <n v="0.12602547770700637"/>
    <n v="686070"/>
    <n v="785000"/>
    <s v="Khamid Marzaganov"/>
    <s v="CHALET INTERNATIONAL REAL ESTATE L.L.C"/>
    <s v="a03J60000060Aow"/>
    <s v="19102"/>
    <s v="Not Available on Finance Tracker"/>
    <n v="202634.84999999998"/>
    <n v="0.29535594035594032"/>
    <s v="N/A"/>
    <s v="Customer requested to transfer ownership to &quot;Srinivasa Rao Ganta&quot;"/>
    <s v="Booking-443 - Booking Rejection Request"/>
    <x v="9"/>
    <x v="14"/>
  </r>
  <r>
    <s v="November"/>
    <d v="2025-11-24T00:00:00"/>
    <d v="2025-11-26T00:00:00"/>
    <s v="Booking-1153"/>
    <s v="Rejected"/>
    <d v="2025-11-07T00:00:00"/>
    <n v="83"/>
    <s v="Do Dubai Island"/>
    <s v="Tower 1"/>
    <s v="1 Bedroom"/>
    <s v="404"/>
    <s v="Booked"/>
    <s v="Rejected"/>
    <s v="Lady Johanna Morales Torres"/>
    <s v="Colombia"/>
    <n v="0"/>
    <n v="0"/>
    <n v="2664000"/>
    <n v="2664000"/>
    <s v="Alona Lurdes"/>
    <s v="PROVIDENT REAL ESTATE BROKER L.L.C"/>
    <s v="a03NM00000MRfSF"/>
    <s v="-"/>
    <s v="Not Available on Finance Tracker"/>
    <s v="No Payment"/>
    <n v="0"/>
    <s v="N/A"/>
    <s v="Cancelled due to Non Payment"/>
    <s v="Booking-1153 - Booking Rejection Request"/>
    <x v="5"/>
    <x v="7"/>
  </r>
  <r>
    <s v="November"/>
    <d v="2025-11-19T00:00:00"/>
    <d v="2025-11-20T00:00:00"/>
    <s v="Booking-1014"/>
    <s v="Rejected"/>
    <d v="2025-09-25T00:00:00"/>
    <n v="126"/>
    <s v="Laguna Residence"/>
    <s v="Tower A"/>
    <s v="2 Bedroom"/>
    <s v="A4205"/>
    <s v="Blocked"/>
    <s v="Rejected"/>
    <s v="Amer Darweesh Ali Almoseimi"/>
    <s v="Jordan"/>
    <n v="98600"/>
    <n v="3.8217054263565892E-2"/>
    <n v="2481400"/>
    <n v="2580000"/>
    <s v="Mohamed El Shimy"/>
    <s v="CHALET INTERNATIONAL REAL ESTATE L.L.C"/>
    <s v="a03J600000BtSUB"/>
    <s v="-"/>
    <s v="Not Available on Finance Tracker"/>
    <n v="25000"/>
    <n v="1.0074957685177723E-2"/>
    <s v="No"/>
    <s v="Cancelled due to Non Payment"/>
    <s v="Booking-1014 - Booking Rejection Request"/>
    <x v="5"/>
    <x v="7"/>
  </r>
  <r>
    <s v="November"/>
    <d v="2025-11-19T00:00:00"/>
    <d v="2025-11-20T00:00:00"/>
    <s v="Booking-1010"/>
    <s v="Rejected"/>
    <d v="2025-09-24T00:00:00"/>
    <n v="127"/>
    <s v="Laguna Residence"/>
    <s v="Tower A"/>
    <s v="Studio"/>
    <s v="A1014"/>
    <s v="Booked"/>
    <s v="Rejected"/>
    <s v="Ayesha Ibrahim Obaid Ismail Alhamsha"/>
    <s v="United Arab Emirates"/>
    <n v="26000"/>
    <n v="3.2459425717852687E-2"/>
    <n v="774999.99977400003"/>
    <n v="801000"/>
    <s v="Mohamed El Shimy"/>
    <s v="CHALET INTERNATIONAL REAL ESTATE L.L.C"/>
    <s v="a03J600000BtKfI"/>
    <s v="-"/>
    <s v="Not Available on Finance Tracker"/>
    <n v="20000"/>
    <n v="2.580645162042872E-2"/>
    <s v="No"/>
    <s v="Cancelled due to Non Payment"/>
    <s v="Booking-1010 - Booking Rejection Request"/>
    <x v="5"/>
    <x v="7"/>
  </r>
  <r>
    <s v="November"/>
    <d v="2025-11-19T00:00:00"/>
    <d v="2025-11-20T00:00:00"/>
    <s v="Booking-987"/>
    <s v="Rejected"/>
    <d v="2025-09-12T00:00:00"/>
    <n v="139"/>
    <s v="Laguna Residence"/>
    <s v="Tower B"/>
    <s v="Studio"/>
    <s v="B2812"/>
    <s v="Available"/>
    <s v="Rejected"/>
    <s v="Michael Adom Adomako"/>
    <s v="Ghana"/>
    <n v="17520"/>
    <n v="0.02"/>
    <n v="858480"/>
    <n v="876000"/>
    <s v="Mohamed El Shimy"/>
    <s v="PREMIA LIVINGS REAL ESTATE L.L.C"/>
    <s v="a03J600000BsZtT"/>
    <s v="-"/>
    <s v="Not Available on Finance Tracker"/>
    <n v="1500"/>
    <n v="1.7472742521666201E-3"/>
    <s v="No"/>
    <s v="Cancelled due to Non Payment"/>
    <s v="Booking-987 - Booking Rejection Request"/>
    <x v="5"/>
    <x v="7"/>
  </r>
  <r>
    <s v="November"/>
    <d v="2025-11-19T00:00:00"/>
    <d v="2025-11-20T00:00:00"/>
    <s v="Booking-1020"/>
    <s v="Rejected"/>
    <d v="2025-09-30T00:00:00"/>
    <n v="121"/>
    <s v="Laguna Residence"/>
    <s v="Tower A"/>
    <s v="1 Bedroom"/>
    <s v="A2807"/>
    <s v="Blocked"/>
    <s v="Rejected"/>
    <s v="Chapol Molla Ali Ahamed Molla"/>
    <s v="Bangladesh"/>
    <n v="48283.199999999997"/>
    <n v="3.3599999999999998E-2"/>
    <n v="1388716.8"/>
    <n v="1437000"/>
    <s v="Mohamed El Shimy"/>
    <s v="PREMIA LIVINGS REAL ESTATE L.L.C"/>
    <s v="a03J600000BteaL"/>
    <s v="-"/>
    <s v="Not Available on Finance Tracker"/>
    <n v="5000"/>
    <n v="3.6004461096747729E-3"/>
    <s v="No"/>
    <s v="Cancelled due to Non Payment"/>
    <s v="Booking-1020 - Booking Rejection Request"/>
    <x v="5"/>
    <x v="7"/>
  </r>
  <r>
    <s v="November"/>
    <d v="2025-11-19T00:00:00"/>
    <d v="2025-11-20T00:00:00"/>
    <s v="Booking-1044"/>
    <s v="Rejected"/>
    <d v="2025-10-06T00:00:00"/>
    <n v="115"/>
    <s v="Laguna Residence"/>
    <s v="Tower B"/>
    <s v="Studio"/>
    <s v="B1219"/>
    <s v="Booked"/>
    <s v="Rejected"/>
    <s v="Ansam Adnan Sadiq"/>
    <s v="Iraq"/>
    <n v="32000"/>
    <n v="3.9119804400977995E-2"/>
    <n v="786000"/>
    <n v="818000"/>
    <s v="Mohamed El Shimy"/>
    <s v="Eleva Properties LLC"/>
    <s v="a03J600000BtyRL"/>
    <s v="-"/>
    <s v="Not Available on Finance Tracker"/>
    <n v="20000"/>
    <n v="2.5445292620865138E-2"/>
    <s v="No"/>
    <s v="Cancelled due to Non Payment"/>
    <s v="Booking-1044 - Booking Rejection Request"/>
    <x v="5"/>
    <x v="7"/>
  </r>
  <r>
    <s v="November"/>
    <d v="2025-11-19T00:00:00"/>
    <d v="2025-11-21T00:00:00"/>
    <s v="Booking-594"/>
    <s v="Rejected"/>
    <d v="2025-04-15T00:00:00"/>
    <n v="289"/>
    <s v="Laguna Residence"/>
    <s v="Tower B"/>
    <s v="1 Bedroom"/>
    <s v="B402"/>
    <s v="Blocked"/>
    <s v="Rejected"/>
    <s v="Madyan Maher Jameel Rishan"/>
    <s v="Iraq"/>
    <n v="82750"/>
    <n v="6.5883757961783446E-2"/>
    <n v="1173250"/>
    <n v="1256000"/>
    <s v="Midia Sedighi"/>
    <s v="NESTSEEKERS REAL ESTATE L.L.C"/>
    <s v="a03J60000081ULp"/>
    <s v="-"/>
    <n v="6000"/>
    <n v="154120"/>
    <n v="0.13136160238653313"/>
    <s v="No"/>
    <s v="Cancelled due to Non Payment"/>
    <s v="Booking-594 - Booking Rejection Request"/>
    <x v="5"/>
    <x v="7"/>
  </r>
  <r>
    <s v="November"/>
    <d v="2025-11-19T00:00:00"/>
    <d v="2025-11-20T00:00:00"/>
    <s v="Booking-1000"/>
    <s v="Rejected"/>
    <d v="2025-09-19T00:00:00"/>
    <n v="132"/>
    <s v="Laguna Residence"/>
    <s v="Tower A"/>
    <s v="Studio"/>
    <s v="A2014"/>
    <s v="SPA Executed"/>
    <s v="Rejected"/>
    <s v="Zainab Mohammed Saif Obaid"/>
    <s v="United Arab Emirates"/>
    <n v="31960"/>
    <n v="0.04"/>
    <n v="767040.00028716063"/>
    <n v="799000"/>
    <s v="Mohamed El Shimy"/>
    <s v="PREMIA LIVINGS REAL ESTATE L.L.C"/>
    <s v="a03J600000Bswpp"/>
    <s v="-"/>
    <s v="Not Available on Finance Tracker"/>
    <n v="25000"/>
    <n v="3.2592824351586128E-2"/>
    <s v="No"/>
    <s v="Cancelled due to Non Payment"/>
    <s v="Booking-1000 - Booking Rejection Request"/>
    <x v="5"/>
    <x v="7"/>
  </r>
  <r>
    <s v="November"/>
    <d v="2025-11-19T00:00:00"/>
    <d v="2025-11-20T00:00:00"/>
    <s v="Booking-988"/>
    <s v="Rejected"/>
    <d v="2025-09-12T00:00:00"/>
    <n v="139"/>
    <s v="Laguna Residence"/>
    <s v="Tower A"/>
    <s v="Studio"/>
    <s v="A2712"/>
    <s v="Blocked"/>
    <s v="Rejected"/>
    <s v="Michael Adom Adomako"/>
    <s v="Ghana"/>
    <n v="16380"/>
    <n v="0.02"/>
    <n v="802620"/>
    <n v="819000"/>
    <s v="Mohamed El Shimy"/>
    <s v="PREMIA LIVINGS REAL ESTATE L.L.C"/>
    <s v="a03J600000BsZxQ"/>
    <s v="-"/>
    <s v="Not Available on Finance Tracker"/>
    <n v="1500"/>
    <n v="1.868879419899828E-3"/>
    <s v="No"/>
    <s v="Cancelled due to Non Payment"/>
    <s v="Booking-988 - Booking Rejection Request"/>
    <x v="5"/>
    <x v="7"/>
  </r>
  <r>
    <s v="November"/>
    <d v="2025-11-19T00:00:00"/>
    <d v="2025-11-20T00:00:00"/>
    <s v="Booking-970"/>
    <s v="Rejected"/>
    <d v="2025-09-04T00:00:00"/>
    <n v="147"/>
    <s v="Laguna Residence"/>
    <s v="Tower A"/>
    <s v="Studio"/>
    <s v="A1716"/>
    <s v="Blocked"/>
    <s v="Rejected"/>
    <s v="Farah Ahmad Saeed Khalifa Almarri"/>
    <s v="United Arab Emirates"/>
    <n v="39600"/>
    <n v="0.05"/>
    <n v="752400"/>
    <n v="792000"/>
    <s v="Mohamed El Shimy"/>
    <s v="Eleva Properties LLC"/>
    <s v="a03J600000Bs5Df"/>
    <s v="-"/>
    <s v="Not Available on Finance Tracker"/>
    <n v="5400"/>
    <n v="7.1770334928229667E-3"/>
    <s v="No"/>
    <s v="Cancelled due to Non Payment"/>
    <s v="Booking-970 - Booking Rejection Request"/>
    <x v="5"/>
    <x v="7"/>
  </r>
  <r>
    <s v="November"/>
    <d v="2025-11-19T00:00:00"/>
    <d v="2025-11-20T00:00:00"/>
    <s v="Booking-1166"/>
    <s v="Rejected"/>
    <d v="2025-11-11T00:00:00"/>
    <n v="79"/>
    <s v="Do Dubai Island"/>
    <s v="Tower 1"/>
    <s v="1 Bedroom"/>
    <s v="516"/>
    <s v="Blocked"/>
    <s v="Rejected"/>
    <s v="Ali Lafhel"/>
    <s v="Morocco"/>
    <n v="0"/>
    <n v="0"/>
    <n v="2252000"/>
    <n v="2252000"/>
    <s v="Rihab Zayani"/>
    <s v="Marrfa Discovery Real Estate L.L.C"/>
    <s v="a03NM00000MjL2C"/>
    <s v="-"/>
    <s v="Not Available on Finance Tracker"/>
    <s v="No Payment"/>
    <n v="0"/>
    <s v="N/A"/>
    <s v="Unit Swapped with DO 409 as approved by Management"/>
    <s v="Booking-1166 - Booking Rejection Request"/>
    <x v="3"/>
    <x v="15"/>
  </r>
  <r>
    <s v="November"/>
    <d v="2025-11-19T00:00:00"/>
    <d v="2025-11-20T00:00:00"/>
    <s v="Booking-1127"/>
    <s v="Rejected"/>
    <d v="2025-10-31T00:00:00"/>
    <n v="90"/>
    <s v="Laguna Residence"/>
    <s v="Tower B"/>
    <s v="Studio"/>
    <s v="B614"/>
    <s v="Blocked"/>
    <s v="Rejected"/>
    <s v="Argishti Darbinyan"/>
    <s v="Armenia"/>
    <n v="0"/>
    <n v="0"/>
    <n v="838000"/>
    <n v="838000"/>
    <s v="Zarina Avdalian"/>
    <s v="ALBINA MKRTCHYAN REAL ESTATE"/>
    <s v="a03J600000FmbmR"/>
    <s v="-"/>
    <s v="Not Available on Finance Tracker"/>
    <s v="No Payment"/>
    <n v="0"/>
    <s v="No"/>
    <s v="Customer requested to cancel"/>
    <s v="Booking-1127 - Booking Rejection Request"/>
    <x v="1"/>
    <x v="16"/>
  </r>
  <r>
    <s v="November"/>
    <d v="2025-11-17T00:00:00"/>
    <d v="2025-11-17T00:00:00"/>
    <s v="Booking-1174"/>
    <s v="Rejected"/>
    <d v="2025-11-12T00:00:00"/>
    <n v="78"/>
    <s v="Do New Cairo"/>
    <s v="Hotel Apartments"/>
    <s v="1 BR"/>
    <s v="DNC-HA-401"/>
    <s v="Booked"/>
    <s v="Rejected"/>
    <s v="hossam saeed abdel fattah"/>
    <s v="-"/>
    <n v="0"/>
    <n v="0"/>
    <n v="25416300"/>
    <n v="25416300"/>
    <s v="Ahmed Arafat"/>
    <s v=""/>
    <s v="a03NM00000MpNh3"/>
    <s v="-"/>
    <s v="Not Available on Finance Tracker"/>
    <s v="No Payment"/>
    <n v="0"/>
    <s v="N/A"/>
    <s v="Cancelled due to Repricing"/>
    <s v="Booking-1174 - Booking Rejection Request"/>
    <x v="10"/>
    <x v="17"/>
  </r>
  <r>
    <s v="November"/>
    <d v="2025-11-17T00:00:00"/>
    <d v="2025-11-17T00:00:00"/>
    <s v="Booking-1173"/>
    <s v="Rejected"/>
    <d v="2025-11-12T00:00:00"/>
    <n v="78"/>
    <s v="Do New Cairo"/>
    <s v="Offices"/>
    <s v="-"/>
    <s v="DNC-O3-312"/>
    <s v="Booked"/>
    <s v="Rejected"/>
    <s v="hossam saeed abdel fattah"/>
    <s v="-"/>
    <n v="-2736565.44"/>
    <n v="-4.1666666666666664E-2"/>
    <n v="68414136"/>
    <n v="65677570.560000002"/>
    <s v="Ahmed Arafat"/>
    <s v=""/>
    <s v="a03NM00000MpL49"/>
    <s v="-"/>
    <s v="Not Available on Finance Tracker"/>
    <s v="No Payment"/>
    <n v="0"/>
    <s v="N/A"/>
    <s v="Cancelled due to Repricing"/>
    <s v="Booking-1173 - Booking Rejection Request"/>
    <x v="10"/>
    <x v="17"/>
  </r>
  <r>
    <s v="November"/>
    <d v="2025-11-14T00:00:00"/>
    <d v="2025-11-20T00:00:00"/>
    <s v="Booking-1167"/>
    <s v="Rejected"/>
    <d v="2025-11-11T00:00:00"/>
    <n v="79"/>
    <s v="Laguna Residence"/>
    <s v="Tower A"/>
    <s v="Studio"/>
    <s v="A2108"/>
    <s v="Blocked"/>
    <s v="Rejected"/>
    <s v="Mohamed Abdelhakim Elsayed Mahmoud Amer"/>
    <s v="Egypt"/>
    <n v="39950"/>
    <n v="0.05"/>
    <n v="759050"/>
    <n v="799000"/>
    <s v="Osama Elsharkasy"/>
    <s v=""/>
    <s v="a03NM00000Mk4gg"/>
    <s v="-"/>
    <s v="Not Available on Finance Tracker"/>
    <n v="81900"/>
    <n v="0.10789803043277782"/>
    <s v="N/A"/>
    <s v="Unit Swapped with B518"/>
    <s v="Booking-1167 - Booking Rejection Request"/>
    <x v="3"/>
    <x v="18"/>
  </r>
  <r>
    <s v="November"/>
    <d v="2025-11-10T00:00:00"/>
    <d v="2025-11-11T00:00:00"/>
    <s v="Booking-1025"/>
    <s v="Rejected"/>
    <d v="2025-09-30T00:00:00"/>
    <n v="121"/>
    <s v="Do Dubai Island"/>
    <s v="Tower 1"/>
    <s v="Studio"/>
    <s v="110"/>
    <s v="SPA Executed"/>
    <s v="Rejected"/>
    <s v="Ekaterina Shipova"/>
    <s v="Russia"/>
    <n v="0"/>
    <n v="0"/>
    <n v="1250000"/>
    <n v="1250000"/>
    <s v="Gulnoz Khodjayeva"/>
    <s v="Home Liga Real Estate"/>
    <s v="a03J600000Bth7k"/>
    <s v="-"/>
    <s v="Not Available on Finance Tracker"/>
    <s v="No Payment"/>
    <n v="0"/>
    <s v="N/A"/>
    <s v="Cancellation raised by Sales Director and approved by CCO"/>
    <s v="Booking-1025 - Booking Rejection Request"/>
    <x v="11"/>
    <x v="19"/>
  </r>
  <r>
    <s v="November"/>
    <d v="2025-11-10T00:00:00"/>
    <d v="2025-11-11T00:00:00"/>
    <s v="Booking-1114"/>
    <s v="Rejected"/>
    <d v="2025-10-31T00:00:00"/>
    <n v="90"/>
    <s v="Laguna Residence"/>
    <s v="Tower B"/>
    <s v="Studio"/>
    <s v="B714"/>
    <s v="Booked"/>
    <s v="Rejected"/>
    <s v="Albina Mkrtchyan"/>
    <s v="Armenia"/>
    <n v="0"/>
    <n v="0"/>
    <n v="832000"/>
    <n v="832000"/>
    <s v="Zarina Avdalian"/>
    <s v="ALBINA MKRTCHYAN REAL ESTATE"/>
    <s v="a03J600000FmbGz"/>
    <s v="-"/>
    <s v="Not Available on Finance Tracker"/>
    <s v="No Payment"/>
    <n v="0"/>
    <s v="N/A"/>
    <s v="Customer requested to cancel"/>
    <s v="Booking-1114 - Booking Rejection Request"/>
    <x v="1"/>
    <x v="1"/>
  </r>
  <r>
    <s v="November"/>
    <d v="2025-11-10T00:00:00"/>
    <d v="2025-11-11T00:00:00"/>
    <s v="Booking-1110"/>
    <s v="Rejected"/>
    <d v="2025-10-31T00:00:00"/>
    <n v="90"/>
    <s v="Laguna Residence"/>
    <s v="Tower B"/>
    <s v="Studio"/>
    <s v="B911"/>
    <s v="Blocked"/>
    <s v="Rejected"/>
    <s v="Gor Keshishoghlyan"/>
    <s v="Armenia"/>
    <n v="0"/>
    <n v="0"/>
    <n v="832000"/>
    <n v="832000"/>
    <s v="Zarina Avdalian"/>
    <s v="ALBINA MKRTCHYAN REAL ESTATE"/>
    <s v="a03J600000Fmam0"/>
    <s v="-"/>
    <s v="Not Available on Finance Tracker"/>
    <n v="9000"/>
    <n v="1.0817307692307692E-2"/>
    <s v="No"/>
    <s v="Customer requested to cancel"/>
    <s v="Booking-1110 - Booking Rejection Request"/>
    <x v="1"/>
    <x v="1"/>
  </r>
  <r>
    <s v="November"/>
    <d v="2025-11-05T00:00:00"/>
    <d v="2025-11-07T00:00:00"/>
    <s v="Booking-1133"/>
    <s v="Rejected"/>
    <d v="2025-10-31T00:00:00"/>
    <n v="90"/>
    <s v="Laguna Residence"/>
    <s v="Tower B"/>
    <s v="Studio"/>
    <s v="B412"/>
    <s v="Blocked"/>
    <s v="Rejected"/>
    <s v="Omar Mohamed Mohamed  Ibrahim"/>
    <s v="Egypt"/>
    <n v="0"/>
    <n v="0"/>
    <n v="848000"/>
    <n v="848000"/>
    <s v="Shady Amin"/>
    <s v=""/>
    <s v="a03J600000Fmbe8"/>
    <s v="-"/>
    <s v="Not Available on Finance Tracker"/>
    <n v="3675"/>
    <n v="4.3337264150943395E-3"/>
    <s v="Yes"/>
    <s v="Customer requested to cancel as it is out of his budget"/>
    <s v="Booking-1133 - Booking Rejection Request"/>
    <x v="1"/>
    <x v="1"/>
  </r>
  <r>
    <s v="Novemeber"/>
    <d v="2025-11-04T00:00:00"/>
    <d v="2025-11-07T00:00:00"/>
    <s v="Booking-1129"/>
    <s v="Rejected"/>
    <d v="2025-10-31T00:00:00"/>
    <n v="90"/>
    <s v="Laguna Residence"/>
    <s v="Tower A"/>
    <s v="Studio"/>
    <s v="A1619"/>
    <s v="Blocked"/>
    <s v="Rejected"/>
    <s v="Roman Alexandrovich Grichanchenko"/>
    <s v="Russia"/>
    <n v="0"/>
    <n v="0"/>
    <n v="857000"/>
    <n v="857000"/>
    <s v="Ahmed Eissa"/>
    <s v="FIDU PROPERTY REAL ESTATE BROKERAGE"/>
    <s v="a03J600000Fmbp1"/>
    <s v="-"/>
    <s v="Not Available on Finance Tracker"/>
    <s v="No Payment"/>
    <n v="0"/>
    <s v="No"/>
    <s v="Booking was created under wrong unit A1619 during Booking process"/>
    <s v="Booking-1129 - Booking Rejection Request"/>
    <x v="12"/>
    <x v="20"/>
  </r>
  <r>
    <s v="November"/>
    <d v="2025-11-03T00:00:00"/>
    <d v="2025-11-05T00:00:00"/>
    <s v="Booking-1147"/>
    <s v="Rejected"/>
    <d v="2025-11-03T00:00:00"/>
    <n v="87"/>
    <s v="Laguna Residence"/>
    <s v="Tower B"/>
    <s v="Studio"/>
    <s v="B1312"/>
    <s v="Booked"/>
    <s v="Rejected"/>
    <s v="Hagop Karapetjan"/>
    <s v="Netherlands"/>
    <n v="0"/>
    <n v="0"/>
    <n v="813000"/>
    <n v="813000"/>
    <s v="Jude Kwakye"/>
    <s v="EMIRALD REAL ESTATE"/>
    <s v="a03NM00000M57D1"/>
    <s v="-"/>
    <s v="Not Available on Finance Tracker"/>
    <n v="8948"/>
    <n v="1.1006150061500615E-2"/>
    <s v="Yes"/>
    <s v="Cancelled as unit is not part of promotional offer list - Refund Approved by Management"/>
    <s v="Booking-1147 - Booking Rejection Request"/>
    <x v="13"/>
    <x v="21"/>
  </r>
  <r>
    <s v="November"/>
    <d v="2025-11-03T00:00:00"/>
    <d v="2025-11-07T00:00:00"/>
    <s v="Booking-1112"/>
    <s v="Rejected"/>
    <d v="2025-10-31T00:00:00"/>
    <n v="90"/>
    <s v="Laguna Residence"/>
    <s v="Tower B"/>
    <s v="Studio"/>
    <s v="B1912"/>
    <s v="Blocked"/>
    <s v="Rejected"/>
    <s v="Hagop Karapetjan"/>
    <s v="Netherlands"/>
    <n v="0"/>
    <n v="0"/>
    <n v="873000"/>
    <n v="873000"/>
    <s v="Jude Kwakye"/>
    <s v="EMIRALD REAL ESTATE"/>
    <s v="a03J600000FmbAw"/>
    <s v="-"/>
    <s v="Not Available on Finance Tracker"/>
    <s v="No Payment"/>
    <n v="0"/>
    <s v="No"/>
    <s v="Unit Swapped with B1312 as approved by Management"/>
    <s v="Booking-1112 - Booking Rejection Request"/>
    <x v="3"/>
    <x v="22"/>
  </r>
  <r>
    <s v="November"/>
    <d v="2025-11-01T00:00:00"/>
    <d v="2025-11-03T00:00:00"/>
    <s v="Booking-1028"/>
    <s v="Rejected"/>
    <d v="2025-10-01T00:00:00"/>
    <n v="120"/>
    <s v="Laguna Residence"/>
    <s v="Tower A"/>
    <s v="Studio"/>
    <s v="A418"/>
    <s v="SPA Executed"/>
    <s v="Rejected"/>
    <s v="Yara Mohammad Alloush"/>
    <s v="Syria"/>
    <n v="23310"/>
    <n v="0.03"/>
    <n v="753690"/>
    <n v="777000"/>
    <s v="Yara Haddad"/>
    <s v="STARS AND SANDS PROPERTIES L.L.C"/>
    <s v="a03J600000Btkky"/>
    <s v="-"/>
    <s v="Not Available on Finance Tracker"/>
    <n v="10000"/>
    <n v="1.3268054505167907E-2"/>
    <s v="Yes"/>
    <s v="Customer requested to cancel Booking and for the paid amount to be refunded._x000a_Refund approved by Management"/>
    <s v="Booking-1028 - Booking Rejection Request"/>
    <x v="1"/>
    <x v="12"/>
  </r>
  <r>
    <s v="October"/>
    <d v="2025-10-31T00:00:00"/>
    <d v="2025-11-07T00:00:00"/>
    <s v="Booking-1108"/>
    <s v="Rejected"/>
    <d v="2025-10-31T00:00:00"/>
    <n v="90"/>
    <s v="Laguna Residence"/>
    <s v="Tower B"/>
    <s v="Studio"/>
    <s v="B2714"/>
    <s v="Blocked"/>
    <s v="Rejected"/>
    <s v="Hagop Karapetjan"/>
    <s v="Netherlands"/>
    <n v="0"/>
    <n v="0"/>
    <n v="894800"/>
    <n v="894800"/>
    <s v="Jude Kwakye"/>
    <s v=""/>
    <s v="a03J600000FmaPA"/>
    <s v="-"/>
    <s v="Not Available on Finance Tracker"/>
    <s v="No Payment"/>
    <n v="0"/>
    <s v="No"/>
    <s v="Cancelled as unit is not part of promotional offer list"/>
    <s v="Booking-1108 - Booking Rejection Request"/>
    <x v="14"/>
    <x v="23"/>
  </r>
  <r>
    <s v="October"/>
    <d v="2025-10-30T00:00:00"/>
    <d v="2025-10-31T00:00:00"/>
    <s v="Booking-1078"/>
    <s v="Rejected"/>
    <d v="2025-10-24T00:00:00"/>
    <n v="97"/>
    <s v="Laguna Residence"/>
    <s v="Tower B"/>
    <s v="Studio"/>
    <s v="B1311"/>
    <s v="Blocked"/>
    <s v="Rejected"/>
    <s v="Poorva Avinash Rupawate"/>
    <s v="India"/>
    <n v="0"/>
    <n v="0"/>
    <n v="835000"/>
    <n v="835000"/>
    <s v="Jamil Ibrahim"/>
    <s v="BANKE INTERNATIONAL PROPERTIES L.L.C"/>
    <s v="a03J600000Fm7go"/>
    <s v="-"/>
    <s v="Not Available on Finance Tracker"/>
    <n v="16320"/>
    <n v="1.9544910179640718E-2"/>
    <s v="No"/>
    <s v="Customer requested to Swap to unit B1513. Unit Swapp Approved by Management"/>
    <s v="Booking-1078 - Booking Rejection Request"/>
    <x v="3"/>
    <x v="24"/>
  </r>
  <r>
    <s v="October"/>
    <d v="2025-10-28T00:00:00"/>
    <d v="2025-10-29T00:00:00"/>
    <s v="Booking-1084"/>
    <s v="Rejected"/>
    <d v="2025-10-27T00:00:00"/>
    <n v="94"/>
    <s v="Laguna Residence"/>
    <s v="Tower A"/>
    <s v="Studio"/>
    <s v="A1812"/>
    <s v="Booked"/>
    <s v="Rejected"/>
    <s v="Syeda Sadiya"/>
    <s v="India"/>
    <n v="42000"/>
    <n v="4.8000000000000001E-2"/>
    <n v="833000"/>
    <n v="875000"/>
    <s v="Aqsa Bhatti"/>
    <s v="MUHAMMAD SAEEDI REAL ESTATE MANAGEMENT SUPERVISION SERVICES L.L.C"/>
    <s v="a03J600000FmEA4"/>
    <s v="-"/>
    <s v="Not Available on Finance Tracker"/>
    <s v="No Payment"/>
    <n v="0"/>
    <s v="N/A"/>
    <s v="Customer requested to Swap to unit B914. Unit Swapp Approved by Management"/>
    <s v="Booking-1084 - Booking Rejection Request"/>
    <x v="3"/>
    <x v="25"/>
  </r>
  <r>
    <s v="October"/>
    <d v="2025-10-27T00:00:00"/>
    <d v="2025-10-28T00:00:00"/>
    <s v="Booking-776"/>
    <s v="Rejected"/>
    <d v="2025-06-17T00:00:00"/>
    <n v="226"/>
    <s v="Laguna Residence"/>
    <s v="Tower B"/>
    <s v="1 Bedroom"/>
    <s v="B403"/>
    <s v="Booked"/>
    <s v="Rejected"/>
    <s v="Yousef Saeed Hamad Dalwan Alketbi"/>
    <s v="United Arab Emirates"/>
    <n v="85000"/>
    <n v="6.5485362095531588E-2"/>
    <n v="1213000"/>
    <n v="1298000"/>
    <s v="Feriel Dridi"/>
    <s v="Eleva Properties LLC"/>
    <s v="a03J6000009lyri"/>
    <s v="-"/>
    <s v="Not Available on Finance Tracker"/>
    <n v="50000"/>
    <n v="4.1220115416323165E-2"/>
    <s v="Yes"/>
    <s v="Customer requested to cancel Booking and for the paid amount to be refunded._x000a_Refund approved by Management"/>
    <s v="Booking-776 - Booking Rejection Request"/>
    <x v="1"/>
    <x v="12"/>
  </r>
  <r>
    <s v="October"/>
    <d v="2025-10-21T00:00:00"/>
    <d v="2025-10-21T00:00:00"/>
    <s v="Booking-1023"/>
    <s v="Rejected"/>
    <d v="2025-09-30T00:00:00"/>
    <n v="121"/>
    <s v="Laguna Residence"/>
    <s v="Tower B"/>
    <s v="2 Bedroom"/>
    <s v="B1208"/>
    <s v="Booked"/>
    <s v="Rejected"/>
    <s v="Aashish Bindra"/>
    <s v="India"/>
    <n v="0"/>
    <n v="0"/>
    <n v="1770000"/>
    <n v="1770000"/>
    <s v="Sumeet Mehta"/>
    <s v="ANCHORMAN REAL ESTATE L.L.C"/>
    <s v="a03J600000Bth5b"/>
    <s v="-"/>
    <s v="Not Available on Finance Tracker"/>
    <s v="No Payment"/>
    <n v="0"/>
    <s v="N/A"/>
    <s v="Cancelled due to Non Payment"/>
    <s v="Booking-1023 - Booking Rejection Request"/>
    <x v="5"/>
    <x v="7"/>
  </r>
  <r>
    <s v="October"/>
    <d v="2025-10-21T00:00:00"/>
    <d v="2025-10-21T00:00:00"/>
    <s v="Booking-1019"/>
    <s v="Rejected"/>
    <d v="2025-09-29T00:00:00"/>
    <n v="122"/>
    <s v="Laguna Residence"/>
    <s v="Tower B"/>
    <s v="Studio"/>
    <s v="B2503"/>
    <s v="SPA Executed"/>
    <s v="Rejected"/>
    <s v="Achal Gupta"/>
    <s v="India"/>
    <n v="44300"/>
    <n v="0.05"/>
    <n v="841700"/>
    <n v="886000"/>
    <s v="Sumeet Mehta"/>
    <s v="ANCHORMAN REAL ESTATE L.L.C"/>
    <s v="a03J600000Btbev"/>
    <s v="-"/>
    <s v="Not Available on Finance Tracker"/>
    <s v="No Payment"/>
    <n v="0"/>
    <s v="N/A"/>
    <s v="Cancelled due to Non Payment"/>
    <s v="Booking-1019 - Booking Rejection Request"/>
    <x v="5"/>
    <x v="7"/>
  </r>
  <r>
    <s v="October"/>
    <d v="2025-10-21T00:00:00"/>
    <d v="2025-10-21T00:00:00"/>
    <s v="Booking-989"/>
    <s v="Rejected"/>
    <d v="2025-09-12T00:00:00"/>
    <n v="139"/>
    <s v="Laguna Residence"/>
    <s v="Tower A"/>
    <s v="3 Bedroom"/>
    <s v="A107"/>
    <s v="Blocked"/>
    <s v="Rejected"/>
    <s v="Afrah Mohi Eldin Bilal Ali"/>
    <s v="Sudan"/>
    <n v="260600"/>
    <n v="0.05"/>
    <n v="4951400"/>
    <n v="5212000"/>
    <s v="Ahmed Eissa"/>
    <s v="STARS AND SANDS PROPERTIES L.L.C"/>
    <s v="a03J600000BsaJy"/>
    <s v="-"/>
    <s v="Not Available on Finance Tracker"/>
    <s v="No Payment"/>
    <n v="0"/>
    <s v="N/A"/>
    <s v="Cancelled due to Non Payment"/>
    <s v="Booking-989 - Booking Rejection Request"/>
    <x v="5"/>
    <x v="7"/>
  </r>
  <r>
    <s v="October"/>
    <d v="2025-10-21T00:00:00"/>
    <d v="2025-10-21T00:00:00"/>
    <s v="Booking-986"/>
    <s v="Rejected"/>
    <d v="2025-09-12T00:00:00"/>
    <n v="139"/>
    <s v="Laguna Residence"/>
    <s v="Tower A"/>
    <s v="2 Bedroom"/>
    <s v="A2122"/>
    <s v="Booked"/>
    <s v="Rejected"/>
    <s v="Sharbel Chehade"/>
    <s v="Australia"/>
    <n v="132550"/>
    <n v="0.05"/>
    <n v="2518450"/>
    <n v="2651000"/>
    <s v="Fadwa Belkaid"/>
    <s v="SYKON PROPERTIES L.L.C"/>
    <s v="a03J600000BsZmC"/>
    <s v="-"/>
    <s v="Not Available on Finance Tracker"/>
    <s v="No Payment"/>
    <n v="0"/>
    <s v="N/A"/>
    <s v="Cancelled due to Non Payment"/>
    <s v="Booking-986 - Booking Rejection Request"/>
    <x v="5"/>
    <x v="7"/>
  </r>
  <r>
    <s v="October"/>
    <d v="2025-10-13T00:00:00"/>
    <d v="2025-10-15T00:00:00"/>
    <s v="Booking-966"/>
    <s v="Rejected"/>
    <d v="2025-09-03T00:00:00"/>
    <n v="148"/>
    <s v="Laguna Residence"/>
    <s v="Tower A"/>
    <s v="2 Bedroom"/>
    <s v="A801"/>
    <s v="Blocked"/>
    <s v="Rejected"/>
    <s v="Joseph Mallekkattu"/>
    <s v="India"/>
    <n v="0"/>
    <n v="0"/>
    <n v="2526000"/>
    <n v="2526000"/>
    <s v="Yasmin Bahader"/>
    <s v="Poseidon Real Estate LLC"/>
    <s v="a03J600000Bs0mh"/>
    <s v="-"/>
    <s v="Not Available on Finance Tracker"/>
    <s v="No Payment"/>
    <n v="0"/>
    <s v="N/A"/>
    <s v="Cancelled due to Non Payment"/>
    <s v="Booking-966 - Booking Rejection Request"/>
    <x v="5"/>
    <x v="7"/>
  </r>
  <r>
    <s v="October"/>
    <d v="2025-10-13T00:00:00"/>
    <d v="2025-10-15T00:00:00"/>
    <s v="Booking-1017"/>
    <s v="Rejected"/>
    <d v="2025-09-26T00:00:00"/>
    <n v="125"/>
    <s v="Laguna Residence"/>
    <s v="Tower A"/>
    <s v="2 Bedroom"/>
    <s v="A2618"/>
    <s v="Available"/>
    <s v="Rejected"/>
    <s v="Chidinma Joyce Odiaka"/>
    <s v="Nigeria"/>
    <n v="0"/>
    <n v="0"/>
    <n v="2706000"/>
    <n v="2706000"/>
    <s v="Hocem Amouri"/>
    <s v="SKYRAN REAL ESTATE L.L.C"/>
    <s v="a03J600000BtW0H"/>
    <s v="-"/>
    <s v="Not Available on Finance Tracker"/>
    <s v="No Payment"/>
    <n v="0"/>
    <s v="N/A"/>
    <s v="Cancelled due to Non Payment"/>
    <s v="Booking-1017 - Booking Rejection Request"/>
    <x v="5"/>
    <x v="5"/>
  </r>
  <r>
    <s v="October"/>
    <d v="2025-10-13T00:00:00"/>
    <d v="2025-10-15T00:00:00"/>
    <s v="Booking-1016"/>
    <s v="Rejected"/>
    <d v="2025-09-25T00:00:00"/>
    <n v="126"/>
    <s v="Laguna Residence"/>
    <s v="Tower A"/>
    <s v="2 Bedroom"/>
    <s v="A2718"/>
    <s v="Available"/>
    <s v="Rejected"/>
    <s v="Abubakar Salihu Sadiq"/>
    <s v="Nigeria"/>
    <n v="0"/>
    <n v="0"/>
    <n v="2675000"/>
    <n v="2675000"/>
    <s v="Hocem Amouri"/>
    <s v="SKYRAN REAL ESTATE L.L.C"/>
    <s v="a03J600000BtSoj"/>
    <s v="-"/>
    <s v="Not Available on Finance Tracker"/>
    <s v="No Payment"/>
    <n v="0"/>
    <s v="N/A"/>
    <s v="Cancelled due to Non Payment"/>
    <s v="Booking-1016 - Booking Rejection Request"/>
    <x v="5"/>
    <x v="5"/>
  </r>
  <r>
    <s v="October"/>
    <d v="2025-10-13T00:00:00"/>
    <d v="2025-10-15T00:00:00"/>
    <s v="Booking-1015"/>
    <s v="Rejected"/>
    <d v="2025-09-25T00:00:00"/>
    <n v="126"/>
    <s v="Laguna Residence"/>
    <s v="Tower A"/>
    <s v="2 Bedroom"/>
    <s v="A3118"/>
    <s v="Available"/>
    <s v="Rejected"/>
    <s v="Angela Luyanda Portia Gqirana"/>
    <s v="South Africa"/>
    <n v="0"/>
    <n v="0"/>
    <n v="2696000"/>
    <n v="2696000"/>
    <s v="Nihal Mohamed"/>
    <s v="SKYRAN REAL ESTATE L.L.C"/>
    <s v="a03J600000BtSnl"/>
    <s v="-"/>
    <s v="Not Available on Finance Tracker"/>
    <s v="No Payment"/>
    <n v="0"/>
    <s v="N/A"/>
    <s v="Cancelled due to Non Payment"/>
    <s v="Booking-1015 - Booking Rejection Request"/>
    <x v="5"/>
    <x v="5"/>
  </r>
  <r>
    <s v="October"/>
    <d v="2025-10-08T00:00:00"/>
    <d v="2025-10-08T00:00:00"/>
    <s v="Booking-1050"/>
    <s v="Rejected"/>
    <d v="2025-10-07T00:00:00"/>
    <n v="114"/>
    <s v="Laguna Residence"/>
    <s v="Tower B"/>
    <s v="Studio"/>
    <s v="B1205"/>
    <s v="SPA Executed"/>
    <s v="Rejected"/>
    <s v="Haaris Aslam Selia"/>
    <s v="India"/>
    <n v="0"/>
    <n v="0"/>
    <n v="755000"/>
    <n v="755000"/>
    <s v="Amal El Gendy"/>
    <s v="R E M REAL ESTATE BROKER OWNED BY MUNA SAYED SAEED ALHASHEMI"/>
    <s v="a03J600000Bu1f5"/>
    <s v="-"/>
    <s v="Not Available on Finance Tracker"/>
    <s v="No Payment"/>
    <n v="0"/>
    <s v="N/A"/>
    <s v="Duplicate Booking for unit B1205. (Unit was sold to another customer - Booking-509) Unit status was manually updated to Blocked creating the error._x000a_Unit B2005 booked under Booking-1052"/>
    <s v="Booking-1050 - Booking Rejection Request"/>
    <x v="12"/>
    <x v="20"/>
  </r>
  <r>
    <s v="October"/>
    <d v="2025-10-07T00:00:00"/>
    <d v="2025-10-09T00:00:00"/>
    <s v="Booking-1040"/>
    <s v="Rejected"/>
    <d v="2025-10-06T00:00:00"/>
    <n v="115"/>
    <s v="Laguna Residence"/>
    <s v="Tower B"/>
    <s v="1 Bedroom"/>
    <s v="B1103"/>
    <s v="Available"/>
    <s v="Rejected"/>
    <s v="Basel Amin Yahia"/>
    <s v="Syria"/>
    <n v="63000"/>
    <n v="3.9647577092511016E-2"/>
    <n v="1526000"/>
    <n v="1589000"/>
    <s v="Fadi Ismander"/>
    <s v="RISE PROPERTIES L.L.C"/>
    <s v="a03J600000Bty49"/>
    <s v="-"/>
    <s v="Not Available on Finance Tracker"/>
    <s v="No Payment"/>
    <n v="0"/>
    <s v="N/A"/>
    <s v="Customer requested to cancel"/>
    <s v="Booking-1040 - Booking Rejection Request"/>
    <x v="1"/>
    <x v="1"/>
  </r>
  <r>
    <s v="October"/>
    <d v="2025-10-06T00:00:00"/>
    <d v="2025-10-09T00:00:00"/>
    <s v="Booking-1022"/>
    <s v="Rejected"/>
    <d v="2025-09-30T00:00:00"/>
    <n v="121"/>
    <s v="Do Dubai Island"/>
    <s v="Tower 1"/>
    <s v="1 Bedroom"/>
    <s v="316"/>
    <s v="Blocked"/>
    <s v="Rejected"/>
    <s v="Soufian Chamlal"/>
    <s v="Netherlands"/>
    <n v="0"/>
    <n v="0"/>
    <n v="2218000"/>
    <n v="2218000"/>
    <s v="Joudy Shaker"/>
    <s v="GLOBEX REAL ESTATE L L C"/>
    <s v="a03J600000BtgwE"/>
    <s v="-"/>
    <s v="Not Available on Finance Tracker"/>
    <s v="No Payment"/>
    <n v="0"/>
    <s v="N/A"/>
    <s v="Cancellation raised by Sales Manager as no payment was received and the unit was booked under the Brokers Name"/>
    <s v="Booking-1022 - Booking Rejection Request"/>
    <x v="5"/>
    <x v="5"/>
  </r>
  <r>
    <s v="October"/>
    <d v="2025-10-06T00:00:00"/>
    <d v="2025-10-09T00:00:00"/>
    <s v="Booking-1021"/>
    <s v="Rejected"/>
    <d v="2025-09-30T00:00:00"/>
    <n v="121"/>
    <s v="Laguna Residence"/>
    <s v="Tower A"/>
    <s v="2 Bedroom"/>
    <s v="A2107"/>
    <s v="Booked"/>
    <s v="Rejected"/>
    <s v="Soufian Chamlal"/>
    <s v="Netherlands"/>
    <n v="0"/>
    <n v="0"/>
    <n v="1917000"/>
    <n v="1917000"/>
    <s v="Joudy Shaker"/>
    <s v="GLOBEX REAL ESTATE L L C"/>
    <s v="a03J600000Btgwh"/>
    <s v="-"/>
    <s v="Not Available on Finance Tracker"/>
    <s v="No Payment"/>
    <n v="0"/>
    <s v="N/A"/>
    <s v="Cancellation raised by Sales Manager as no payment was received and the unit was booked under the Brokers Name"/>
    <s v="Booking-1021 - Booking Rejection Request"/>
    <x v="5"/>
    <x v="5"/>
  </r>
  <r>
    <s v="October"/>
    <d v="2025-10-04T00:00:00"/>
    <d v="2025-10-07T00:00:00"/>
    <s v="Booking-1002"/>
    <s v="Rejected"/>
    <d v="2025-09-19T00:00:00"/>
    <n v="132"/>
    <s v="Laguna Residence"/>
    <s v="Tower A"/>
    <s v="2 Bedroom"/>
    <s v="A4005"/>
    <s v="Blocked"/>
    <s v="Rejected"/>
    <s v="Ibrahim Caner Ozger"/>
    <s v="Turkey"/>
    <n v="250354"/>
    <n v="9.4401960784313732E-2"/>
    <n v="2401646"/>
    <n v="2652000"/>
    <s v="Mariam Shakuhi"/>
    <s v=""/>
    <s v="a03J600000Bsxl8"/>
    <s v="-"/>
    <s v="Not Available on Finance Tracker"/>
    <n v="10000"/>
    <n v="4.1638109862985632E-3"/>
    <s v="No"/>
    <s v="Unit Swapped with A2101 as approved by Management"/>
    <s v="Booking-1002 - Booking Rejection Request"/>
    <x v="3"/>
    <x v="26"/>
  </r>
  <r>
    <s v="October"/>
    <d v="2025-10-04T00:00:00"/>
    <d v="2025-10-07T00:00:00"/>
    <s v="Booking-1001"/>
    <s v="Rejected"/>
    <d v="2025-09-19T00:00:00"/>
    <n v="132"/>
    <s v="Laguna Residence"/>
    <s v="Tower A"/>
    <s v="2 Bedroom"/>
    <s v="A4105"/>
    <s v="Blocked"/>
    <s v="Rejected"/>
    <s v="Muhammed Devvud"/>
    <s v="Turkey"/>
    <n v="208880"/>
    <n v="0.08"/>
    <n v="2402120"/>
    <n v="2611000"/>
    <s v="Mariam Shakuhi"/>
    <s v=""/>
    <s v="a03J600000Bsxkr"/>
    <s v="-"/>
    <s v="Not Available on Finance Tracker"/>
    <n v="10000"/>
    <n v="4.1629893593991977E-3"/>
    <s v="No"/>
    <s v="Unit Swapped with A2001 as approved by Management"/>
    <s v="Booking-1001 - Booking Rejection Request"/>
    <x v="3"/>
    <x v="27"/>
  </r>
  <r>
    <s v="October"/>
    <d v="2025-10-03T00:00:00"/>
    <d v="2025-10-06T00:00:00"/>
    <s v="Booking-1030"/>
    <s v="Rejected"/>
    <d v="2025-10-03T00:00:00"/>
    <n v="118"/>
    <s v="Laguna Residence"/>
    <s v="Tower B"/>
    <s v="2 Bedroom"/>
    <s v="B2402"/>
    <s v="Booked"/>
    <s v="Rejected"/>
    <s v="Rami Kamaleldin Elnour Fadul"/>
    <s v="Sudan"/>
    <n v="0"/>
    <n v="0"/>
    <n v="2252000"/>
    <n v="2252000"/>
    <s v="Mohamed El Shimy"/>
    <s v="Eleva Properties LLC"/>
    <s v="a03J600000Btrkg"/>
    <s v="-"/>
    <s v="Not Available on Finance Tracker"/>
    <s v="No Payment"/>
    <n v="0"/>
    <s v="N/A"/>
    <s v="Booking was created under wrong Customer Name"/>
    <s v="Booking-1030 - Booking Rejection Request"/>
    <x v="15"/>
    <x v="28"/>
  </r>
  <r>
    <s v="September"/>
    <d v="2025-09-30T00:00:00"/>
    <d v="2025-09-30T00:00:00"/>
    <s v="Booking-956"/>
    <s v="Rejected"/>
    <d v="2025-08-28T00:00:00"/>
    <n v="154"/>
    <s v="Do Dubai Island"/>
    <s v="Tower 1"/>
    <s v="Studio"/>
    <s v="110"/>
    <s v="SPA Executed"/>
    <s v="Rejected"/>
    <s v="Stanislav Krulic"/>
    <s v="Croatia"/>
    <n v="19000"/>
    <n v="1.52E-2"/>
    <n v="1231000"/>
    <n v="1250000"/>
    <s v="Zeynep Mustekin"/>
    <s v="CAMELIA REAL ESTATE"/>
    <s v="a03J600000Brhg4"/>
    <s v="-"/>
    <s v="Not Available on Finance Tracker"/>
    <n v="50000"/>
    <n v="4.0617384240454912E-2"/>
    <s v="No"/>
    <s v="Cancelled due to Non Payment"/>
    <s v="Booking-956 - Booking Rejection Request"/>
    <x v="5"/>
    <x v="7"/>
  </r>
  <r>
    <s v="September"/>
    <d v="2025-09-30T00:00:00"/>
    <d v="2025-10-09T00:00:00"/>
    <s v="Booking-980"/>
    <s v="Rejected"/>
    <d v="2025-09-09T00:00:00"/>
    <n v="142"/>
    <s v="Laguna Residence"/>
    <s v="Tower A"/>
    <s v="Studio"/>
    <s v="A2112"/>
    <s v="Blocked"/>
    <s v="Rejected"/>
    <s v="Shiv Gupta"/>
    <s v="India"/>
    <n v="41900"/>
    <n v="0.05"/>
    <n v="796100"/>
    <n v="838000"/>
    <s v="Jude Kwakye"/>
    <s v="SOVEEREIGN ASSETS REAL ESTATE L.L.C"/>
    <s v="a03J600000BsM90"/>
    <s v="-"/>
    <s v="Not Available on Finance Tracker"/>
    <n v="19942.25"/>
    <n v="2.5049930913201859E-2"/>
    <s v="No"/>
    <s v="Customer requested cancel as he is unable to make further payments and has requested for refund"/>
    <s v="Booking-980 - Booking Rejection Request"/>
    <x v="1"/>
    <x v="12"/>
  </r>
  <r>
    <s v="September"/>
    <d v="2025-09-29T00:00:00"/>
    <d v="2025-10-09T00:00:00"/>
    <s v="Booking-701"/>
    <s v="Rejected"/>
    <d v="2025-05-30T00:00:00"/>
    <n v="244"/>
    <s v="Laguna Residence"/>
    <s v="Tower B"/>
    <s v="Studio"/>
    <s v="B2006"/>
    <s v="SPA Executed"/>
    <s v="Rejected"/>
    <s v="Hawbir Hassan"/>
    <s v="Netherlands"/>
    <n v="55800"/>
    <n v="6.6192170818505341E-2"/>
    <n v="787200"/>
    <n v="843000"/>
    <s v="Joudy Shaker"/>
    <s v="GLOBEX REAL ESTATE L L C"/>
    <s v="a03J6000009l02q"/>
    <s v="-"/>
    <s v="Not Available on Finance Tracker"/>
    <n v="192000"/>
    <n v="0.24390243902439024"/>
    <s v="No"/>
    <s v="Customer requested to Change Ownership from Hawbir Hassan to Riad El Kaddouri"/>
    <s v="Booking-701 - Booking Rejection Request"/>
    <x v="9"/>
    <x v="29"/>
  </r>
  <r>
    <s v="September"/>
    <d v="2025-09-29T00:00:00"/>
    <d v="2025-10-09T00:00:00"/>
    <s v="Booking-700"/>
    <s v="Rejected"/>
    <d v="2025-05-30T00:00:00"/>
    <n v="244"/>
    <s v="Laguna Residence"/>
    <s v="Tower B"/>
    <s v="Studio"/>
    <s v="B1906"/>
    <s v="SPA Executed"/>
    <s v="Rejected"/>
    <s v="Hawbir Hassan"/>
    <s v="Netherlands"/>
    <n v="56000"/>
    <n v="6.5420560747663545E-2"/>
    <n v="800000"/>
    <n v="856000"/>
    <s v="Joudy Shaker"/>
    <s v="GLOBEX REAL ESTATE L L C"/>
    <s v="a03J6000009l01j"/>
    <s v="-"/>
    <s v="Not Available on Finance Tracker"/>
    <n v="188928"/>
    <n v="0.23616000000000001"/>
    <s v="No"/>
    <s v="Customer requested to Change Ownership from Hawbir Hassan to Rojbin Saeed"/>
    <s v="Booking-700 - Booking Rejection Request"/>
    <x v="9"/>
    <x v="30"/>
  </r>
  <r>
    <s v="September"/>
    <d v="2025-09-29T00:00:00"/>
    <d v="2025-09-29T00:00:00"/>
    <s v="Booking-851"/>
    <s v="Rejected"/>
    <d v="2025-07-26T00:00:00"/>
    <n v="187"/>
    <s v="Laguna Residence"/>
    <s v="Tower A"/>
    <s v="Studio"/>
    <s v="A419"/>
    <s v="Booked"/>
    <s v="Rejected"/>
    <s v="Kerstin Schimkus"/>
    <s v="Germany"/>
    <n v="55025"/>
    <n v="7.0999999999999994E-2"/>
    <n v="719975"/>
    <n v="775000"/>
    <s v="Joudy Shaker"/>
    <s v="FNM PROPERTIES LLC"/>
    <s v="a03J6000009o5SN"/>
    <s v="-"/>
    <s v="Not Available on Finance Tracker"/>
    <n v="32474"/>
    <n v="4.5104343900829888E-2"/>
    <s v="No"/>
    <s v="Cancelled due to Non Payment"/>
    <s v="Booking-851 - Booking Rejection Request"/>
    <x v="5"/>
    <x v="7"/>
  </r>
  <r>
    <s v="September"/>
    <d v="2025-09-29T00:00:00"/>
    <d v="2025-09-29T00:00:00"/>
    <s v="Booking-683"/>
    <s v="Rejected"/>
    <d v="2025-05-23T00:00:00"/>
    <n v="251"/>
    <s v="Laguna Residence"/>
    <s v="Tower B"/>
    <s v="Studio"/>
    <s v="B1306"/>
    <s v="SPA Executed"/>
    <s v="Rejected"/>
    <s v="Hamad Bader Ahmed Ali Alyafei"/>
    <s v="United Arab Emirates"/>
    <n v="55060"/>
    <n v="6.6098439375750301E-2"/>
    <n v="777940"/>
    <n v="833000"/>
    <s v="Joudy Shaker"/>
    <s v="Unique Properties L.L.C"/>
    <s v="a03J6000009kab1"/>
    <s v="-"/>
    <s v="Not Available on Finance Tracker"/>
    <n v="25000"/>
    <n v="3.2136154459212793E-2"/>
    <s v="No"/>
    <s v="Cancelled due to Non Payment"/>
    <s v="Booking-683 - Booking Rejection Request"/>
    <x v="5"/>
    <x v="7"/>
  </r>
  <r>
    <s v="September"/>
    <d v="2025-09-24T00:00:00"/>
    <d v="2025-09-24T00:00:00"/>
    <s v="Booking-957"/>
    <s v="Rejected"/>
    <d v="2025-08-28T00:00:00"/>
    <n v="154"/>
    <s v="Do Dubai Island"/>
    <s v="Tower 1"/>
    <s v="Studio"/>
    <s v="112"/>
    <s v="SPA Executed"/>
    <s v="Rejected"/>
    <s v="Murat Gumusluol"/>
    <s v="Turkey"/>
    <n v="59000"/>
    <n v="4.7967479674796747E-2"/>
    <n v="1171000"/>
    <n v="1230000"/>
    <s v="Ramy Abdelsalam"/>
    <s v="HAKI MULTIMODAL LOJISTIK HIZMETLERI ANONIM SIRKETI"/>
    <s v="a03J600000Brj9X"/>
    <s v="-"/>
    <s v="Not Available on Finance Tracker"/>
    <n v="25000"/>
    <n v="2.1349274124679761E-2"/>
    <s v="No"/>
    <s v="Cancelled due to Non Payment"/>
    <s v="Booking-957 - Booking Rejection Request"/>
    <x v="5"/>
    <x v="7"/>
  </r>
  <r>
    <s v="September"/>
    <d v="2025-09-23T00:00:00"/>
    <d v="2025-09-24T00:00:00"/>
    <s v="Booking-916"/>
    <s v="Rejected"/>
    <d v="2025-08-18T00:00:00"/>
    <n v="164"/>
    <s v="Do Dubai Island"/>
    <s v="Tower 1"/>
    <s v="Studio"/>
    <s v="318"/>
    <s v="SPA Executed"/>
    <s v="Rejected"/>
    <s v="Denisa Freundova"/>
    <s v="Slovakia"/>
    <n v="0"/>
    <n v="0"/>
    <n v="1161000"/>
    <n v="1161000"/>
    <s v="Gulnoz Khodjayeva"/>
    <s v="MOVE HOMES REAL ESTATE BROKERS L.L.C"/>
    <s v="a03J600000Br87K"/>
    <s v="-"/>
    <s v="Not Available on Finance Tracker"/>
    <n v="49925"/>
    <n v="4.3001722652885446E-2"/>
    <s v="No"/>
    <s v="Cancelled due to Non Payment"/>
    <s v="Booking-916 - Booking Rejection Request"/>
    <x v="5"/>
    <x v="7"/>
  </r>
  <r>
    <s v="September"/>
    <d v="2025-09-22T00:00:00"/>
    <d v="2025-09-24T00:00:00"/>
    <s v="Booking-982"/>
    <s v="Rejected"/>
    <d v="2025-09-09T00:00:00"/>
    <n v="142"/>
    <s v="Laguna Residence"/>
    <s v="Tower A"/>
    <s v="Studio"/>
    <s v="A1014"/>
    <s v="Booked"/>
    <s v="Rejected"/>
    <s v="Hayder Abbas Ahmed Al Iessa"/>
    <s v="Iraq"/>
    <n v="30999.97"/>
    <n v="3.870158551810237E-2"/>
    <n v="770000.03281799995"/>
    <n v="801000"/>
    <s v="Mohamed El Shimy"/>
    <s v="Eleva Properties LLC"/>
    <s v="a03J600000BsMq5"/>
    <s v="-"/>
    <s v="Not Available on Finance Tracker"/>
    <n v="25000"/>
    <n v="3.2467531083740994E-2"/>
    <s v="Yes"/>
    <s v="Cancelled due to Non Payment"/>
    <s v="Booking-982 - Booking Rejection Request"/>
    <x v="5"/>
    <x v="7"/>
  </r>
  <r>
    <s v="September"/>
    <d v="2025-09-18T00:00:00"/>
    <d v="2025-09-18T00:00:00"/>
    <s v="Booking-774"/>
    <s v="Rejected"/>
    <d v="2025-06-17T00:00:00"/>
    <n v="226"/>
    <s v="Laguna Residence"/>
    <s v="Tower B"/>
    <s v="Studio"/>
    <s v="B405"/>
    <s v="SPA Executed"/>
    <s v="Rejected"/>
    <s v="Katharina Junimann Appelhans"/>
    <s v="Germany"/>
    <n v="52200"/>
    <n v="6.5660377358490563E-2"/>
    <n v="742800"/>
    <n v="795000"/>
    <s v="Joudy Shaker"/>
    <s v="FNM PROPERTIES LLC"/>
    <s v="a03J6000009lyYB"/>
    <s v="-"/>
    <s v="Not Available on Finance Tracker"/>
    <s v="No Payment"/>
    <n v="0"/>
    <s v="N/A"/>
    <s v="Customer requested to Change Ownership from Katharina Junimann Appelhans to Helena Erbis"/>
    <s v="Booking-774 - Booking Rejection Request"/>
    <x v="9"/>
    <x v="31"/>
  </r>
  <r>
    <s v="September"/>
    <d v="2025-09-17T00:00:00"/>
    <d v="2025-09-18T00:00:00"/>
    <s v="Booking-783"/>
    <s v="Rejected"/>
    <d v="2025-06-20T00:00:00"/>
    <n v="223"/>
    <s v="Laguna Residence"/>
    <s v="Tower A"/>
    <s v="Studio"/>
    <s v="A2115"/>
    <s v="SPA Executed"/>
    <s v="Rejected"/>
    <s v="ANJA SPRINZ"/>
    <s v="Germany"/>
    <n v="51113"/>
    <n v="6.561360718870346E-2"/>
    <n v="727887"/>
    <n v="779000"/>
    <s v="Joudy Shaker"/>
    <s v="FNM PROPERTIES LLC"/>
    <s v="a03J6000009mBJ1"/>
    <s v="-"/>
    <s v="Not Available on Finance Tracker"/>
    <n v="32790.480000000003"/>
    <n v="4.5048860606110568E-2"/>
    <s v="No"/>
    <s v="Cancelled due to Non Payment"/>
    <s v="Booking-783 - Booking Rejection Request"/>
    <x v="5"/>
    <x v="7"/>
  </r>
  <r>
    <s v="September"/>
    <d v="2025-09-16T00:00:00"/>
    <d v="2025-09-22T00:00:00"/>
    <s v="Booking-711"/>
    <s v="Rejected"/>
    <d v="2025-06-07T00:00:00"/>
    <n v="236"/>
    <s v="Laguna Residence"/>
    <s v="Tower B"/>
    <s v="1 Bedroom"/>
    <s v="B323"/>
    <s v="SPA Executed"/>
    <s v="Rejected"/>
    <s v="Sivakeerthi Kumarathas"/>
    <s v="United Kingdom"/>
    <n v="128000"/>
    <n v="9.8461538461538461E-2"/>
    <n v="1172000"/>
    <n v="1300000"/>
    <s v="Aqsa Bhatti"/>
    <s v="CHALET INTERNATIONAL REAL ESTATE L.L.C"/>
    <s v="a03J6000009lRBS"/>
    <s v="-"/>
    <s v="Not Available on Finance Tracker"/>
    <n v="45000"/>
    <n v="3.839590443686007E-2"/>
    <s v="No"/>
    <s v="Cancelled due to Non Payment"/>
    <s v="Booking-711 - Booking Rejection Request"/>
    <x v="5"/>
    <x v="7"/>
  </r>
  <r>
    <s v="September"/>
    <d v="2025-09-16T00:00:00"/>
    <d v="2025-09-22T00:00:00"/>
    <s v="Booking-657"/>
    <s v="Rejected"/>
    <d v="2025-05-10T00:00:00"/>
    <n v="264"/>
    <s v="Laguna Residence"/>
    <s v="Tower A"/>
    <s v="Studio"/>
    <s v="A1311"/>
    <s v="Booked"/>
    <s v="Rejected"/>
    <s v="Sivakeerthi Kumarathas"/>
    <s v="United Kingdom"/>
    <n v="101746"/>
    <n v="0.12879240506329115"/>
    <n v="688254"/>
    <n v="790000"/>
    <s v="Aiham Addi"/>
    <s v="CHALET INTERNATIONAL REAL ESTATE L.L.C"/>
    <s v="a03J60000082sgj"/>
    <s v="-"/>
    <n v="5000"/>
    <n v="68825.399999999994"/>
    <n v="9.9999999999999992E-2"/>
    <s v="No"/>
    <s v="Cancelled due to Non Payment"/>
    <s v="Booking-657 - Booking Rejection Request"/>
    <x v="5"/>
    <x v="7"/>
  </r>
  <r>
    <s v="September"/>
    <d v="2025-09-15T00:00:00"/>
    <d v="2025-09-18T00:00:00"/>
    <s v="Booking-971"/>
    <s v="Rejected"/>
    <d v="2025-09-04T00:00:00"/>
    <n v="147"/>
    <s v="Laguna Residence"/>
    <s v="Tower B"/>
    <s v="Studio"/>
    <s v="B3103"/>
    <s v="Blocked"/>
    <s v="Rejected"/>
    <s v="Mohammed Fardin Khan"/>
    <s v="United States of America"/>
    <n v="0"/>
    <n v="0"/>
    <n v="941000"/>
    <n v="941000"/>
    <s v="Ramy Abdelsalam"/>
    <s v="Sevenx Properties LLC"/>
    <s v="a03J600000Bs5Zm"/>
    <s v="-"/>
    <s v="Not Available on Finance Tracker"/>
    <n v="5000"/>
    <n v="5.3134962805526037E-3"/>
    <s v="No"/>
    <s v="Request received from Sales Manager | Sales Director to cancel the booking as customer booked another unit on the same day (Booking- 973 - B3012)"/>
    <s v="Booking-971 - Booking Rejection Request"/>
    <x v="3"/>
    <x v="32"/>
  </r>
  <r>
    <s v="September"/>
    <d v="2025-09-15T00:00:00"/>
    <d v="2025-09-16T00:00:00"/>
    <s v="Booking-935"/>
    <s v="Rejected"/>
    <d v="2025-08-21T00:00:00"/>
    <n v="161"/>
    <s v="Do Dubai Island"/>
    <s v="Tower 1"/>
    <s v="Studio"/>
    <s v="107"/>
    <s v="SPA Executed"/>
    <s v="Rejected"/>
    <s v="Onur Tukel"/>
    <s v="Canada"/>
    <n v="25920"/>
    <n v="0.02"/>
    <n v="1270080"/>
    <n v="1296000"/>
    <s v="Zeynep Mustekin"/>
    <s v="Parcel Real Estates L.L.C"/>
    <s v="a03J600000BrKLL"/>
    <s v="-"/>
    <s v="Not Available on Finance Tracker"/>
    <n v="31700"/>
    <n v="2.4959057697152936E-2"/>
    <s v="No"/>
    <s v="Customer requested to Change Ownership from Onur Tukel to Burhan Tukel"/>
    <s v="Booking-935 - Booking Rejection Request"/>
    <x v="9"/>
    <x v="33"/>
  </r>
  <r>
    <s v="September"/>
    <d v="2025-09-15T00:00:00"/>
    <d v="2025-09-15T00:00:00"/>
    <s v="Booking-884"/>
    <s v="Rejected"/>
    <d v="2025-08-09T00:00:00"/>
    <n v="173"/>
    <s v="Laguna Residence"/>
    <s v="Tower B"/>
    <s v="2 Bedroom"/>
    <s v="B308"/>
    <s v="Blocked"/>
    <s v="Rejected"/>
    <s v="Touria Agallouch"/>
    <s v="Morocco"/>
    <n v="151363.5"/>
    <n v="8.9300000000000004E-2"/>
    <n v="1543636.5"/>
    <n v="1695000"/>
    <s v="Mohamed El Shimy"/>
    <s v=""/>
    <s v="a03J600000BqiQg"/>
    <s v="-"/>
    <s v="Not Available on Finance Tracker"/>
    <m/>
    <n v="0"/>
    <m/>
    <s v="As per the system, cancellation reason _x000a_'Management Cancelation Request'"/>
    <s v="No Email"/>
    <x v="11"/>
    <x v="34"/>
  </r>
  <r>
    <s v="September"/>
    <d v="2025-09-11T00:00:00"/>
    <d v="2025-09-11T00:00:00"/>
    <s v="Booking-879"/>
    <s v="Rejected"/>
    <d v="2025-08-08T00:00:00"/>
    <n v="174"/>
    <s v="Laguna Residence"/>
    <s v="Tower A"/>
    <s v="2 Bedroom"/>
    <s v="A106"/>
    <s v="Booked"/>
    <s v="Rejected"/>
    <s v="Daniel Phinn"/>
    <s v="United Kingdom"/>
    <n v="119350"/>
    <n v="0.05"/>
    <n v="2267650"/>
    <n v="2387000"/>
    <s v="Claire Moussa"/>
    <s v="Paul Anthony Smith"/>
    <s v="a03J600000Bqgbk"/>
    <s v="-"/>
    <s v="Not Available on Finance Tracker"/>
    <s v="No Payment"/>
    <s v="N/A"/>
    <s v="N/A"/>
    <s v="Cancelled due to Non Payment"/>
    <s v="Booking-879 - Booking Rejection Request"/>
    <x v="5"/>
    <x v="7"/>
  </r>
  <r>
    <s v="September"/>
    <d v="2025-09-11T00:00:00"/>
    <d v="2025-09-12T00:00:00"/>
    <s v="Booking-882"/>
    <s v="Rejected"/>
    <d v="2025-08-09T00:00:00"/>
    <n v="173"/>
    <s v="Laguna Residence"/>
    <s v="Tower B"/>
    <s v="2 Bedroom"/>
    <s v="B917"/>
    <s v="Blocked"/>
    <s v="Rejected"/>
    <s v="Abdelkarim Ghaizi"/>
    <s v="Tunisia"/>
    <n v="40150"/>
    <n v="2.5000000000000001E-2"/>
    <n v="1565850"/>
    <n v="1606000"/>
    <s v="Mohamed El Shimy"/>
    <s v=""/>
    <s v="a03J600000BqiQI"/>
    <s v="-"/>
    <s v="Not Available on Finance Tracker"/>
    <s v="No Payment"/>
    <s v="N/A"/>
    <s v="N/A"/>
    <s v="Unit Swapped with B817 as approved by Management"/>
    <s v="Booking-882 - Booking Rejection Request"/>
    <x v="3"/>
    <x v="35"/>
  </r>
  <r>
    <s v="September"/>
    <d v="2025-09-11T00:00:00"/>
    <d v="2025-09-22T00:00:00"/>
    <s v="Booking-505"/>
    <s v="Rejected"/>
    <d v="2025-03-15T00:00:00"/>
    <n v="320"/>
    <s v="Laguna Residence"/>
    <s v="Tower A"/>
    <s v="2 Bedroom"/>
    <s v="A103"/>
    <s v="Available"/>
    <s v="Rejected"/>
    <s v="Moinuddin Mansuri"/>
    <s v="India"/>
    <n v="161399"/>
    <n v="6.5582689963429502E-2"/>
    <n v="2299601"/>
    <n v="2461000"/>
    <s v="Amal El Gendy"/>
    <s v="R E M REAL ESTATE BROKER OWNED BY MUNA SAYED SAEED ALHASHEMI"/>
    <s v="a03J6000007zo3p"/>
    <s v="21502"/>
    <n v="7000"/>
    <n v="100000"/>
    <n v="4.3485804711339053E-2"/>
    <s v="No"/>
    <s v="Cancelled due to Non Payment"/>
    <s v="Booking-505 - Booking Rejection Request"/>
    <x v="5"/>
    <x v="7"/>
  </r>
  <r>
    <s v="September"/>
    <d v="2025-09-09T00:00:00"/>
    <d v="2025-09-09T00:00:00"/>
    <s v="Booking-972"/>
    <s v="Rejected"/>
    <d v="2025-09-04T00:00:00"/>
    <n v="147"/>
    <s v="Laguna Residence"/>
    <s v="Tower A"/>
    <s v="2 Bedroom"/>
    <s v="A1801"/>
    <s v="SPA Executed"/>
    <s v="Rejected"/>
    <s v="Joseph Mallekkattu"/>
    <s v="India"/>
    <n v="129450"/>
    <n v="0.05"/>
    <n v="2459550"/>
    <n v="2589000"/>
    <s v="Yasmin Bahader"/>
    <s v="RANGE INTERNATIONAL PROPERTY INVESTMENT ONE PERSON COMPANY L.L.C"/>
    <s v="a03J600000Bs7ad"/>
    <s v="-"/>
    <s v="Not Available on Finance Tracker"/>
    <n v="50000"/>
    <n v="2.0328921957268604E-2"/>
    <s v="No"/>
    <s v="Unit was initially booked with Joint Owner. Customer requested to cancel in order to book under single owner for Golden Visa Process. Funds to be reallocated to single owner Dr. Ajoy"/>
    <s v="Booking-972 - Booking Rejection Request"/>
    <x v="9"/>
    <x v="36"/>
  </r>
  <r>
    <s v="September"/>
    <d v="2025-09-08T00:00:00"/>
    <d v="2025-09-11T00:00:00"/>
    <s v="Booking-968"/>
    <s v="Rejected"/>
    <d v="2025-09-03T00:00:00"/>
    <n v="148"/>
    <s v="Laguna Residence"/>
    <s v="Tower A"/>
    <s v="Studio"/>
    <s v="A3103"/>
    <s v="SPA Executed"/>
    <s v="Rejected"/>
    <s v="Vishal Sardana"/>
    <s v="Australia"/>
    <n v="0"/>
    <n v="0"/>
    <n v="896000"/>
    <n v="896000"/>
    <s v="Fadwa Belkaid"/>
    <s v="Blaze Realty L.L.C"/>
    <s v="a03J600000Bs37n"/>
    <s v="-"/>
    <s v="Not Available on Finance Tracker"/>
    <n v="2400"/>
    <n v="2.6785714285714286E-3"/>
    <s v="N/A"/>
    <s v="Customer requested to Cancel as mentioned by Sales Manager. Request to reallocate paid funds to different unit - B2612 (Booking-978)"/>
    <s v="Booking-968 - Booking Rejection Request"/>
    <x v="1"/>
    <x v="37"/>
  </r>
  <r>
    <s v="September"/>
    <d v="2025-09-03T00:00:00"/>
    <d v="2025-09-04T00:00:00"/>
    <s v="Booking-964"/>
    <s v="Rejected"/>
    <d v="2025-09-02T00:00:00"/>
    <n v="149"/>
    <s v="Do Dubai Island"/>
    <s v="Tower 1"/>
    <s v="1 Bedroom"/>
    <s v="403"/>
    <s v="SPA Executed"/>
    <s v="Rejected"/>
    <s v="Sriram Rajagopalan Rajagopalan"/>
    <s v="India"/>
    <n v="0"/>
    <n v="0"/>
    <n v="2646000"/>
    <n v="2646000"/>
    <s v="Ramy Abdelsalam"/>
    <s v="Gwt real estate agent"/>
    <s v="a03J600000BrxUQ"/>
    <s v="-"/>
    <s v="Not Available on Finance Tracker"/>
    <s v="No Payment"/>
    <s v="N/A"/>
    <s v="N/A"/>
    <s v="As per the system, customer requested to cancel"/>
    <s v="No Email"/>
    <x v="3"/>
    <x v="38"/>
  </r>
  <r>
    <s v="August"/>
    <d v="2025-08-29T00:00:00"/>
    <d v="2025-09-01T00:00:00"/>
    <s v="Booking-874"/>
    <s v="Rejected"/>
    <d v="2025-08-06T00:00:00"/>
    <n v="176"/>
    <s v="Do Dubai Island"/>
    <s v="Tower 1"/>
    <s v="Studio"/>
    <s v="211"/>
    <s v="SPA Executed"/>
    <s v="Rejected"/>
    <s v="reem a lkhalaf"/>
    <s v="Canada"/>
    <n v="0"/>
    <n v="0"/>
    <n v="1184000"/>
    <n v="1184000"/>
    <s v="Nehad Abdelmeguid"/>
    <s v="AHYAN REAL ESTATE BROKER"/>
    <s v="a03J6000009ogJ6"/>
    <s v="-"/>
    <s v="Not Available on Finance Tracker"/>
    <n v="50000"/>
    <n v="4.2229729729729729E-2"/>
    <s v="Yes"/>
    <s v="Request received from Sales Team for Cancellation_x000a_Customer has shared email with CRM manager stating to cancel the booking citing Financial Concerns"/>
    <s v="Booking-874 - Booking Rejection Request"/>
    <x v="1"/>
    <x v="12"/>
  </r>
  <r>
    <s v="August"/>
    <d v="2025-08-26T00:00:00"/>
    <d v="2025-08-26T00:00:00"/>
    <s v="Booking-945"/>
    <s v="Rejected"/>
    <d v="2025-08-26T00:00:00"/>
    <n v="156"/>
    <s v="Laguna Residence"/>
    <s v="Tower A"/>
    <s v="1 Bedroom"/>
    <s v="A322"/>
    <s v="SPA Executed"/>
    <s v="Rejected"/>
    <s v="Batuhan Nuri Melek"/>
    <s v="Turkey"/>
    <n v="0"/>
    <n v="0"/>
    <n v="1342000"/>
    <n v="1342000"/>
    <s v="Mohamed El Shimy"/>
    <s v="PREMIA LIVINGS REAL ESTATE L.L.C"/>
    <s v="a03J600000BrZYd"/>
    <s v="-"/>
    <s v="Not Available on Finance Tracker"/>
    <s v="No Payment"/>
    <s v="N/A"/>
    <s v="N/A"/>
    <s v="Error in Booking"/>
    <s v="No Email"/>
    <x v="16"/>
    <x v="39"/>
  </r>
  <r>
    <s v="August"/>
    <d v="2025-08-26T00:00:00"/>
    <d v="2025-08-26T00:00:00"/>
    <s v="Booking-944"/>
    <s v="Rejected"/>
    <d v="2025-08-26T00:00:00"/>
    <n v="156"/>
    <s v="Laguna Residence"/>
    <s v="Tower A"/>
    <s v="Studio"/>
    <s v="A2514"/>
    <s v="SPA Executed"/>
    <s v="Rejected"/>
    <s v="Shon Philip Koshy"/>
    <s v="India"/>
    <n v="0"/>
    <n v="0"/>
    <n v="787000"/>
    <n v="787000"/>
    <s v="Mohamed El Shimy"/>
    <s v="PREMIA LIVINGS REAL ESTATE L.L.C"/>
    <s v="a03J600000BrYy2"/>
    <s v="-"/>
    <s v="Not Available on Finance Tracker"/>
    <s v="No Payment"/>
    <s v="N/A"/>
    <s v="N/A"/>
    <s v="Error in Booking"/>
    <s v="No Email"/>
    <x v="16"/>
    <x v="39"/>
  </r>
  <r>
    <s v="August"/>
    <d v="2025-08-26T00:00:00"/>
    <d v="2025-08-26T00:00:00"/>
    <s v="Booking-853"/>
    <s v="Rejected"/>
    <d v="2025-07-31T00:00:00"/>
    <n v="182"/>
    <s v="Laguna Residence"/>
    <s v="Tower A"/>
    <s v="1 Bedroom"/>
    <s v="A322"/>
    <s v="SPA Executed"/>
    <s v="Rejected"/>
    <s v="Shon Philip Koshy"/>
    <s v="India"/>
    <n v="67100"/>
    <n v="0.05"/>
    <n v="1274900"/>
    <n v="1342000"/>
    <s v="Mohamed El Shimy"/>
    <s v="PREMIA LIVINGS REAL ESTATE L.L.C"/>
    <s v="a03J6000009oMOO"/>
    <s v="-"/>
    <s v="Not Available on Finance Tracker"/>
    <n v="25000"/>
    <n v="1.8628912071535022E-2"/>
    <s v="No"/>
    <s v="Request recevied from Sales Team for Cancellation and Reallocation"/>
    <s v="Booking-853 - Booking Rejection Request"/>
    <x v="3"/>
    <x v="40"/>
  </r>
  <r>
    <s v="August"/>
    <d v="2025-08-25T00:00:00"/>
    <d v="2025-08-26T00:00:00"/>
    <s v="Booking-836"/>
    <s v="Rejected"/>
    <d v="2025-07-18T00:00:00"/>
    <n v="195"/>
    <s v="Laguna Residence"/>
    <s v="Tower A"/>
    <s v="Studio"/>
    <s v="A2514"/>
    <s v="SPA Executed"/>
    <s v="Rejected"/>
    <s v="Omar Rezgani"/>
    <s v="Tunisia"/>
    <n v="39350"/>
    <n v="0.05"/>
    <n v="747650"/>
    <n v="787000"/>
    <s v="Mohamed El Shimy"/>
    <s v="Eleva Properties LLC"/>
    <s v="a03J6000009nfhe"/>
    <s v="-"/>
    <s v="Not Available on Finance Tracker"/>
    <n v="5000"/>
    <n v="6.3532401524777635E-3"/>
    <s v="No"/>
    <s v="Customer requested to transfer ownership to &quot;Hossam ibraheem&quot;"/>
    <s v="Booking-836 - Booking Rejections Request"/>
    <x v="9"/>
    <x v="41"/>
  </r>
  <r>
    <s v="August"/>
    <d v="2025-08-25T00:00:00"/>
    <d v="2025-09-03T00:00:00"/>
    <s v="Booking-587"/>
    <s v="Rejected"/>
    <d v="2025-04-09T00:00:00"/>
    <n v="295"/>
    <s v="Laguna Residence"/>
    <s v="Tower B"/>
    <s v="Studio"/>
    <s v="B1720"/>
    <s v="SPA Executed"/>
    <s v="Rejected"/>
    <s v="GUSTAV SJUNNESSON"/>
    <s v="Sweden"/>
    <n v="0"/>
    <n v="0"/>
    <n v="710000"/>
    <n v="710000"/>
    <s v="Karen Altabaa"/>
    <s v="S B H PROPERTIES FZE"/>
    <s v="a03J60000081BOq"/>
    <s v="26802"/>
    <s v="Not Available on Finance Tracker"/>
    <n v="183000"/>
    <n v="0.25774647887323943"/>
    <s v="No"/>
    <s v="Customer requested to transfer ownership to &quot;Mohammed Adam Metto&quot;"/>
    <s v="Booking-587 - Booking Rejection Request"/>
    <x v="9"/>
    <x v="42"/>
  </r>
  <r>
    <s v="August"/>
    <d v="2025-08-25T00:00:00"/>
    <d v="2025-09-04T00:00:00"/>
    <s v="Booking-726"/>
    <s v="Rejected"/>
    <d v="2025-06-10T00:00:00"/>
    <n v="233"/>
    <s v="Do Dubai Island"/>
    <s v="Tower 1"/>
    <s v="2 Bedroom"/>
    <s v="601"/>
    <s v="Blocked"/>
    <s v="Rejected"/>
    <s v="UNDINE ELISABETH GELPKE"/>
    <s v="Germany"/>
    <n v="1000000"/>
    <n v="0.16393442622950818"/>
    <n v="5100000"/>
    <n v="6100000"/>
    <s v="Aiham Addi"/>
    <s v="P E R A REAL ESTATE L.L.C"/>
    <s v="a03J6000009lYbm"/>
    <s v="-"/>
    <s v="Not Available on Finance Tracker"/>
    <n v="100000"/>
    <n v="1.9607843137254902E-2"/>
    <s v="No"/>
    <s v="Customer requested to cancel the booking and refund the paid amount"/>
    <s v="Booking-726 - Booking Rejection Request"/>
    <x v="1"/>
    <x v="43"/>
  </r>
  <r>
    <s v="August"/>
    <d v="2025-08-25T00:00:00"/>
    <d v="2025-09-04T00:00:00"/>
    <s v="Booking-865"/>
    <s v="Rejected"/>
    <d v="2025-08-03T00:00:00"/>
    <n v="179"/>
    <s v="Do Dubai Island"/>
    <s v="Tower 1"/>
    <s v="Studio"/>
    <s v="314"/>
    <s v="SPA Executed"/>
    <s v="Rejected"/>
    <s v="Daniel Koluman"/>
    <s v="Sweden"/>
    <n v="22980"/>
    <n v="0.02"/>
    <n v="1126020"/>
    <n v="1149000"/>
    <s v="Karen Altabaa"/>
    <s v="GUROVA REAL ESTATE LLC"/>
    <s v="a03J6000009oU6U"/>
    <s v="-"/>
    <s v="Not Available on Finance Tracker"/>
    <n v="4000"/>
    <n v="3.4812880765883376E-3"/>
    <s v="N/A"/>
    <s v="Cancellation request received from VP of Sales. Request to cancel the booking and to block the unit against another Sales Manager."/>
    <s v="Booking-865 - Booking Rejection Request"/>
    <x v="5"/>
    <x v="44"/>
  </r>
  <r>
    <s v="August"/>
    <d v="2025-08-04T00:00:00"/>
    <d v="2025-08-07T00:00:00"/>
    <s v="Booking-844"/>
    <s v="Rejected"/>
    <d v="2025-07-21T00:00:00"/>
    <n v="192"/>
    <s v="Laguna Residence"/>
    <s v="Tower A"/>
    <s v="2 Bedroom"/>
    <s v="A417"/>
    <s v="Booked"/>
    <s v="Rejected"/>
    <s v="Ephraim Pelino Cosinero"/>
    <s v="Philippines"/>
    <n v="155850"/>
    <n v="9.5321100917431192E-2"/>
    <n v="1479150"/>
    <n v="1635000"/>
    <s v="Ahmed Eissa"/>
    <s v="PREMIA LIVINGS REAL ESTATE L.L.C"/>
    <s v="a03J6000009no2b"/>
    <s v="-"/>
    <s v="Not Available on Finance Tracker"/>
    <s v="No Payment"/>
    <s v="N/A"/>
    <s v="N/A"/>
    <s v="Customer requested to cancel as he has declined the offer. VP Sales advised to cancel and release back to inventory as per attached email. "/>
    <s v="Booking-844 - Booking Rejection Request"/>
    <x v="1"/>
    <x v="1"/>
  </r>
  <r>
    <s v="July"/>
    <d v="2025-07-15T00:00:00"/>
    <d v="2025-07-21T00:00:00"/>
    <s v="Booking-806"/>
    <s v="Rejected"/>
    <d v="2025-07-05T00:00:00"/>
    <n v="208"/>
    <s v="Do Dubai Island"/>
    <s v="Tower 1"/>
    <s v="Studio"/>
    <s v="107"/>
    <s v="SPA Executed"/>
    <s v="Rejected"/>
    <s v="Mohanad Adel Abdo Saif"/>
    <s v="Yemen"/>
    <n v="0"/>
    <n v="0"/>
    <n v="1296000"/>
    <n v="1296000"/>
    <s v="Ramy Abdelsalam"/>
    <s v="STARS AND SANDS PROPERTIES L.L.C"/>
    <s v="a03J6000009mxJ1"/>
    <s v="-"/>
    <s v="Not Available on Finance Tracker"/>
    <s v="No Payment"/>
    <s v="N/A"/>
    <s v="N/A"/>
    <s v="Customer requested to cancel and purchase only 1 unit (Laguna-B205 - Booking-800)"/>
    <s v="Booking-806 - Booking Rejection Request"/>
    <x v="1"/>
    <x v="45"/>
  </r>
  <r>
    <s v="July"/>
    <d v="2025-07-15T00:00:00"/>
    <d v="2025-07-21T00:00:00"/>
    <s v="Booking-804"/>
    <s v="Rejected"/>
    <d v="2025-07-05T00:00:00"/>
    <n v="208"/>
    <s v="Do Dubai Island"/>
    <s v="Tower 1"/>
    <s v="1 Bedroom"/>
    <s v="216"/>
    <s v="Available"/>
    <s v="Rejected"/>
    <s v="Mohanad Adel Abdo Saif"/>
    <s v="Yemen"/>
    <n v="0"/>
    <n v="0"/>
    <n v="2191000"/>
    <n v="2191000"/>
    <s v="Ramy Abdelsalam"/>
    <s v="STARS AND SANDS PROPERTIES L.L.C"/>
    <s v="a03J6000009mxIc"/>
    <s v="-"/>
    <s v="Not Available on Finance Tracker"/>
    <s v="No Payment"/>
    <m/>
    <m/>
    <s v="Customer requested to cancel and purchase only 1 unit (Laguna-B205 - Booking-800)"/>
    <s v="Booking-804 - Booking Rejection Request"/>
    <x v="1"/>
    <x v="45"/>
  </r>
  <r>
    <s v="July"/>
    <d v="2025-07-15T00:00:00"/>
    <d v="2025-07-21T00:00:00"/>
    <s v="Booking-795"/>
    <s v="Rejected"/>
    <d v="2025-06-29T00:00:00"/>
    <n v="214"/>
    <s v="Laguna Residence"/>
    <s v="Tower A"/>
    <s v="Studio"/>
    <s v="A2110"/>
    <s v="Booked"/>
    <s v="Rejected"/>
    <s v="Aziz Ghassan Saba"/>
    <s v="Canada"/>
    <n v="53000"/>
    <n v="6.5594059405940597E-2"/>
    <n v="755000"/>
    <n v="808000"/>
    <s v="Ahmed Eissa"/>
    <s v="PREMIA LIVINGS REAL ESTATE L.L.C"/>
    <s v="a03J6000009mayR"/>
    <s v="-"/>
    <s v="Not Available on Finance Tracker"/>
    <n v="15100"/>
    <n v="1.8688118811881187E-2"/>
    <s v="No"/>
    <s v="Customer requested to cancel"/>
    <s v="Booking-795 - Booking Rejection Request"/>
    <x v="1"/>
    <x v="1"/>
  </r>
  <r>
    <s v="July"/>
    <d v="2025-07-15T00:00:00"/>
    <d v="2025-07-21T00:00:00"/>
    <s v="Booking-786"/>
    <s v="Rejected"/>
    <d v="2025-06-25T00:00:00"/>
    <n v="218"/>
    <s v="Do Dubai Island"/>
    <s v="Tower 1"/>
    <s v="Studio"/>
    <s v="618"/>
    <s v="SPA Executed"/>
    <s v="Rejected"/>
    <s v="GIORGIO SAIU"/>
    <s v="Italy"/>
    <n v="0"/>
    <n v="0"/>
    <n v="1184000"/>
    <n v="1184000"/>
    <s v="Amal El Gendy"/>
    <s v="Aarniko Consulting/Mr. FELICE LAFORZA"/>
    <s v="a03J6000009mQVN"/>
    <s v="-"/>
    <s v="Not Available on Finance Tracker"/>
    <s v="No Payment"/>
    <s v="N/A"/>
    <s v="N/A"/>
    <s v="Request received from Sales Director"/>
    <s v="Booking-786 - Booking Rejection Request"/>
    <x v="11"/>
    <x v="19"/>
  </r>
  <r>
    <s v="July"/>
    <d v="2025-07-15T00:00:00"/>
    <d v="2025-07-21T00:00:00"/>
    <s v="Booking-735"/>
    <s v="Rejected"/>
    <d v="2025-06-10T00:00:00"/>
    <n v="233"/>
    <s v="Do Dubai Island"/>
    <s v="Tower 1"/>
    <s v="1 Bedroom"/>
    <s v="509"/>
    <s v="SPA Executed"/>
    <s v="Rejected"/>
    <s v="Ramazan ozturk"/>
    <s v="Turkey"/>
    <n v="0"/>
    <n v="0"/>
    <n v="2274000"/>
    <n v="2274000"/>
    <s v="Zeynep Mustekin"/>
    <s v="Seven Luxury Real Estate L.L.C"/>
    <s v="a03J6000009la3Y"/>
    <s v="-"/>
    <s v="Not Available on Finance Tracker"/>
    <s v="No Payment"/>
    <s v="N/A"/>
    <s v="No"/>
    <s v="Cancellation requested by Hussien"/>
    <s v="Booking-735 - Booking Rejection Request"/>
    <x v="5"/>
    <x v="7"/>
  </r>
  <r>
    <s v="July"/>
    <d v="2025-07-15T00:00:00"/>
    <d v="2025-07-21T00:00:00"/>
    <s v="Booking-734"/>
    <s v="Rejected"/>
    <d v="2025-06-10T00:00:00"/>
    <n v="233"/>
    <s v="Do Dubai Island"/>
    <s v="Tower 1"/>
    <s v="Studio"/>
    <s v="612"/>
    <s v="SPA Executed"/>
    <s v="Rejected"/>
    <s v="Ahmed Bharkhat Roheb"/>
    <s v="United Kingdom"/>
    <n v="0"/>
    <n v="0"/>
    <n v="1215000"/>
    <n v="1215000"/>
    <s v="Claire Moussa"/>
    <s v="GOLD MILE PROPERTIES"/>
    <s v="a03J6000009la30"/>
    <s v="-"/>
    <s v="Not Available on Finance Tracker"/>
    <n v="50010"/>
    <n v="4.1160493827160492E-2"/>
    <s v="Yes"/>
    <s v="Cancellation requested by Hussien"/>
    <s v="Booking-734 - Booking Rejection Request"/>
    <x v="5"/>
    <x v="7"/>
  </r>
  <r>
    <s v="July"/>
    <d v="2025-07-15T00:00:00"/>
    <d v="2025-07-17T00:00:00"/>
    <s v="Booking-722"/>
    <s v="Rejected"/>
    <d v="2025-06-09T00:00:00"/>
    <n v="234"/>
    <s v="Do Dubai Island"/>
    <s v="Tower 1"/>
    <s v="1 Bedroom"/>
    <s v="502"/>
    <s v="SPA Executed"/>
    <s v="Rejected"/>
    <s v="MAXIMILIAN WINZLMEIER"/>
    <s v="Germany"/>
    <n v="0"/>
    <n v="0"/>
    <n v="2654000"/>
    <n v="2654000"/>
    <s v="Amal El Gendy"/>
    <s v="H&amp;S REAL ESTATE LLC"/>
    <s v="a03J6000009lWlJ"/>
    <s v="-"/>
    <s v="Not Available on Finance Tracker"/>
    <n v="199268.78"/>
    <n v="7.5082434061793518E-2"/>
    <s v="Yes"/>
    <s v="Request received from Sales Director as customer requested to cancel"/>
    <s v="Booking-722 - Booking Rejection Request"/>
    <x v="1"/>
    <x v="46"/>
  </r>
  <r>
    <s v="July"/>
    <d v="2025-07-15T00:00:00"/>
    <d v="2025-07-21T00:00:00"/>
    <s v="Booking-541"/>
    <s v="Rejected"/>
    <d v="2025-03-24T00:00:00"/>
    <n v="311"/>
    <s v="Laguna Residence"/>
    <s v="Tower A"/>
    <s v="Studio"/>
    <s v="A918"/>
    <s v="Booked"/>
    <s v="Rejected"/>
    <s v="Hayah Mohammed Abdulla Mohamed Alnuaimi"/>
    <s v="United Arab Emirates"/>
    <n v="52000"/>
    <n v="6.5822784810126586E-2"/>
    <n v="738000"/>
    <n v="790000"/>
    <s v="Feriel Dridi"/>
    <s v="AHYAN REAL ESTATE BROKER"/>
    <s v="a03J60000080F5C"/>
    <s v="23702"/>
    <s v="Not Available on Finance Tracker"/>
    <n v="20000"/>
    <n v="2.5316455696202531E-2"/>
    <s v="No"/>
    <s v="Request received from Hussien"/>
    <s v="Booking-541 - Booking Rejection Request"/>
    <x v="5"/>
    <x v="7"/>
  </r>
  <r>
    <s v="July"/>
    <d v="2025-07-15T00:00:00"/>
    <d v="2025-07-21T00:00:00"/>
    <s v="Booking-208"/>
    <s v="Rejected"/>
    <d v="2024-12-04T00:00:00"/>
    <n v="421"/>
    <s v="Laguna Residence"/>
    <s v="Tower A"/>
    <s v="3 Bedroom"/>
    <s v="A4001"/>
    <s v="Blocked"/>
    <s v="Rejected"/>
    <s v="Alem Mengstu Meles"/>
    <s v="Ethiopia"/>
    <n v="797000"/>
    <n v="0.15046252595808948"/>
    <n v="4500000"/>
    <n v="5297000"/>
    <s v="Aiham Addi"/>
    <s v="GLOBEX REAL ESTATE L L C"/>
    <s v="a03J6000003iewX"/>
    <s v="14633"/>
    <s v="Not Available on Finance Tracker"/>
    <n v="680000"/>
    <n v="0.12837455163299982"/>
    <s v="No"/>
    <s v="Customer requested to cancel. Paid amount for A4001 has been transferred to B3001"/>
    <s v="Booking-208 - Booking Rejection Request"/>
    <x v="3"/>
    <x v="4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FC6CE48-8C55-4CA7-B40C-5064F4A29E3E}" name="PivotTable3"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ummary">
  <location ref="E3:F70" firstHeaderRow="1" firstDataRow="1" firstDataCol="1"/>
  <pivotFields count="31">
    <pivotField showAll="0"/>
    <pivotField showAll="0"/>
    <pivotField showAll="0"/>
    <pivotField dataField="1" showAll="0"/>
    <pivotField showAll="0"/>
    <pivotField numFmtId="14" showAll="0"/>
    <pivotField showAll="0"/>
    <pivotField showAll="0"/>
    <pivotField showAll="0"/>
    <pivotField showAll="0"/>
    <pivotField showAll="0"/>
    <pivotField showAll="0"/>
    <pivotField showAll="0"/>
    <pivotField showAll="0"/>
    <pivotField showAll="0"/>
    <pivotField showAll="0"/>
    <pivotField numFmtId="9"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20">
        <item x="11"/>
        <item x="5"/>
        <item x="9"/>
        <item x="1"/>
        <item x="3"/>
        <item x="12"/>
        <item x="15"/>
        <item x="16"/>
        <item m="1" x="18"/>
        <item x="13"/>
        <item x="14"/>
        <item m="1" x="17"/>
        <item x="10"/>
        <item x="8"/>
        <item x="0"/>
        <item x="6"/>
        <item x="4"/>
        <item x="2"/>
        <item x="7"/>
        <item t="default"/>
      </items>
      <autoSortScope>
        <pivotArea dataOnly="0" outline="0" fieldPosition="0">
          <references count="1">
            <reference field="4294967294" count="1" selected="0">
              <x v="0"/>
            </reference>
          </references>
        </pivotArea>
      </autoSortScope>
    </pivotField>
    <pivotField axis="axisRow" showAll="0" sortType="descending">
      <items count="52">
        <item x="19"/>
        <item x="7"/>
        <item x="44"/>
        <item x="1"/>
        <item x="43"/>
        <item x="46"/>
        <item x="12"/>
        <item x="45"/>
        <item x="42"/>
        <item x="29"/>
        <item x="30"/>
        <item x="36"/>
        <item x="41"/>
        <item x="33"/>
        <item x="34"/>
        <item x="37"/>
        <item x="38"/>
        <item x="40"/>
        <item x="47"/>
        <item x="32"/>
        <item x="35"/>
        <item x="5"/>
        <item x="20"/>
        <item x="26"/>
        <item x="27"/>
        <item x="31"/>
        <item m="1" x="49"/>
        <item x="28"/>
        <item x="25"/>
        <item x="24"/>
        <item x="22"/>
        <item m="1" x="50"/>
        <item x="21"/>
        <item x="23"/>
        <item m="1" x="48"/>
        <item x="18"/>
        <item x="15"/>
        <item x="16"/>
        <item x="17"/>
        <item x="14"/>
        <item x="13"/>
        <item x="10"/>
        <item x="0"/>
        <item x="6"/>
        <item x="8"/>
        <item x="9"/>
        <item x="11"/>
        <item x="2"/>
        <item x="3"/>
        <item x="4"/>
        <item x="39"/>
        <item t="default"/>
      </items>
      <autoSortScope>
        <pivotArea dataOnly="0" outline="0" fieldPosition="0">
          <references count="1">
            <reference field="4294967294" count="1" selected="0">
              <x v="0"/>
            </reference>
          </references>
        </pivotArea>
      </autoSortScope>
    </pivotField>
  </pivotFields>
  <rowFields count="2">
    <field x="29"/>
    <field x="30"/>
  </rowFields>
  <rowItems count="67">
    <i>
      <x v="1"/>
    </i>
    <i r="1">
      <x v="1"/>
    </i>
    <i r="1">
      <x v="21"/>
    </i>
    <i r="1">
      <x v="41"/>
    </i>
    <i r="1">
      <x v="2"/>
    </i>
    <i>
      <x v="3"/>
    </i>
    <i r="1">
      <x v="3"/>
    </i>
    <i r="1">
      <x v="6"/>
    </i>
    <i r="1">
      <x v="7"/>
    </i>
    <i r="1">
      <x v="37"/>
    </i>
    <i r="1">
      <x v="15"/>
    </i>
    <i r="1">
      <x v="4"/>
    </i>
    <i r="1">
      <x v="5"/>
    </i>
    <i>
      <x v="14"/>
    </i>
    <i r="1">
      <x v="42"/>
    </i>
    <i>
      <x v="4"/>
    </i>
    <i r="1">
      <x v="16"/>
    </i>
    <i r="1">
      <x v="36"/>
    </i>
    <i r="1">
      <x v="30"/>
    </i>
    <i r="1">
      <x v="17"/>
    </i>
    <i r="1">
      <x v="45"/>
    </i>
    <i r="1">
      <x v="18"/>
    </i>
    <i r="1">
      <x v="29"/>
    </i>
    <i r="1">
      <x v="19"/>
    </i>
    <i r="1">
      <x v="35"/>
    </i>
    <i r="1">
      <x v="20"/>
    </i>
    <i r="1">
      <x v="43"/>
    </i>
    <i r="1">
      <x v="23"/>
    </i>
    <i r="1">
      <x v="48"/>
    </i>
    <i r="1">
      <x v="24"/>
    </i>
    <i r="1">
      <x v="28"/>
    </i>
    <i>
      <x v="2"/>
    </i>
    <i r="1">
      <x v="39"/>
    </i>
    <i r="1">
      <x v="13"/>
    </i>
    <i r="1">
      <x v="12"/>
    </i>
    <i r="1">
      <x v="9"/>
    </i>
    <i r="1">
      <x v="25"/>
    </i>
    <i r="1">
      <x v="10"/>
    </i>
    <i r="1">
      <x v="8"/>
    </i>
    <i r="1">
      <x v="11"/>
    </i>
    <i>
      <x v="13"/>
    </i>
    <i r="1">
      <x v="40"/>
    </i>
    <i>
      <x/>
    </i>
    <i r="1">
      <x/>
    </i>
    <i r="1">
      <x v="14"/>
    </i>
    <i>
      <x v="12"/>
    </i>
    <i r="1">
      <x v="38"/>
    </i>
    <i>
      <x v="16"/>
    </i>
    <i r="1">
      <x v="49"/>
    </i>
    <i r="1">
      <x v="46"/>
    </i>
    <i>
      <x v="18"/>
    </i>
    <i r="1">
      <x v="46"/>
    </i>
    <i>
      <x v="5"/>
    </i>
    <i r="1">
      <x v="22"/>
    </i>
    <i>
      <x v="7"/>
    </i>
    <i r="1">
      <x v="50"/>
    </i>
    <i>
      <x v="17"/>
    </i>
    <i r="1">
      <x v="47"/>
    </i>
    <i>
      <x v="10"/>
    </i>
    <i r="1">
      <x v="33"/>
    </i>
    <i>
      <x v="6"/>
    </i>
    <i r="1">
      <x v="27"/>
    </i>
    <i>
      <x v="15"/>
    </i>
    <i r="1">
      <x v="44"/>
    </i>
    <i>
      <x v="9"/>
    </i>
    <i r="1">
      <x v="32"/>
    </i>
    <i t="grand">
      <x/>
    </i>
  </rowItems>
  <colItems count="1">
    <i/>
  </colItems>
  <dataFields count="1">
    <dataField name="Count" fld="3" subtotal="count" baseField="0" baseItem="0"/>
  </dataFields>
  <formats count="64">
    <format dxfId="78">
      <pivotArea type="all" dataOnly="0" outline="0" fieldPosition="0"/>
    </format>
    <format dxfId="77">
      <pivotArea outline="0" collapsedLevelsAreSubtotals="1" fieldPosition="0"/>
    </format>
    <format dxfId="76">
      <pivotArea field="29" type="button" dataOnly="0" labelOnly="1" outline="0" axis="axisRow" fieldPosition="0"/>
    </format>
    <format dxfId="75">
      <pivotArea dataOnly="0" labelOnly="1" fieldPosition="0">
        <references count="1">
          <reference field="29" count="0"/>
        </references>
      </pivotArea>
    </format>
    <format dxfId="74">
      <pivotArea dataOnly="0" labelOnly="1" grandRow="1" outline="0" fieldPosition="0"/>
    </format>
    <format dxfId="73">
      <pivotArea dataOnly="0" labelOnly="1" fieldPosition="0">
        <references count="2">
          <reference field="29" count="1" selected="0">
            <x v="1"/>
          </reference>
          <reference field="30" count="2">
            <x v="1"/>
            <x v="2"/>
          </reference>
        </references>
      </pivotArea>
    </format>
    <format dxfId="72">
      <pivotArea dataOnly="0" labelOnly="1" fieldPosition="0">
        <references count="2">
          <reference field="29" count="1" selected="0">
            <x v="3"/>
          </reference>
          <reference field="30" count="6">
            <x v="3"/>
            <x v="4"/>
            <x v="5"/>
            <x v="6"/>
            <x v="7"/>
            <x v="15"/>
          </reference>
        </references>
      </pivotArea>
    </format>
    <format dxfId="71">
      <pivotArea dataOnly="0" labelOnly="1" fieldPosition="0">
        <references count="2">
          <reference field="29" count="1" selected="0">
            <x v="2"/>
          </reference>
          <reference field="30" count="6">
            <x v="8"/>
            <x v="9"/>
            <x v="10"/>
            <x v="11"/>
            <x v="12"/>
            <x v="13"/>
          </reference>
        </references>
      </pivotArea>
    </format>
    <format dxfId="70">
      <pivotArea dataOnly="0" labelOnly="1" fieldPosition="0">
        <references count="2">
          <reference field="29" count="1" selected="0">
            <x v="4"/>
          </reference>
          <reference field="30" count="5">
            <x v="16"/>
            <x v="17"/>
            <x v="18"/>
            <x v="19"/>
            <x v="20"/>
          </reference>
        </references>
      </pivotArea>
    </format>
    <format dxfId="69">
      <pivotArea dataOnly="0" labelOnly="1" fieldPosition="0">
        <references count="2">
          <reference field="29" count="1" selected="0">
            <x v="0"/>
          </reference>
          <reference field="30" count="2">
            <x v="0"/>
            <x v="14"/>
          </reference>
        </references>
      </pivotArea>
    </format>
    <format dxfId="68">
      <pivotArea dataOnly="0" labelOnly="1" outline="0" axis="axisValues" fieldPosition="0"/>
    </format>
    <format dxfId="67">
      <pivotArea field="29" type="button" dataOnly="0" labelOnly="1" outline="0" axis="axisRow" fieldPosition="0"/>
    </format>
    <format dxfId="66">
      <pivotArea grandRow="1" outline="0" collapsedLevelsAreSubtotals="1" fieldPosition="0"/>
    </format>
    <format dxfId="65">
      <pivotArea dataOnly="0" labelOnly="1" grandRow="1" outline="0" fieldPosition="0"/>
    </format>
    <format dxfId="64">
      <pivotArea outline="0" collapsedLevelsAreSubtotals="1" fieldPosition="0"/>
    </format>
    <format dxfId="63">
      <pivotArea dataOnly="0" labelOnly="1" outline="0" axis="axisValues" fieldPosition="0"/>
    </format>
    <format dxfId="62">
      <pivotArea field="29" type="button" dataOnly="0" labelOnly="1" outline="0" axis="axisRow" fieldPosition="0"/>
    </format>
    <format dxfId="61">
      <pivotArea dataOnly="0" labelOnly="1" outline="0" axis="axisValues" fieldPosition="0"/>
    </format>
    <format dxfId="60">
      <pivotArea grandRow="1" outline="0" collapsedLevelsAreSubtotals="1" fieldPosition="0"/>
    </format>
    <format dxfId="59">
      <pivotArea dataOnly="0" labelOnly="1" grandRow="1" outline="0" fieldPosition="0"/>
    </format>
    <format dxfId="58">
      <pivotArea field="29" type="button" dataOnly="0" labelOnly="1" outline="0" axis="axisRow" fieldPosition="0"/>
    </format>
    <format dxfId="57">
      <pivotArea dataOnly="0" labelOnly="1" outline="0" axis="axisValues" fieldPosition="0"/>
    </format>
    <format dxfId="56">
      <pivotArea grandRow="1" outline="0" collapsedLevelsAreSubtotals="1" fieldPosition="0"/>
    </format>
    <format dxfId="55">
      <pivotArea dataOnly="0" labelOnly="1" grandRow="1" outline="0" fieldPosition="0"/>
    </format>
    <format dxfId="54">
      <pivotArea field="29" type="button" dataOnly="0" labelOnly="1" outline="0" axis="axisRow" fieldPosition="0"/>
    </format>
    <format dxfId="53">
      <pivotArea dataOnly="0" labelOnly="1" outline="0" axis="axisValues" fieldPosition="0"/>
    </format>
    <format dxfId="52">
      <pivotArea grandRow="1" outline="0" collapsedLevelsAreSubtotals="1" fieldPosition="0"/>
    </format>
    <format dxfId="51">
      <pivotArea dataOnly="0" labelOnly="1" grandRow="1" outline="0" fieldPosition="0"/>
    </format>
    <format dxfId="50">
      <pivotArea field="29" type="button" dataOnly="0" labelOnly="1" outline="0" axis="axisRow" fieldPosition="0"/>
    </format>
    <format dxfId="49">
      <pivotArea dataOnly="0" labelOnly="1" outline="0" axis="axisValues" fieldPosition="0"/>
    </format>
    <format dxfId="48">
      <pivotArea grandRow="1" outline="0" collapsedLevelsAreSubtotals="1" fieldPosition="0"/>
    </format>
    <format dxfId="47">
      <pivotArea dataOnly="0" labelOnly="1" grandRow="1" outline="0" fieldPosition="0"/>
    </format>
    <format dxfId="46">
      <pivotArea type="all" dataOnly="0" outline="0" fieldPosition="0"/>
    </format>
    <format dxfId="45">
      <pivotArea outline="0" collapsedLevelsAreSubtotals="1" fieldPosition="0"/>
    </format>
    <format dxfId="44">
      <pivotArea field="29" type="button" dataOnly="0" labelOnly="1" outline="0" axis="axisRow" fieldPosition="0"/>
    </format>
    <format dxfId="43">
      <pivotArea dataOnly="0" labelOnly="1" fieldPosition="0">
        <references count="1">
          <reference field="29" count="0"/>
        </references>
      </pivotArea>
    </format>
    <format dxfId="42">
      <pivotArea dataOnly="0" labelOnly="1" grandRow="1" outline="0" fieldPosition="0"/>
    </format>
    <format dxfId="41">
      <pivotArea dataOnly="0" labelOnly="1" fieldPosition="0">
        <references count="2">
          <reference field="29" count="1" selected="0">
            <x v="1"/>
          </reference>
          <reference field="30" count="2">
            <x v="1"/>
            <x v="2"/>
          </reference>
        </references>
      </pivotArea>
    </format>
    <format dxfId="40">
      <pivotArea dataOnly="0" labelOnly="1" fieldPosition="0">
        <references count="2">
          <reference field="29" count="1" selected="0">
            <x v="3"/>
          </reference>
          <reference field="30" count="6">
            <x v="3"/>
            <x v="4"/>
            <x v="5"/>
            <x v="6"/>
            <x v="7"/>
            <x v="15"/>
          </reference>
        </references>
      </pivotArea>
    </format>
    <format dxfId="39">
      <pivotArea dataOnly="0" labelOnly="1" fieldPosition="0">
        <references count="2">
          <reference field="29" count="1" selected="0">
            <x v="2"/>
          </reference>
          <reference field="30" count="6">
            <x v="8"/>
            <x v="9"/>
            <x v="10"/>
            <x v="11"/>
            <x v="12"/>
            <x v="13"/>
          </reference>
        </references>
      </pivotArea>
    </format>
    <format dxfId="38">
      <pivotArea dataOnly="0" labelOnly="1" fieldPosition="0">
        <references count="2">
          <reference field="29" count="1" selected="0">
            <x v="4"/>
          </reference>
          <reference field="30" count="5">
            <x v="16"/>
            <x v="17"/>
            <x v="18"/>
            <x v="19"/>
            <x v="20"/>
          </reference>
        </references>
      </pivotArea>
    </format>
    <format dxfId="37">
      <pivotArea dataOnly="0" labelOnly="1" fieldPosition="0">
        <references count="2">
          <reference field="29" count="1" selected="0">
            <x v="0"/>
          </reference>
          <reference field="30" count="2">
            <x v="0"/>
            <x v="14"/>
          </reference>
        </references>
      </pivotArea>
    </format>
    <format dxfId="36">
      <pivotArea dataOnly="0" labelOnly="1" outline="0" axis="axisValues" fieldPosition="0"/>
    </format>
    <format dxfId="35">
      <pivotArea type="all" dataOnly="0" outline="0" fieldPosition="0"/>
    </format>
    <format dxfId="34">
      <pivotArea outline="0" collapsedLevelsAreSubtotals="1" fieldPosition="0"/>
    </format>
    <format dxfId="33">
      <pivotArea field="29" type="button" dataOnly="0" labelOnly="1" outline="0" axis="axisRow" fieldPosition="0"/>
    </format>
    <format dxfId="32">
      <pivotArea dataOnly="0" labelOnly="1" fieldPosition="0">
        <references count="1">
          <reference field="29" count="0"/>
        </references>
      </pivotArea>
    </format>
    <format dxfId="31">
      <pivotArea dataOnly="0" labelOnly="1" grandRow="1" outline="0" fieldPosition="0"/>
    </format>
    <format dxfId="30">
      <pivotArea dataOnly="0" labelOnly="1" fieldPosition="0">
        <references count="2">
          <reference field="29" count="1" selected="0">
            <x v="1"/>
          </reference>
          <reference field="30" count="2">
            <x v="1"/>
            <x v="2"/>
          </reference>
        </references>
      </pivotArea>
    </format>
    <format dxfId="29">
      <pivotArea dataOnly="0" labelOnly="1" fieldPosition="0">
        <references count="2">
          <reference field="29" count="1" selected="0">
            <x v="3"/>
          </reference>
          <reference field="30" count="6">
            <x v="3"/>
            <x v="4"/>
            <x v="5"/>
            <x v="6"/>
            <x v="7"/>
            <x v="15"/>
          </reference>
        </references>
      </pivotArea>
    </format>
    <format dxfId="28">
      <pivotArea dataOnly="0" labelOnly="1" fieldPosition="0">
        <references count="2">
          <reference field="29" count="1" selected="0">
            <x v="2"/>
          </reference>
          <reference field="30" count="6">
            <x v="8"/>
            <x v="9"/>
            <x v="10"/>
            <x v="11"/>
            <x v="12"/>
            <x v="13"/>
          </reference>
        </references>
      </pivotArea>
    </format>
    <format dxfId="27">
      <pivotArea dataOnly="0" labelOnly="1" fieldPosition="0">
        <references count="2">
          <reference field="29" count="1" selected="0">
            <x v="4"/>
          </reference>
          <reference field="30" count="5">
            <x v="16"/>
            <x v="17"/>
            <x v="18"/>
            <x v="19"/>
            <x v="20"/>
          </reference>
        </references>
      </pivotArea>
    </format>
    <format dxfId="26">
      <pivotArea dataOnly="0" labelOnly="1" fieldPosition="0">
        <references count="2">
          <reference field="29" count="1" selected="0">
            <x v="0"/>
          </reference>
          <reference field="30" count="2">
            <x v="0"/>
            <x v="14"/>
          </reference>
        </references>
      </pivotArea>
    </format>
    <format dxfId="25">
      <pivotArea dataOnly="0" labelOnly="1" outline="0" axis="axisValues" fieldPosition="0"/>
    </format>
    <format dxfId="24">
      <pivotArea field="29" type="button" dataOnly="0" labelOnly="1" outline="0" axis="axisRow" fieldPosition="0"/>
    </format>
    <format dxfId="23">
      <pivotArea dataOnly="0" labelOnly="1" fieldPosition="0">
        <references count="1">
          <reference field="30" count="0"/>
        </references>
      </pivotArea>
    </format>
    <format dxfId="22">
      <pivotArea collapsedLevelsAreSubtotals="1" fieldPosition="0">
        <references count="2">
          <reference field="29" count="1" selected="0">
            <x v="1"/>
          </reference>
          <reference field="30" count="1">
            <x v="1"/>
          </reference>
        </references>
      </pivotArea>
    </format>
    <format dxfId="21">
      <pivotArea collapsedLevelsAreSubtotals="1" fieldPosition="0">
        <references count="2">
          <reference field="29" count="1" selected="0">
            <x v="1"/>
          </reference>
          <reference field="30" count="1">
            <x v="21"/>
          </reference>
        </references>
      </pivotArea>
    </format>
    <format dxfId="20">
      <pivotArea collapsedLevelsAreSubtotals="1" fieldPosition="0">
        <references count="2">
          <reference field="29" count="1" selected="0">
            <x v="1"/>
          </reference>
          <reference field="30" count="1">
            <x v="2"/>
          </reference>
        </references>
      </pivotArea>
    </format>
    <format dxfId="19">
      <pivotArea collapsedLevelsAreSubtotals="1" fieldPosition="0">
        <references count="2">
          <reference field="29" count="1" selected="0">
            <x v="3"/>
          </reference>
          <reference field="30" count="6">
            <x v="3"/>
            <x v="4"/>
            <x v="5"/>
            <x v="6"/>
            <x v="7"/>
            <x v="15"/>
          </reference>
        </references>
      </pivotArea>
    </format>
    <format dxfId="18">
      <pivotArea collapsedLevelsAreSubtotals="1" fieldPosition="0">
        <references count="2">
          <reference field="29" count="1" selected="0">
            <x v="4"/>
          </reference>
          <reference field="30" count="7">
            <x v="16"/>
            <x v="17"/>
            <x v="18"/>
            <x v="19"/>
            <x v="20"/>
            <x v="23"/>
            <x v="24"/>
          </reference>
        </references>
      </pivotArea>
    </format>
    <format dxfId="17">
      <pivotArea collapsedLevelsAreSubtotals="1" fieldPosition="0">
        <references count="2">
          <reference field="29" count="1" selected="0">
            <x v="2"/>
          </reference>
          <reference field="30" count="6">
            <x v="8"/>
            <x v="9"/>
            <x v="10"/>
            <x v="11"/>
            <x v="12"/>
            <x v="13"/>
          </reference>
        </references>
      </pivotArea>
    </format>
    <format dxfId="16">
      <pivotArea collapsedLevelsAreSubtotals="1" fieldPosition="0">
        <references count="2">
          <reference field="29" count="1" selected="0">
            <x v="0"/>
          </reference>
          <reference field="30" count="2">
            <x v="0"/>
            <x v="14"/>
          </reference>
        </references>
      </pivotArea>
    </format>
    <format dxfId="15">
      <pivotArea collapsedLevelsAreSubtotals="1" fieldPosition="0">
        <references count="2">
          <reference field="29" count="1" selected="0">
            <x v="5"/>
          </reference>
          <reference field="30" count="1">
            <x v="2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B20EC8D-09E3-482E-89B6-D1707285C2F9}"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Booking Status">
  <location ref="B15:C18" firstHeaderRow="1" firstDataRow="1" firstDataCol="1"/>
  <pivotFields count="30">
    <pivotField showAll="0"/>
    <pivotField showAll="0"/>
    <pivotField dataField="1" showAll="0"/>
    <pivotField showAll="0"/>
    <pivotField numFmtId="14" showAll="0"/>
    <pivotField showAll="0"/>
    <pivotField showAll="0"/>
    <pivotField showAll="0"/>
    <pivotField showAll="0"/>
    <pivotField showAll="0"/>
    <pivotField showAll="0"/>
    <pivotField axis="axisRow" showAll="0" sortType="descending">
      <items count="7">
        <item m="1" x="3"/>
        <item x="0"/>
        <item x="1"/>
        <item m="1" x="5"/>
        <item m="1" x="2"/>
        <item m="1" x="4"/>
        <item t="default"/>
      </items>
      <autoSortScope>
        <pivotArea dataOnly="0" outline="0" fieldPosition="0">
          <references count="1">
            <reference field="4294967294" count="1" selected="0">
              <x v="0"/>
            </reference>
          </references>
        </pivotArea>
      </autoSortScope>
    </pivotField>
    <pivotField showAll="0"/>
    <pivotField showAll="0"/>
    <pivotField showAll="0"/>
    <pivotField numFmtId="9" showAll="0"/>
    <pivotField showAll="0"/>
    <pivotField showAll="0"/>
    <pivotField showAll="0"/>
    <pivotField showAll="0"/>
    <pivotField showAll="0"/>
    <pivotField showAll="0"/>
    <pivotField showAll="0"/>
    <pivotField showAll="0"/>
    <pivotField showAll="0"/>
    <pivotField showAll="0"/>
    <pivotField showAll="0"/>
    <pivotField showAll="0"/>
    <pivotField showAll="0" sortType="descending">
      <items count="20">
        <item x="11"/>
        <item x="5"/>
        <item x="9"/>
        <item x="1"/>
        <item x="3"/>
        <item x="12"/>
        <item x="15"/>
        <item x="16"/>
        <item m="1" x="18"/>
        <item x="13"/>
        <item x="14"/>
        <item m="1" x="17"/>
        <item x="10"/>
        <item x="8"/>
        <item x="0"/>
        <item x="6"/>
        <item x="4"/>
        <item x="2"/>
        <item x="7"/>
        <item t="default"/>
      </items>
      <autoSortScope>
        <pivotArea dataOnly="0" outline="0" fieldPosition="0">
          <references count="1">
            <reference field="4294967294" count="1" selected="0">
              <x v="0"/>
            </reference>
          </references>
        </pivotArea>
      </autoSortScope>
    </pivotField>
    <pivotField showAll="0" sortType="descending">
      <autoSortScope>
        <pivotArea dataOnly="0" outline="0" fieldPosition="0">
          <references count="1">
            <reference field="4294967294" count="1" selected="0">
              <x v="0"/>
            </reference>
          </references>
        </pivotArea>
      </autoSortScope>
    </pivotField>
  </pivotFields>
  <rowFields count="1">
    <field x="11"/>
  </rowFields>
  <rowItems count="3">
    <i>
      <x v="2"/>
    </i>
    <i>
      <x v="1"/>
    </i>
    <i t="grand">
      <x/>
    </i>
  </rowItems>
  <colItems count="1">
    <i/>
  </colItems>
  <dataFields count="1">
    <dataField name="Count" fld="2" subtotal="count" baseField="0" baseItem="0"/>
  </dataFields>
  <formats count="45">
    <format dxfId="123">
      <pivotArea type="all" dataOnly="0" outline="0" fieldPosition="0"/>
    </format>
    <format dxfId="122">
      <pivotArea outline="0" collapsedLevelsAreSubtotals="1" fieldPosition="0"/>
    </format>
    <format dxfId="121">
      <pivotArea field="28" type="button" dataOnly="0" labelOnly="1" outline="0"/>
    </format>
    <format dxfId="120">
      <pivotArea dataOnly="0" labelOnly="1" grandRow="1" outline="0" fieldPosition="0"/>
    </format>
    <format dxfId="119">
      <pivotArea dataOnly="0" labelOnly="1" outline="0" axis="axisValues" fieldPosition="0"/>
    </format>
    <format dxfId="118">
      <pivotArea field="28" type="button" dataOnly="0" labelOnly="1" outline="0"/>
    </format>
    <format dxfId="117">
      <pivotArea grandRow="1" outline="0" collapsedLevelsAreSubtotals="1" fieldPosition="0"/>
    </format>
    <format dxfId="116">
      <pivotArea dataOnly="0" labelOnly="1" grandRow="1" outline="0" fieldPosition="0"/>
    </format>
    <format dxfId="115">
      <pivotArea outline="0" collapsedLevelsAreSubtotals="1" fieldPosition="0"/>
    </format>
    <format dxfId="114">
      <pivotArea dataOnly="0" labelOnly="1" outline="0" axis="axisValues" fieldPosition="0"/>
    </format>
    <format dxfId="113">
      <pivotArea field="28" type="button" dataOnly="0" labelOnly="1" outline="0"/>
    </format>
    <format dxfId="112">
      <pivotArea dataOnly="0" labelOnly="1" outline="0" axis="axisValues" fieldPosition="0"/>
    </format>
    <format dxfId="111">
      <pivotArea grandRow="1" outline="0" collapsedLevelsAreSubtotals="1" fieldPosition="0"/>
    </format>
    <format dxfId="110">
      <pivotArea dataOnly="0" labelOnly="1" grandRow="1" outline="0" fieldPosition="0"/>
    </format>
    <format dxfId="109">
      <pivotArea field="28" type="button" dataOnly="0" labelOnly="1" outline="0"/>
    </format>
    <format dxfId="108">
      <pivotArea dataOnly="0" labelOnly="1" outline="0" axis="axisValues" fieldPosition="0"/>
    </format>
    <format dxfId="107">
      <pivotArea grandRow="1" outline="0" collapsedLevelsAreSubtotals="1" fieldPosition="0"/>
    </format>
    <format dxfId="106">
      <pivotArea dataOnly="0" labelOnly="1" grandRow="1" outline="0" fieldPosition="0"/>
    </format>
    <format dxfId="105">
      <pivotArea field="28" type="button" dataOnly="0" labelOnly="1" outline="0"/>
    </format>
    <format dxfId="104">
      <pivotArea dataOnly="0" labelOnly="1" outline="0" axis="axisValues" fieldPosition="0"/>
    </format>
    <format dxfId="103">
      <pivotArea grandRow="1" outline="0" collapsedLevelsAreSubtotals="1" fieldPosition="0"/>
    </format>
    <format dxfId="102">
      <pivotArea dataOnly="0" labelOnly="1" grandRow="1" outline="0" fieldPosition="0"/>
    </format>
    <format dxfId="101">
      <pivotArea field="28" type="button" dataOnly="0" labelOnly="1" outline="0"/>
    </format>
    <format dxfId="100">
      <pivotArea grandRow="1" outline="0" collapsedLevelsAreSubtotals="1" fieldPosition="0"/>
    </format>
    <format dxfId="99">
      <pivotArea dataOnly="0" labelOnly="1" grandRow="1" outline="0" fieldPosition="0"/>
    </format>
    <format dxfId="98">
      <pivotArea field="11" type="button" dataOnly="0" labelOnly="1" outline="0" axis="axisRow" fieldPosition="0"/>
    </format>
    <format dxfId="97">
      <pivotArea dataOnly="0" labelOnly="1" outline="0" axis="axisValues" fieldPosition="0"/>
    </format>
    <format dxfId="96">
      <pivotArea field="11" type="button" dataOnly="0" labelOnly="1" outline="0" axis="axisRow" fieldPosition="0"/>
    </format>
    <format dxfId="95">
      <pivotArea dataOnly="0" labelOnly="1" outline="0" axis="axisValues" fieldPosition="0"/>
    </format>
    <format dxfId="94">
      <pivotArea field="11" type="button" dataOnly="0" labelOnly="1" outline="0" axis="axisRow" fieldPosition="0"/>
    </format>
    <format dxfId="93">
      <pivotArea type="all" dataOnly="0" outline="0" fieldPosition="0"/>
    </format>
    <format dxfId="92">
      <pivotArea outline="0" collapsedLevelsAreSubtotals="1" fieldPosition="0"/>
    </format>
    <format dxfId="91">
      <pivotArea field="11" type="button" dataOnly="0" labelOnly="1" outline="0" axis="axisRow" fieldPosition="0"/>
    </format>
    <format dxfId="90">
      <pivotArea dataOnly="0" labelOnly="1" fieldPosition="0">
        <references count="1">
          <reference field="11" count="0"/>
        </references>
      </pivotArea>
    </format>
    <format dxfId="89">
      <pivotArea dataOnly="0" labelOnly="1" grandRow="1" outline="0" fieldPosition="0"/>
    </format>
    <format dxfId="88">
      <pivotArea dataOnly="0" labelOnly="1" outline="0" axis="axisValues" fieldPosition="0"/>
    </format>
    <format dxfId="87">
      <pivotArea type="all" dataOnly="0" outline="0" fieldPosition="0"/>
    </format>
    <format dxfId="86">
      <pivotArea outline="0" collapsedLevelsAreSubtotals="1" fieldPosition="0"/>
    </format>
    <format dxfId="85">
      <pivotArea field="11" type="button" dataOnly="0" labelOnly="1" outline="0" axis="axisRow" fieldPosition="0"/>
    </format>
    <format dxfId="84">
      <pivotArea dataOnly="0" labelOnly="1" fieldPosition="0">
        <references count="1">
          <reference field="11" count="0"/>
        </references>
      </pivotArea>
    </format>
    <format dxfId="83">
      <pivotArea dataOnly="0" labelOnly="1" grandRow="1" outline="0" fieldPosition="0"/>
    </format>
    <format dxfId="82">
      <pivotArea dataOnly="0" labelOnly="1" outline="0" axis="axisValues" fieldPosition="0"/>
    </format>
    <format dxfId="81">
      <pivotArea dataOnly="0" labelOnly="1" fieldPosition="0">
        <references count="1">
          <reference field="11" count="0"/>
        </references>
      </pivotArea>
    </format>
    <format dxfId="80">
      <pivotArea grandRow="1" outline="0" collapsedLevelsAreSubtotals="1" fieldPosition="0"/>
    </format>
    <format dxfId="79">
      <pivotArea dataOnly="0" labelOnly="1" grandRow="1" outline="0"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file:///C:\Users\Norton%20Araujo\OneDrive%20-%20ONE%20Development\Desktop\Norton-Local\Requests\Rejected%20Bookings\Booking-1133%20-%20Booking%20Rejection%20Request.pdf" TargetMode="External"/><Relationship Id="rId21" Type="http://schemas.openxmlformats.org/officeDocument/2006/relationships/hyperlink" Target="file:///C:\Users\Norton%20Araujo\OneDrive%20-%20ONE%20Development\Desktop\Norton-Local\Requests\Rejected%20Bookings\Booking-795%20-%20Booking%20Rejection%20Request.msg" TargetMode="External"/><Relationship Id="rId42" Type="http://schemas.openxmlformats.org/officeDocument/2006/relationships/hyperlink" Target="file:///C:\Users\Norton%20Araujo\OneDrive%20-%20ONE%20Development\Desktop\Norton-Local\Requests\Rejected%20Bookings\Booking-982%20-%20Booking%20Rejection%20Request.msg" TargetMode="External"/><Relationship Id="rId63" Type="http://schemas.openxmlformats.org/officeDocument/2006/relationships/hyperlink" Target="file:///C:\Users\Norton%20Araujo\OneDrive%20-%20ONE%20Development\Desktop\Norton-Local\Requests\Rejected%20Bookings\Booking-1330%20-%20Booking%20Rejection%20Request.msg" TargetMode="External"/><Relationship Id="rId84" Type="http://schemas.openxmlformats.org/officeDocument/2006/relationships/hyperlink" Target="file:///C:\Users\Norton%20Araujo\OneDrive%20-%20ONE%20Development\Desktop\Norton-Local\Requests\Rejected%20Bookings\Booking-1054%20-%20Booking%20Rejection%20Request.msg" TargetMode="External"/><Relationship Id="rId138" Type="http://schemas.openxmlformats.org/officeDocument/2006/relationships/hyperlink" Target="file:///C:\Users\Norton%20Araujo\OneDrive%20-%20ONE%20Development\Desktop\Norton-Local\Requests\Rejected%20Bookings\Booking-1165%20-%20Booking%20Rejection%20Request.msg" TargetMode="External"/><Relationship Id="rId159" Type="http://schemas.openxmlformats.org/officeDocument/2006/relationships/hyperlink" Target="file:///C:\Users\Norton%20Araujo\OneDrive%20-%20ONE%20Development\Desktop\Norton-Local\Requests\Rejected%20Bookings\Booking-1475-%20Booking%20Rejection%20Request.msg" TargetMode="External"/><Relationship Id="rId107" Type="http://schemas.openxmlformats.org/officeDocument/2006/relationships/hyperlink" Target="file:///C:\Users\Norton%20Araujo\OneDrive%20-%20ONE%20Development\Desktop\Norton-Local\Requests\Rejected%20Bookings\Booking-1019%20-%20Booking%20Rejection%20Request.msg" TargetMode="External"/><Relationship Id="rId11" Type="http://schemas.openxmlformats.org/officeDocument/2006/relationships/hyperlink" Target="file:///C:\Users\Norton%20Araujo\OneDrive%20-%20ONE%20Development\Desktop\Norton-Local\Requests\Rejected%20Bookings\Booking-1474%20-%20Booking%20Rejection%20Request.msg" TargetMode="External"/><Relationship Id="rId32" Type="http://schemas.openxmlformats.org/officeDocument/2006/relationships/hyperlink" Target="file:///C:\Users\Norton%20Araujo\OneDrive%20-%20ONE%20Development\Desktop\Norton-Local\Requests\Rejected%20Bookings\Booking-972%20-%20Booking%20Rejection%20Request.msg" TargetMode="External"/><Relationship Id="rId53" Type="http://schemas.openxmlformats.org/officeDocument/2006/relationships/hyperlink" Target="file:///C:\Users\Norton%20Araujo\OneDrive%20-%20ONE%20Development\Desktop\Norton-Local\Requests\Rejected%20Bookings\Booking-1489%20-%20Booking%20Rejection%20Request.msg" TargetMode="External"/><Relationship Id="rId74" Type="http://schemas.openxmlformats.org/officeDocument/2006/relationships/hyperlink" Target="file:///C:\Users\Norton%20Araujo\OneDrive%20-%20ONE%20Development\Desktop\Norton-Local\Requests\Rejected%20Bookings\Booking-800%20-%20Booking%20Rejection%20Request.msg" TargetMode="External"/><Relationship Id="rId128" Type="http://schemas.openxmlformats.org/officeDocument/2006/relationships/hyperlink" Target="file:///C:\Users\Norton%20Araujo\OneDrive%20-%20ONE%20Development\Desktop\Norton-Local\Requests\Rejected%20Bookings\Booking-1000%20-%20Booking%20Rejection%20Request.msg" TargetMode="External"/><Relationship Id="rId149" Type="http://schemas.openxmlformats.org/officeDocument/2006/relationships/hyperlink" Target="file:///C:\Users\Norton%20Araujo\OneDrive%20-%20ONE%20Development\Desktop\Norton-Local\Requests\Rejected%20Bookings\Booking-1441%20-%20Booking%20Rejection%20Request.msg" TargetMode="External"/><Relationship Id="rId5" Type="http://schemas.openxmlformats.org/officeDocument/2006/relationships/hyperlink" Target="https://power-speed-215.lightning.force.com/lightning/r/04iJ6000000lNgTIAU/view" TargetMode="External"/><Relationship Id="rId95" Type="http://schemas.openxmlformats.org/officeDocument/2006/relationships/hyperlink" Target="file:///C:\Users\Norton%20Araujo\OneDrive%20-%20ONE%20Development\Desktop\Norton-Local\Requests\Rejected%20Bookings\Booking-1001%20-%20Booking%20Rejection%20Request.msg" TargetMode="External"/><Relationship Id="rId160" Type="http://schemas.openxmlformats.org/officeDocument/2006/relationships/printerSettings" Target="../printerSettings/printerSettings1.bin"/><Relationship Id="rId22" Type="http://schemas.openxmlformats.org/officeDocument/2006/relationships/hyperlink" Target="file:///C:\Users\Norton%20Araujo\OneDrive%20-%20ONE%20Development\Desktop\Norton-Local\Requests\Rejected%20Bookings\Booking-804%20&amp;%20Booking-806%20-%20Booking%20Rejection%20Request.msg" TargetMode="External"/><Relationship Id="rId43" Type="http://schemas.openxmlformats.org/officeDocument/2006/relationships/hyperlink" Target="file:///C:\Users\Norton%20Araujo\OneDrive%20-%20ONE%20Development\Desktop\Norton-Local\Requests\Rejected%20Bookings\Booking-916%20-%20Booking%20Rejection%20Request.msg" TargetMode="External"/><Relationship Id="rId64" Type="http://schemas.openxmlformats.org/officeDocument/2006/relationships/hyperlink" Target="file:///C:\Users\Norton%20Araujo\OneDrive%20-%20ONE%20Development\Desktop\Norton-Local\Requests\Rejected%20Bookings\Booking-1423%20-%20Booking%20Rejection%20Request.msg" TargetMode="External"/><Relationship Id="rId118" Type="http://schemas.openxmlformats.org/officeDocument/2006/relationships/hyperlink" Target="file:///C:\Users\Norton%20Araujo\OneDrive%20-%20ONE%20Development\Desktop\Norton-Local\Requests\Rejected%20Bookings\Booking-1110%20-%20Booking%20Rejection%20Request.pdf" TargetMode="External"/><Relationship Id="rId139" Type="http://schemas.openxmlformats.org/officeDocument/2006/relationships/hyperlink" Target="file:///C:\Users\Norton%20Araujo\OneDrive%20-%20ONE%20Development\Desktop\Norton-Local\Requests\Rejected%20Bookings\Booking-949%20-%20Booking%20Rejection%20Request.msg" TargetMode="External"/><Relationship Id="rId85" Type="http://schemas.openxmlformats.org/officeDocument/2006/relationships/hyperlink" Target="file:///C:\Users\Norton%20Araujo\OneDrive%20-%20ONE%20Development\Desktop\Norton-Local\Requests\Rejected%20Bookings\Booking-1029%20-%20Booking%20Rejection%20Request.msg" TargetMode="External"/><Relationship Id="rId150" Type="http://schemas.openxmlformats.org/officeDocument/2006/relationships/hyperlink" Target="file:///C:\Users\Norton%20Araujo\OneDrive%20-%20ONE%20Development\Desktop\Norton-Local\Requests\Rejected%20Bookings\Booking-1447%20-%20Booking%20Rejection%20Request.pdf" TargetMode="External"/><Relationship Id="rId12" Type="http://schemas.openxmlformats.org/officeDocument/2006/relationships/hyperlink" Target="file:///C:\Users\Norton%20Araujo\OneDrive%20-%20ONE%20Development\Desktop\Norton-Local\Requests\Rejected%20Bookings\Booking-1437%20-%20Booking%20Rejection%20Request.msg" TargetMode="External"/><Relationship Id="rId17" Type="http://schemas.openxmlformats.org/officeDocument/2006/relationships/hyperlink" Target="file:///C:\Users\Norton%20Araujo\OneDrive%20-%20ONE%20Development\Desktop\Norton-Local\Requests\Rejected%20Bookings\Booking-722%20-%20Booking%20Rejection%20Request.msg" TargetMode="External"/><Relationship Id="rId33" Type="http://schemas.openxmlformats.org/officeDocument/2006/relationships/hyperlink" Target="file:///C:\Users\Norton%20Araujo\OneDrive%20-%20ONE%20Development\Desktop\Norton-Local\Requests\Rejected%20Bookings\Booking-505%20-%20Booking%20Rejection%20Request.msg" TargetMode="External"/><Relationship Id="rId38" Type="http://schemas.openxmlformats.org/officeDocument/2006/relationships/hyperlink" Target="file:///C:\Users\Norton%20Araujo\OneDrive%20-%20ONE%20Development\Desktop\Norton-Local\Requests\Rejected%20Bookings\Booking-657%20-%20Booking%20Rejection%20Request.msg" TargetMode="External"/><Relationship Id="rId59" Type="http://schemas.openxmlformats.org/officeDocument/2006/relationships/hyperlink" Target="file:///C:\Users\Norton%20Araujo\OneDrive%20-%20ONE%20Development\Desktop\Norton-Local\Requests\Rejected%20Bookings\Booking-1394%20-%20Booking%20Rejection%20Request.msg" TargetMode="External"/><Relationship Id="rId103" Type="http://schemas.openxmlformats.org/officeDocument/2006/relationships/hyperlink" Target="file:///C:\Users\Norton%20Araujo\OneDrive%20-%20ONE%20Development\Desktop\Norton-Local\Requests\Rejected%20Bookings\Booking-1017%20-%20Booking%20Rejection%20Request.pdf" TargetMode="External"/><Relationship Id="rId108" Type="http://schemas.openxmlformats.org/officeDocument/2006/relationships/hyperlink" Target="file:///C:\Users\Norton%20Araujo\OneDrive%20-%20ONE%20Development\Desktop\Norton-Local\Requests\Rejected%20Bookings\Booking-1023%20-%20Booking%20Rejection%20Request.msg" TargetMode="External"/><Relationship Id="rId124" Type="http://schemas.openxmlformats.org/officeDocument/2006/relationships/hyperlink" Target="file:///C:\Users\Norton%20Araujo\OneDrive%20-%20ONE%20Development\Desktop\Norton-Local\Requests\Rejected%20Bookings\Booking-1127%20-%20Booking%20Rejection%20Request.pdf" TargetMode="External"/><Relationship Id="rId129" Type="http://schemas.openxmlformats.org/officeDocument/2006/relationships/hyperlink" Target="file:///C:\Users\Norton%20Araujo\OneDrive%20-%20ONE%20Development\Desktop\Norton-Local\Requests\Rejected%20Bookings\Booking-594%20-%20Booking%20Rejection%20Request.msg" TargetMode="External"/><Relationship Id="rId54" Type="http://schemas.openxmlformats.org/officeDocument/2006/relationships/hyperlink" Target="file:///C:\Users\Norton%20Araujo\OneDrive%20-%20ONE%20Development\Desktop\Norton-Local\Requests\Rejected%20Bookings\Booking-1340%20-%20Booking%20Rejection%20Request.msg" TargetMode="External"/><Relationship Id="rId70" Type="http://schemas.openxmlformats.org/officeDocument/2006/relationships/hyperlink" Target="file:///C:\Users\Norton%20Araujo\OneDrive%20-%20ONE%20Development\Desktop\Norton-Local\Requests\Rejected%20Bookings\Booking-1392%20-%20Booking%20Rejection%20Request.msg" TargetMode="External"/><Relationship Id="rId75" Type="http://schemas.openxmlformats.org/officeDocument/2006/relationships/hyperlink" Target="file:///C:\Users\Norton%20Araujo\OneDrive%20-%20ONE%20Development\Desktop\Norton-Local\Requests\Rejected%20Bookings\Booking-1345%20-%20Booking%20Rejection%20Request.msg" TargetMode="External"/><Relationship Id="rId91" Type="http://schemas.openxmlformats.org/officeDocument/2006/relationships/hyperlink" Target="file:///C:\Users\Norton%20Araujo\OneDrive%20-%20ONE%20Development\Desktop\Norton-Local\Requests\Rejected%20Bookings\Booking-1180%20-%20Booking%20Rejection%20Request.msg" TargetMode="External"/><Relationship Id="rId96" Type="http://schemas.openxmlformats.org/officeDocument/2006/relationships/hyperlink" Target="file:///C:\Users\Norton%20Araujo\OneDrive%20-%20ONE%20Development\Desktop\Norton-Local\Requests\Rejected%20Bookings\Booking-1002%20-%20Booking%20Rejection%20Request.msg" TargetMode="External"/><Relationship Id="rId140" Type="http://schemas.openxmlformats.org/officeDocument/2006/relationships/hyperlink" Target="file:///C:\Users\Norton%20Araujo\OneDrive%20-%20ONE%20Development\Desktop\Norton-Local\Requests\Rejected%20Bookings\Booking-1011%20-%20Booking%20Rejection%20Request.msg" TargetMode="External"/><Relationship Id="rId145" Type="http://schemas.openxmlformats.org/officeDocument/2006/relationships/hyperlink" Target="file:///C:\Users\Norton%20Araujo\OneDrive%20-%20ONE%20Development\Desktop\Norton-Local\Requests\Rejected%20Bookings\Booking-1467%20-%20Booking%20Rejection%20Request.msg" TargetMode="External"/><Relationship Id="rId161" Type="http://schemas.openxmlformats.org/officeDocument/2006/relationships/drawing" Target="../drawings/drawing1.xml"/><Relationship Id="rId1" Type="http://schemas.openxmlformats.org/officeDocument/2006/relationships/hyperlink" Target="https://power-speed-215.lightning.force.com/lightning/r/04iJ6000000lO3mIAE/view" TargetMode="External"/><Relationship Id="rId6" Type="http://schemas.openxmlformats.org/officeDocument/2006/relationships/hyperlink" Target="https://power-speed-215.lightning.force.com/lightning/r/04iJ6000000lNDgIAM/view" TargetMode="External"/><Relationship Id="rId23" Type="http://schemas.openxmlformats.org/officeDocument/2006/relationships/hyperlink" Target="file:///C:\Users\Norton%20Araujo\OneDrive%20-%20ONE%20Development\Desktop\Norton-Local\Requests\Rejected%20Bookings\Booking-804%20&amp;%20Booking-806%20-%20Booking%20Rejection%20Request.msg" TargetMode="External"/><Relationship Id="rId28" Type="http://schemas.openxmlformats.org/officeDocument/2006/relationships/hyperlink" Target="file:///C:\Users\Norton%20Araujo\OneDrive%20-%20ONE%20Development\Desktop\Norton-Local\Requests\Rejected%20Bookings\Booking-836%20-%20Booking%20Rejection%20Request.msg" TargetMode="External"/><Relationship Id="rId49" Type="http://schemas.openxmlformats.org/officeDocument/2006/relationships/hyperlink" Target="file:///C:\Users\Norton%20Araujo\OneDrive%20-%20ONE%20Development\Desktop\Norton-Local\Requests\Rejected%20Bookings\Booking-980%20-%20Booking%20Rejection%20Request.msg" TargetMode="External"/><Relationship Id="rId114" Type="http://schemas.openxmlformats.org/officeDocument/2006/relationships/hyperlink" Target="file:///C:\Users\Norton%20Araujo\OneDrive%20-%20ONE%20Development\Desktop\Norton-Local\Requests\Rejected%20Bookings\Booking-1112%20-%20Booking%20Rejection%20Request.msg" TargetMode="External"/><Relationship Id="rId119" Type="http://schemas.openxmlformats.org/officeDocument/2006/relationships/hyperlink" Target="file:///C:\Users\Norton%20Araujo\OneDrive%20-%20ONE%20Development\Desktop\Norton-Local\Requests\Rejected%20Bookings\Booking-1114%20-Booking%20Rejection%20Request.pdf" TargetMode="External"/><Relationship Id="rId44" Type="http://schemas.openxmlformats.org/officeDocument/2006/relationships/hyperlink" Target="file:///C:\Users\Norton%20Araujo\OneDrive%20-%20ONE%20Development\Desktop\Norton-Local\Requests\Rejected%20Bookings\Booking-957%20-%20Booking%20Rejection%20Request.msg" TargetMode="External"/><Relationship Id="rId60" Type="http://schemas.openxmlformats.org/officeDocument/2006/relationships/hyperlink" Target="file:///C:\Users\Norton%20Araujo\OneDrive%20-%20ONE%20Development\Desktop\Norton-Local\Requests\Rejected%20Bookings\Booking-1424%20-%20Booking%20Rejection%20Request.msg" TargetMode="External"/><Relationship Id="rId65" Type="http://schemas.openxmlformats.org/officeDocument/2006/relationships/hyperlink" Target="file:///C:\Users\Norton%20Araujo\OneDrive%20-%20ONE%20Development\Desktop\Norton-Local\Requests\Rejected%20Bookings\Booking-1434%20-%20Booking%20Rejection%20Request.msg" TargetMode="External"/><Relationship Id="rId81" Type="http://schemas.openxmlformats.org/officeDocument/2006/relationships/hyperlink" Target="file:///C:\Users\Norton%20Araujo\OneDrive%20-%20ONE%20Development\Desktop\Norton-Local\Requests\Rejected%20Bookings\Booking-1101%20-%20Booking%20Rejection%20Request.pdf" TargetMode="External"/><Relationship Id="rId86" Type="http://schemas.openxmlformats.org/officeDocument/2006/relationships/hyperlink" Target="file:///C:\Users\Norton%20Araujo\OneDrive%20-%20ONE%20Development\Desktop\Norton-Local\Requests\Rejected%20Bookings\Booking-948%20-%20Booking%20Rejection%20Request.msg" TargetMode="External"/><Relationship Id="rId130" Type="http://schemas.openxmlformats.org/officeDocument/2006/relationships/hyperlink" Target="file:///C:\Users\Norton%20Araujo\OneDrive%20-%20ONE%20Development\Desktop\Norton-Local\Requests\Rejected%20Bookings\Booking-1044%20-%20Booking%20Rejection%20Request.msg" TargetMode="External"/><Relationship Id="rId135" Type="http://schemas.openxmlformats.org/officeDocument/2006/relationships/hyperlink" Target="file:///C:\Users\Norton%20Araujo\OneDrive%20-%20ONE%20Development\Desktop\Norton-Local\Requests\Rejected%20Bookings\Booking-1153%20-%20Booking%20Rejection%20Request.msg" TargetMode="External"/><Relationship Id="rId151" Type="http://schemas.openxmlformats.org/officeDocument/2006/relationships/hyperlink" Target="file:///C:\Users\Norton%20Araujo\OneDrive%20-%20ONE%20Development\Desktop\Norton-Local\Requests\Rejected%20Bookings\Booking-1448%20-%20Booking%20Rejection%20Request.pdf" TargetMode="External"/><Relationship Id="rId156" Type="http://schemas.openxmlformats.org/officeDocument/2006/relationships/hyperlink" Target="file:///C:\Users\Norton%20Araujo\OneDrive%20-%20ONE%20Development\Desktop\Norton-Local\Requests\Rejected%20Bookings\Booking-1222%20-%20Booking%20Rejection%20Request.msg" TargetMode="External"/><Relationship Id="rId13" Type="http://schemas.openxmlformats.org/officeDocument/2006/relationships/hyperlink" Target="file:///C:\Users\Norton%20Araujo\OneDrive%20-%20ONE%20Development\Desktop\Norton-Local\Requests\Rejected%20Bookings\Booking-1480%20-%20Booking%20Rejection%20Request.msg" TargetMode="External"/><Relationship Id="rId18" Type="http://schemas.openxmlformats.org/officeDocument/2006/relationships/hyperlink" Target="file:///C:\Users\Norton%20Araujo\OneDrive%20-%20ONE%20Development\Desktop\Norton-Local\Requests\Rejected%20Bookings\Booking-734%20&amp;%20Booking-735%20-%20Booking%20Rejection%20Request.msg" TargetMode="External"/><Relationship Id="rId39" Type="http://schemas.openxmlformats.org/officeDocument/2006/relationships/hyperlink" Target="file:///C:\Users\Norton%20Araujo\OneDrive%20-%20ONE%20Development\Desktop\Norton-Local\Requests\Rejected%20Bookings\Booking-711%20-%20Booking%20Rejection%20Request.msg" TargetMode="External"/><Relationship Id="rId109" Type="http://schemas.openxmlformats.org/officeDocument/2006/relationships/hyperlink" Target="file:///C:\Users\Norton%20Araujo\OneDrive%20-%20ONE%20Development\Desktop\Norton-Local\Requests\Rejected%20Bookings\Booking-776%20-%20Booking%20Rejection%20Request.msg" TargetMode="External"/><Relationship Id="rId34" Type="http://schemas.openxmlformats.org/officeDocument/2006/relationships/hyperlink" Target="file:///C:\Users\Norton%20Araujo\OneDrive%20-%20ONE%20Development\Desktop\Norton-Local\Requests\Rejected%20Bookings\Booking-882%20-%20Booking%20Rejection%20Request.msg" TargetMode="External"/><Relationship Id="rId50" Type="http://schemas.openxmlformats.org/officeDocument/2006/relationships/hyperlink" Target="file:///C:\Users\Norton%20Araujo\OneDrive%20-%20ONE%20Development\Desktop\Norton-Local\Requests\Rejected%20Bookings\Booking-956%20-%20Booking%20Rejection%20Request.msg" TargetMode="External"/><Relationship Id="rId55" Type="http://schemas.openxmlformats.org/officeDocument/2006/relationships/hyperlink" Target="file:///C:\Users\Norton%20Araujo\OneDrive%20-%20ONE%20Development\Desktop\Norton-Local\Requests\Rejected%20Bookings\Booking-1477%20-%20Booking%20Rejection%20Request.msg" TargetMode="External"/><Relationship Id="rId76" Type="http://schemas.openxmlformats.org/officeDocument/2006/relationships/hyperlink" Target="file:///C:\Users\Norton%20Araujo\OneDrive%20-%20ONE%20Development\Desktop\Norton-Local\Requests\Rejected%20Bookings\Booking-1085%20-%20Booking%20Rejection%20Request.msg" TargetMode="External"/><Relationship Id="rId97" Type="http://schemas.openxmlformats.org/officeDocument/2006/relationships/hyperlink" Target="file:///C:\Users\Norton%20Araujo\OneDrive%20-%20ONE%20Development\Desktop\Norton-Local\Requests\Rejected%20Bookings\Booking-1021%20&amp;%20Booking-1022%20-%20Booking%20Rejection%20Request.msg" TargetMode="External"/><Relationship Id="rId104" Type="http://schemas.openxmlformats.org/officeDocument/2006/relationships/hyperlink" Target="file:///C:\Users\Norton%20Araujo\OneDrive%20-%20ONE%20Development\Desktop\Norton-Local\Requests\Rejected%20Bookings\Booking-966%20-%20Booking%20Rejection%20Request.msg" TargetMode="External"/><Relationship Id="rId120" Type="http://schemas.openxmlformats.org/officeDocument/2006/relationships/hyperlink" Target="file:///C:\Users\Norton%20Araujo\OneDrive%20-%20ONE%20Development\Desktop\Norton-Local\Requests\Rejected%20Bookings\Booking-1025%20-%20Booking%20Rejection%20Request.pdf" TargetMode="External"/><Relationship Id="rId125" Type="http://schemas.openxmlformats.org/officeDocument/2006/relationships/hyperlink" Target="file:///C:\Users\Norton%20Araujo\OneDrive%20-%20ONE%20Development\Desktop\Norton-Local\Requests\Rejected%20Bookings\Booking-1166%20-%20Booking%20Rejection%20Request.pdf" TargetMode="External"/><Relationship Id="rId141" Type="http://schemas.openxmlformats.org/officeDocument/2006/relationships/hyperlink" Target="file:///C:\Users\Norton%20Araujo\OneDrive%20-%20ONE%20Development\Desktop\Norton-Local\Requests\Rejected%20Bookings\Booking-1352%20-%20Booking%20Rejection%20Request.msg" TargetMode="External"/><Relationship Id="rId146" Type="http://schemas.openxmlformats.org/officeDocument/2006/relationships/hyperlink" Target="file:///C:\Users\Norton%20Araujo\OneDrive%20-%20ONE%20Development\Desktop\Norton-Local\Requests\Rejected%20Bookings\Booking-818%20-%20Booking%20Rejection%20Request.pdf" TargetMode="External"/><Relationship Id="rId7" Type="http://schemas.openxmlformats.org/officeDocument/2006/relationships/hyperlink" Target="https://power-speed-215.lightning.force.com/lightning/r/04iJ6000000lNDMIA2/view" TargetMode="External"/><Relationship Id="rId71" Type="http://schemas.openxmlformats.org/officeDocument/2006/relationships/hyperlink" Target="file:///C:\Users\Norton%20Araujo\OneDrive%20-%20ONE%20Development\Desktop\Norton-Local\Requests\Rejected%20Bookings\Booking-1451%20-%20Booking%20Rejection%20Request.msg" TargetMode="External"/><Relationship Id="rId92" Type="http://schemas.openxmlformats.org/officeDocument/2006/relationships/hyperlink" Target="file:///C:\Users\Norton%20Araujo\OneDrive%20-%20ONE%20Development\Desktop\Norton-Local\Requests\Rejected%20Bookings\Booking-1192%20-%20Booking%20Rejection%20Request.msg" TargetMode="External"/><Relationship Id="rId162" Type="http://schemas.openxmlformats.org/officeDocument/2006/relationships/vmlDrawing" Target="../drawings/vmlDrawing1.vml"/><Relationship Id="rId2" Type="http://schemas.openxmlformats.org/officeDocument/2006/relationships/hyperlink" Target="https://power-speed-215.lightning.force.com/lightning/r/04iJ6000000lO3hIAE/view" TargetMode="External"/><Relationship Id="rId29" Type="http://schemas.openxmlformats.org/officeDocument/2006/relationships/hyperlink" Target="file:///C:\Users\Norton%20Araujo\OneDrive%20-%20ONE%20Development\Desktop\Norton-Local\Requests\Rejected%20Bookings\Booking-853%20-%20Booking%20Rejection%20Request.msg" TargetMode="External"/><Relationship Id="rId24" Type="http://schemas.openxmlformats.org/officeDocument/2006/relationships/hyperlink" Target="file:///C:\Users\Norton%20Araujo\OneDrive%20-%20ONE%20Development\Desktop\Norton-Local\Requests\Rejected%20Bookings\Booking-844%20-%20Booking%20Rejection%20Request.msg" TargetMode="External"/><Relationship Id="rId40" Type="http://schemas.openxmlformats.org/officeDocument/2006/relationships/hyperlink" Target="file:///C:\Users\Norton%20Araujo\OneDrive%20-%20ONE%20Development\Desktop\Norton-Local\Requests\Rejected%20Bookings\Booking-783%20-%20Booking%20Rejection%20Request.msg" TargetMode="External"/><Relationship Id="rId45" Type="http://schemas.openxmlformats.org/officeDocument/2006/relationships/hyperlink" Target="file:///C:\Users\Norton%20Araujo\OneDrive%20-%20ONE%20Development\Desktop\Norton-Local\Requests\Rejected%20Bookings\Booking-683%20-%20Booking%20Rejection%20Request.msg" TargetMode="External"/><Relationship Id="rId66" Type="http://schemas.openxmlformats.org/officeDocument/2006/relationships/hyperlink" Target="file:///C:\Users\Norton%20Araujo\OneDrive%20-%20ONE%20Development\Desktop\Norton-Local\Requests\Rejected%20Bookings\Booking-1254%20-%20Booking%20Rejection%20Request.msg" TargetMode="External"/><Relationship Id="rId87" Type="http://schemas.openxmlformats.org/officeDocument/2006/relationships/hyperlink" Target="file:///C:\Users\Norton%20Araujo\OneDrive%20-%20ONE%20Development\Desktop\Norton-Local\Requests\Rejected%20Bookings\Booking-950%20-%20Booking%20Rejection%20Request.msg" TargetMode="External"/><Relationship Id="rId110" Type="http://schemas.openxmlformats.org/officeDocument/2006/relationships/hyperlink" Target="file:///C:\Users\Norton%20Araujo\OneDrive%20-%20ONE%20Development\Desktop\Norton-Local\Requests\Rejected%20Bookings\Booking-1084%20-%20Booking%20Rejection%20Request.msg" TargetMode="External"/><Relationship Id="rId115" Type="http://schemas.openxmlformats.org/officeDocument/2006/relationships/hyperlink" Target="file:///C:\Users\Norton%20Araujo\OneDrive%20-%20ONE%20Development\Desktop\Norton-Local\Requests\Rejected%20Bookings\Booking-1147%20-%20Booking%20Rejection%20Request.msg" TargetMode="External"/><Relationship Id="rId131" Type="http://schemas.openxmlformats.org/officeDocument/2006/relationships/hyperlink" Target="file:///C:\Users\Norton%20Araujo\OneDrive%20-%20ONE%20Development\Desktop\Norton-Local\Requests\Rejected%20Bookings\Booking-1020%20-%20Booking%20Rejection%20Request.msg" TargetMode="External"/><Relationship Id="rId136" Type="http://schemas.openxmlformats.org/officeDocument/2006/relationships/hyperlink" Target="file:///C:\Users\Norton%20Araujo\OneDrive%20-%20ONE%20Development\Desktop\Norton-Local\Requests\Rejected%20Bookings\Booking-443%20-%20Booking%20Rejection%20Request.msg" TargetMode="External"/><Relationship Id="rId157" Type="http://schemas.openxmlformats.org/officeDocument/2006/relationships/hyperlink" Target="file:///C:\Users\Norton%20Araujo\OneDrive%20-%20ONE%20Development\Desktop\Norton-Local\Requests\Rejected%20Bookings\Booking-1328%20-%20Booking%20Rejection%20Request.msg" TargetMode="External"/><Relationship Id="rId61" Type="http://schemas.openxmlformats.org/officeDocument/2006/relationships/hyperlink" Target="file:///C:\Users\Norton%20Araujo\OneDrive%20-%20ONE%20Development\Desktop\Norton-Local\Requests\Rejected%20Bookings\Booking-1420%20-%20Booking%20Rejection%20Request.msg" TargetMode="External"/><Relationship Id="rId82" Type="http://schemas.openxmlformats.org/officeDocument/2006/relationships/hyperlink" Target="file:///C:\Users\Norton%20Araujo\OneDrive%20-%20ONE%20Development\Desktop\Norton-Local\Requests\Rejected%20Bookings\Booking-1231%20-%20Booking%20Rejection%20Request.pdf" TargetMode="External"/><Relationship Id="rId152" Type="http://schemas.openxmlformats.org/officeDocument/2006/relationships/hyperlink" Target="file:///C:\Users\Norton%20Araujo\OneDrive%20-%20ONE%20Development\Desktop\Norton-Local\Requests\Rejected%20Bookings\Booking-1449%20-%20Booking%20Rejection%20Request.pdf" TargetMode="External"/><Relationship Id="rId19" Type="http://schemas.openxmlformats.org/officeDocument/2006/relationships/hyperlink" Target="file:///C:\Users\Norton%20Araujo\OneDrive%20-%20ONE%20Development\Desktop\Norton-Local\Requests\Rejected%20Bookings\Booking-734%20&amp;%20Booking-735%20-%20Booking%20Rejection%20Request.msg" TargetMode="External"/><Relationship Id="rId14" Type="http://schemas.openxmlformats.org/officeDocument/2006/relationships/hyperlink" Target="file:///C:\Users\Norton%20Araujo\OneDrive%20-%20ONE%20Development\Desktop\Norton-Local\Requests\Rejected%20Bookings\Booking-1428%20-%20Booking%20Rejection%20Request.msg" TargetMode="External"/><Relationship Id="rId30" Type="http://schemas.openxmlformats.org/officeDocument/2006/relationships/hyperlink" Target="file:///C:\Users\Norton%20Araujo\OneDrive%20-%20ONE%20Development\Desktop\Norton-Local\Requests\Rejected%20Bookings\Booking-874%20-%20Booking%20Rejection%20Request.msg" TargetMode="External"/><Relationship Id="rId35" Type="http://schemas.openxmlformats.org/officeDocument/2006/relationships/hyperlink" Target="file:///C:\Users\Norton%20Araujo\OneDrive%20-%20ONE%20Development\Desktop\Norton-Local\Requests\Rejected%20Bookings\Booking-879%20-%20Booking%20Rejection%20Request.msg" TargetMode="External"/><Relationship Id="rId56" Type="http://schemas.openxmlformats.org/officeDocument/2006/relationships/hyperlink" Target="file:///C:\Users\Norton%20Araujo\OneDrive%20-%20ONE%20Development\Desktop\Norton-Local\Requests\Rejected%20Bookings\Booking-1425%20-%20Booking%20Rejection%20Request.msg" TargetMode="External"/><Relationship Id="rId77" Type="http://schemas.openxmlformats.org/officeDocument/2006/relationships/hyperlink" Target="file:///C:\Users\Norton%20Araujo\OneDrive%20-%20ONE%20Development\Desktop\Norton-Local\Requests\Rejected%20Bookings\Booking-1111%20-%20Booking%20Rejection%20Request.msg" TargetMode="External"/><Relationship Id="rId100" Type="http://schemas.openxmlformats.org/officeDocument/2006/relationships/hyperlink" Target="file:///C:\Users\Norton%20Araujo\OneDrive%20-%20ONE%20Development\Desktop\Norton-Local\Requests\Rejected%20Bookings\Booking-1050%20-%20Booking%20Rejection%20Request.msg" TargetMode="External"/><Relationship Id="rId105" Type="http://schemas.openxmlformats.org/officeDocument/2006/relationships/hyperlink" Target="file:///C:\Users\Norton%20Araujo\OneDrive%20-%20ONE%20Development\Desktop\Norton-Local\Requests\Rejected%20Bookings\Booking-986%20-%20Booking%20Rejection%20Request.msg" TargetMode="External"/><Relationship Id="rId126" Type="http://schemas.openxmlformats.org/officeDocument/2006/relationships/hyperlink" Target="file:///C:\Users\Norton%20Araujo\OneDrive%20-%20ONE%20Development\Desktop\Norton-Local\Requests\Rejected%20Bookings\Booking-970%20-%20Booking%20Rejection%20Request.msg" TargetMode="External"/><Relationship Id="rId147" Type="http://schemas.openxmlformats.org/officeDocument/2006/relationships/hyperlink" Target="file:///C:\Users\Norton%20Araujo\OneDrive%20-%20ONE%20Development\Desktop\Norton-Local\Requests\Rejected%20Bookings\Booking-906%20-%20Booking%20Rejection%20Request.pdf" TargetMode="External"/><Relationship Id="rId8" Type="http://schemas.openxmlformats.org/officeDocument/2006/relationships/hyperlink" Target="https://power-speed-215.lightning.force.com/lightning/r/04iJ6000000lMpFIAU/view" TargetMode="External"/><Relationship Id="rId51" Type="http://schemas.openxmlformats.org/officeDocument/2006/relationships/hyperlink" Target="file:///C:\Users\Norton%20Araujo\OneDrive%20-%20ONE%20Development\Desktop\Norton-Local\Requests\Rejected%20Bookings\Booking-1030%20-%20Booking%20Rejection%20Request.msg" TargetMode="External"/><Relationship Id="rId72" Type="http://schemas.openxmlformats.org/officeDocument/2006/relationships/hyperlink" Target="file:///C:\Users\Norton%20Araujo\OneDrive%20-%20ONE%20Development\Desktop\Norton-Local\Requests\Rejected%20Bookings\Booking-1406%20-%20Booking%20Rejection%20Request.msg" TargetMode="External"/><Relationship Id="rId93" Type="http://schemas.openxmlformats.org/officeDocument/2006/relationships/hyperlink" Target="file:///C:\Users\Norton%20Araujo\OneDrive%20-%20ONE%20Development\Desktop\Norton-Local\Requests\Rejected%20Bookings\Booking-1181%20-%20Booking%20Rejection%20Request.msg" TargetMode="External"/><Relationship Id="rId98" Type="http://schemas.openxmlformats.org/officeDocument/2006/relationships/hyperlink" Target="file:///C:\Users\Norton%20Araujo\OneDrive%20-%20ONE%20Development\Desktop\Norton-Local\Requests\Rejected%20Bookings\Booking-1021%20&amp;%20Booking-1022%20-%20Booking%20Rejection%20Request.msg" TargetMode="External"/><Relationship Id="rId121" Type="http://schemas.openxmlformats.org/officeDocument/2006/relationships/hyperlink" Target="file:///C:\Users\Norton%20Araujo\OneDrive%20-%20ONE%20Development\Desktop\Norton-Local\Requests\Rejected%20Bookings\Booking-1167%20-%20Booking%20Rejection%20Request.pdf" TargetMode="External"/><Relationship Id="rId142" Type="http://schemas.openxmlformats.org/officeDocument/2006/relationships/hyperlink" Target="file:///C:\Users\Norton%20Araujo\OneDrive%20-%20ONE%20Development\Desktop\Norton-Local\Requests\Rejected%20Bookings\Booking-1255%20-%20Booking%20Rejection%20Request.pdf" TargetMode="External"/><Relationship Id="rId163" Type="http://schemas.openxmlformats.org/officeDocument/2006/relationships/comments" Target="../comments1.xml"/><Relationship Id="rId3" Type="http://schemas.openxmlformats.org/officeDocument/2006/relationships/hyperlink" Target="https://power-speed-215.lightning.force.com/lightning/r/04iJ6000000lNgnIAE/view" TargetMode="External"/><Relationship Id="rId25" Type="http://schemas.openxmlformats.org/officeDocument/2006/relationships/hyperlink" Target="file:///C:\Users\Norton%20Araujo\OneDrive%20-%20ONE%20Development\Desktop\Norton-Local\Requests\Rejected%20Bookings\Booking-865%20-%20Booking%20Rejection%20Request.msg" TargetMode="External"/><Relationship Id="rId46" Type="http://schemas.openxmlformats.org/officeDocument/2006/relationships/hyperlink" Target="file:///C:\Users\Norton%20Araujo\OneDrive%20-%20ONE%20Development\Desktop\Norton-Local\Requests\Rejected%20Bookings\Booking-851%20-%20Booking%20Rejection%20Request.msg" TargetMode="External"/><Relationship Id="rId67" Type="http://schemas.openxmlformats.org/officeDocument/2006/relationships/hyperlink" Target="file:///C:\Users\Norton%20Araujo\OneDrive%20-%20ONE%20Development\Desktop\Norton-Local\Requests\Rejected%20Bookings\Booking-1253%20-%20Booking%20Rejection%20Request.msg" TargetMode="External"/><Relationship Id="rId116" Type="http://schemas.openxmlformats.org/officeDocument/2006/relationships/hyperlink" Target="file:///C:\Users\Norton%20Araujo\OneDrive%20-%20ONE%20Development\Desktop\Norton-Local\Requests\Rejected%20Bookings\Booking-1129%20-%20Booking%20Rejection%20Request.msg" TargetMode="External"/><Relationship Id="rId137" Type="http://schemas.openxmlformats.org/officeDocument/2006/relationships/hyperlink" Target="file:///C:\Users\Norton%20Araujo\OneDrive%20-%20ONE%20Development\Desktop\Norton-Local\Requests\Rejected%20Bookings\Booking-1212%20-%20Booking%20Rejection%20Request.msg" TargetMode="External"/><Relationship Id="rId158" Type="http://schemas.openxmlformats.org/officeDocument/2006/relationships/hyperlink" Target="file:///C:\Users\Norton%20Araujo\OneDrive%20-%20ONE%20Development\Desktop\Norton-Local\Requests\Rejected%20Bookings\Booking-1436%20-%20Booking%20Rejection%20Request.msg" TargetMode="External"/><Relationship Id="rId20" Type="http://schemas.openxmlformats.org/officeDocument/2006/relationships/hyperlink" Target="file:///C:\Users\Norton%20Araujo\OneDrive%20-%20ONE%20Development\Desktop\Norton-Local\Requests\Rejected%20Bookings\Booking-786%20-%20Booking%20Rejection%20Request.msg" TargetMode="External"/><Relationship Id="rId41" Type="http://schemas.openxmlformats.org/officeDocument/2006/relationships/hyperlink" Target="file:///C:\Users\Norton%20Araujo\OneDrive%20-%20ONE%20Development\Desktop\Norton-Local\Requests\Rejected%20Bookings\Booking-774%20-%20Booking%20Rejection%20Request.msg" TargetMode="External"/><Relationship Id="rId62" Type="http://schemas.openxmlformats.org/officeDocument/2006/relationships/hyperlink" Target="file:///C:\Users\Norton%20Araujo\OneDrive%20-%20ONE%20Development\Desktop\Norton-Local\Requests\Rejected%20Bookings\Booking-1462%20-%20Booking%20Rejection%20Request.msg" TargetMode="External"/><Relationship Id="rId83" Type="http://schemas.openxmlformats.org/officeDocument/2006/relationships/hyperlink" Target="file:///C:\Users\Norton%20Araujo\OneDrive%20-%20ONE%20Development\Desktop\Norton-Local\Requests\Rejected%20Bookings\Booking-864%20-%20Booking%20Rejection%20Request.pdf" TargetMode="External"/><Relationship Id="rId88" Type="http://schemas.openxmlformats.org/officeDocument/2006/relationships/hyperlink" Target="file:///C:\Users\Norton%20Araujo\OneDrive%20-%20ONE%20Development\Desktop\Norton-Local\Requests\Rejected%20Bookings\Booking-1100%20-%20Booking%20Rejection%20Request.msg" TargetMode="External"/><Relationship Id="rId111" Type="http://schemas.openxmlformats.org/officeDocument/2006/relationships/hyperlink" Target="file:///C:\Users\Norton%20Araujo\OneDrive%20-%20ONE%20Development\Desktop\Norton-Local\Requests\Rejected%20Bookings\Booking-1078%20-%20Booking%20Rejection%20Request.pdf" TargetMode="External"/><Relationship Id="rId132" Type="http://schemas.openxmlformats.org/officeDocument/2006/relationships/hyperlink" Target="file:///C:\Users\Norton%20Araujo\OneDrive%20-%20ONE%20Development\Desktop\Norton-Local\Requests\Rejected%20Bookings\Booking-987%20-%20Booking%20Rejection%20Request.msg" TargetMode="External"/><Relationship Id="rId153" Type="http://schemas.openxmlformats.org/officeDocument/2006/relationships/hyperlink" Target="file:///C:\Users\Norton%20Araujo\OneDrive%20-%20ONE%20Development\Desktop\Norton-Local\Requests\Rejected%20Bookings\Booking-1450%20-%20Booking%20Rejection%20Request.pdf" TargetMode="External"/><Relationship Id="rId15" Type="http://schemas.openxmlformats.org/officeDocument/2006/relationships/hyperlink" Target="file:///C:\Users\Norton%20Araujo\OneDrive%20-%20ONE%20Development\Desktop\Norton-Local\Requests\Rejected%20Bookings\Booking-208%20-%20Booking%20Rejection%20Request.msg" TargetMode="External"/><Relationship Id="rId36" Type="http://schemas.openxmlformats.org/officeDocument/2006/relationships/hyperlink" Target="file:///C:\Users\Norton%20Araujo\OneDrive%20-%20ONE%20Development\Desktop\Norton-Local\Requests\Rejected%20Bookings\Booking-935%20-%20Booking%20Rejection%20Request.msg" TargetMode="External"/><Relationship Id="rId57" Type="http://schemas.openxmlformats.org/officeDocument/2006/relationships/hyperlink" Target="file:///C:\Users\Norton%20Araujo\OneDrive%20-%20ONE%20Development\Desktop\Norton-Local\Requests\Rejected%20Bookings\Booking-1250%20-%20Booking%20Rejection%20Request.msg" TargetMode="External"/><Relationship Id="rId106" Type="http://schemas.openxmlformats.org/officeDocument/2006/relationships/hyperlink" Target="file:///C:\Users\Norton%20Araujo\OneDrive%20-%20ONE%20Development\Desktop\Norton-Local\Requests\Rejected%20Bookings\Booking-989%20-%20Booking%20Rejection%20Request.msg" TargetMode="External"/><Relationship Id="rId127" Type="http://schemas.openxmlformats.org/officeDocument/2006/relationships/hyperlink" Target="file:///C:\Users\Norton%20Araujo\OneDrive%20-%20ONE%20Development\Desktop\Norton-Local\Requests\Rejected%20Bookings\Booking-988%20-%20Booking%20Rejection%20Request.msg" TargetMode="External"/><Relationship Id="rId10" Type="http://schemas.openxmlformats.org/officeDocument/2006/relationships/hyperlink" Target="https://power-speed-215.lightning.force.com/lightning/r/04iJ6000000lNDWIA2/view" TargetMode="External"/><Relationship Id="rId31" Type="http://schemas.openxmlformats.org/officeDocument/2006/relationships/hyperlink" Target="file:///C:\Users\Norton%20Araujo\OneDrive%20-%20ONE%20Development\Desktop\Norton-Local\Requests\Rejected%20Bookings\Booking-968%20-%20Booking%20Rejection%20Request.msg" TargetMode="External"/><Relationship Id="rId52" Type="http://schemas.openxmlformats.org/officeDocument/2006/relationships/hyperlink" Target="file:///C:\Users\Norton%20Araujo\OneDrive%20-%20ONE%20Development\Desktop\Norton-Local\Requests\Rejected%20Bookings\Booking-1491%20-%20Booking%20Rejection%20Request.msg" TargetMode="External"/><Relationship Id="rId73" Type="http://schemas.openxmlformats.org/officeDocument/2006/relationships/hyperlink" Target="file:///C:\Users\Norton%20Araujo\OneDrive%20-%20ONE%20Development\Desktop\Norton-Local\Requests\Rejected%20Bookings\Booking-1446%20-%20Booking%20Rejection%20Request.msg" TargetMode="External"/><Relationship Id="rId78" Type="http://schemas.openxmlformats.org/officeDocument/2006/relationships/hyperlink" Target="file:///C:\Users\Norton%20Araujo\OneDrive%20-%20ONE%20Development\Desktop\Norton-Local\Requests\Rejected%20Bookings\Booking-1226%20-%20Booking%20Rejection%20Request.pdf" TargetMode="External"/><Relationship Id="rId94" Type="http://schemas.openxmlformats.org/officeDocument/2006/relationships/hyperlink" Target="file:///C:\Users\Norton%20Araujo\OneDrive%20-%20ONE%20Development\Desktop\Norton-Local\Requests\Rejected%20Bookings\Booking%20973%20-%20Booking%20Rejection%20Request.msg" TargetMode="External"/><Relationship Id="rId99" Type="http://schemas.openxmlformats.org/officeDocument/2006/relationships/hyperlink" Target="file:///C:\Users\Norton%20Araujo\OneDrive%20-%20ONE%20Development\Desktop\Norton-Local\Requests\Rejected%20Bookings\Booking-1040%20-%20Booking%20Rejection%20Request.msg" TargetMode="External"/><Relationship Id="rId101" Type="http://schemas.openxmlformats.org/officeDocument/2006/relationships/hyperlink" Target="file:///C:\Users\Norton%20Araujo\OneDrive%20-%20ONE%20Development\Desktop\Norton-Local\Requests\Rejected%20Bookings\Booking-1015%20-%20Booking%20Rejection%20Request.pdf" TargetMode="External"/><Relationship Id="rId122" Type="http://schemas.openxmlformats.org/officeDocument/2006/relationships/hyperlink" Target="file:///C:\Users\Norton%20Araujo\OneDrive%20-%20ONE%20Development\Desktop\Norton-Local\Requests\Rejected%20Bookings\Booking-1173%20-%20Booking%20Rejection%20Request.msg" TargetMode="External"/><Relationship Id="rId143" Type="http://schemas.openxmlformats.org/officeDocument/2006/relationships/hyperlink" Target="file:///C:\Users\Norton%20Araujo\OneDrive%20-%20ONE%20Development\Desktop\Norton-Local\Requests\Rejected%20Bookings\Booking-1502%20-%20Booking%20Rejection%20Request.msg" TargetMode="External"/><Relationship Id="rId148" Type="http://schemas.openxmlformats.org/officeDocument/2006/relationships/hyperlink" Target="file:///C:\Users\Norton%20Araujo\OneDrive%20-%20ONE%20Development\Desktop\Norton-Local\Requests\Rejected%20Bookings\Booking-1119%20-%20Booking%20Rejection%20Request.msg" TargetMode="External"/><Relationship Id="rId4" Type="http://schemas.openxmlformats.org/officeDocument/2006/relationships/hyperlink" Target="https://power-speed-215.lightning.force.com/lightning/r/04iJ6000000lNgiIAE/view" TargetMode="External"/><Relationship Id="rId9" Type="http://schemas.openxmlformats.org/officeDocument/2006/relationships/hyperlink" Target="https://eur10.safelinks.protection.outlook.com/?url=https%3A%2F%2Fpower-speed-215.lightning.force.com%2Flightning%2Fr%2Fa03J6000009no2bIAA%2Fview&amp;data=05%7C02%7Cn.araujo%40oneuae.com%7C553286fb3d0142232dd508ddd57d3e45%7C7b2a6fa5393a405084c00ee4d5834fa9%7C0%7C0%7C638901456123033751%7CUnknown%7CTWFpbGZsb3d8eyJFbXB0eU1hcGkiOnRydWUsIlYiOiIwLjAuMDAwMCIsIlAiOiJXaW4zMiIsIkFOIjoiTWFpbCIsIldUIjoyfQ%3D%3D%7C0%7C%7C%7C&amp;sdata=h%2Fzy0ix4gOJLIKJvr00uSmPp69sn8T%2BkQ09fW6RmRNA%3D&amp;reserved=0" TargetMode="External"/><Relationship Id="rId26" Type="http://schemas.openxmlformats.org/officeDocument/2006/relationships/hyperlink" Target="file:///C:\Users\Norton%20Araujo\OneDrive%20-%20ONE%20Development\Desktop\Norton-Local\Requests\Rejected%20Bookings\Booking-726%20-%20Booking%20Rejection%20Request.msg" TargetMode="External"/><Relationship Id="rId47" Type="http://schemas.openxmlformats.org/officeDocument/2006/relationships/hyperlink" Target="file:///C:\Users\Norton%20Araujo\OneDrive%20-%20ONE%20Development\Desktop\Norton-Local\Requests\Rejected%20Bookings\Booking-700%20&amp;%20701%20-%20Booking%20Rejection%20Request%20(1).msg" TargetMode="External"/><Relationship Id="rId68" Type="http://schemas.openxmlformats.org/officeDocument/2006/relationships/hyperlink" Target="file:///C:\Users\Norton%20Araujo\OneDrive%20-%20ONE%20Development\Desktop\Norton-Local\Requests\Rejected%20Bookings\Booking-1252%20-%20Booking%20Rejection%20Request.msg" TargetMode="External"/><Relationship Id="rId89" Type="http://schemas.openxmlformats.org/officeDocument/2006/relationships/hyperlink" Target="file:///C:\Users\Norton%20Araujo\OneDrive%20-%20ONE%20Development\Desktop\Norton-Local\Requests\Rejected%20Bookings\Booking-1162%20-%20Booking%20Rejection%20Request.msg" TargetMode="External"/><Relationship Id="rId112" Type="http://schemas.openxmlformats.org/officeDocument/2006/relationships/hyperlink" Target="file:///C:\Users\Norton%20Araujo\OneDrive%20-%20ONE%20Development\Desktop\Norton-Local\Requests\Rejected%20Bookings\Booking-1108%20-%20Booking%20Rejection%20Request.msg" TargetMode="External"/><Relationship Id="rId133" Type="http://schemas.openxmlformats.org/officeDocument/2006/relationships/hyperlink" Target="file:///C:\Users\Norton%20Araujo\OneDrive%20-%20ONE%20Development\Desktop\Norton-Local\Requests\Rejected%20Bookings\Booking-1010%20-%20Booking%20Rejection%20Request.msg" TargetMode="External"/><Relationship Id="rId154" Type="http://schemas.openxmlformats.org/officeDocument/2006/relationships/hyperlink" Target="file:///C:\Users\Norton%20Araujo\OneDrive%20-%20ONE%20Development\Desktop\Norton-Local\Requests\Rejected%20Bookings\Booking-1417%20-%20Booking%20Rejection%20Request.msg" TargetMode="External"/><Relationship Id="rId16" Type="http://schemas.openxmlformats.org/officeDocument/2006/relationships/hyperlink" Target="file:///C:\Users\Norton%20Araujo\OneDrive%20-%20ONE%20Development\Desktop\Norton-Local\Requests\Rejected%20Bookings\Booking-541%20-%20Booking%20Rejection%20Request.msg" TargetMode="External"/><Relationship Id="rId37" Type="http://schemas.openxmlformats.org/officeDocument/2006/relationships/hyperlink" Target="file:///C:\Users\Norton%20Araujo\OneDrive%20-%20ONE%20Development\Desktop\Norton-Local\Requests\Rejected%20Bookings\Booking-971%20-%20Booking%20Rejection%20Request.msg" TargetMode="External"/><Relationship Id="rId58" Type="http://schemas.openxmlformats.org/officeDocument/2006/relationships/hyperlink" Target="file:///C:\Users\Norton%20Araujo\OneDrive%20-%20ONE%20Development\Desktop\Norton-Local\Requests\Rejected%20Bookings\Booking-1461%20-%20Booking%20Rejection%20Request.msg" TargetMode="External"/><Relationship Id="rId79" Type="http://schemas.openxmlformats.org/officeDocument/2006/relationships/hyperlink" Target="file:///C:\Users\Norton%20Araujo\OneDrive%20-%20ONE%20Development\Desktop\Norton-Local\Requests\Rejected%20Bookings\Booking-951%20-%20Booking%20Rejection%20Request.msg" TargetMode="External"/><Relationship Id="rId102" Type="http://schemas.openxmlformats.org/officeDocument/2006/relationships/hyperlink" Target="file:///C:\Users\Norton%20Araujo\OneDrive%20-%20ONE%20Development\Desktop\Norton-Local\Requests\Rejected%20Bookings\Booking-1016%20-%20Booking%20Rejection%20Request.pdf" TargetMode="External"/><Relationship Id="rId123" Type="http://schemas.openxmlformats.org/officeDocument/2006/relationships/hyperlink" Target="file:///C:\Users\Norton%20Araujo\OneDrive%20-%20ONE%20Development\Desktop\Norton-Local\Requests\Rejected%20Bookings\Booking-1174%20-%20Booking%20Rejection%20Request.msg" TargetMode="External"/><Relationship Id="rId144" Type="http://schemas.openxmlformats.org/officeDocument/2006/relationships/hyperlink" Target="file:///C:\Users\Norton%20Araujo\OneDrive%20-%20ONE%20Development\Desktop\Norton-Local\Requests\Rejected%20Bookings\Booking-1445%20-%20Booking%20Rejection%20Request.msg" TargetMode="External"/><Relationship Id="rId90" Type="http://schemas.openxmlformats.org/officeDocument/2006/relationships/hyperlink" Target="file:///C:\Users\Norton%20Araujo\OneDrive%20-%20ONE%20Development\Desktop\Norton-Local\Requests\Rejected%20Bookings\Booking-1171%20-%20Booking%20Rejection%20Request.msg" TargetMode="External"/><Relationship Id="rId27" Type="http://schemas.openxmlformats.org/officeDocument/2006/relationships/hyperlink" Target="file:///C:\Users\Norton%20Araujo\OneDrive%20-%20ONE%20Development\Desktop\Norton-Local\Requests\Rejected%20Bookings\Booking-587%20-%20Booking%20Rejection%20Request.msg" TargetMode="External"/><Relationship Id="rId48" Type="http://schemas.openxmlformats.org/officeDocument/2006/relationships/hyperlink" Target="file:///C:\Users\Norton%20Araujo\OneDrive%20-%20ONE%20Development\Desktop\Norton-Local\Requests\Rejected%20Bookings\Booking-700%20&amp;%20701%20-%20Booking%20Rejection%20Request%20(2).msg" TargetMode="External"/><Relationship Id="rId69" Type="http://schemas.openxmlformats.org/officeDocument/2006/relationships/hyperlink" Target="file:///C:\Users\Norton%20Araujo\OneDrive%20-%20ONE%20Development\Desktop\Norton-Local\Requests\Rejected%20Bookings\Booking-1443%20-%20Booking%20Rejection%20Request.msg" TargetMode="External"/><Relationship Id="rId113" Type="http://schemas.openxmlformats.org/officeDocument/2006/relationships/hyperlink" Target="file:///C:\Users\Norton%20Araujo\OneDrive%20-%20ONE%20Development\Desktop\Norton-Local\Requests\Rejected%20Bookings\Booking-1028%20-%20Booking%20Rejection%20Request.msg" TargetMode="External"/><Relationship Id="rId134" Type="http://schemas.openxmlformats.org/officeDocument/2006/relationships/hyperlink" Target="file:///C:\Users\Norton%20Araujo\OneDrive%20-%20ONE%20Development\Desktop\Norton-Local\Requests\Rejected%20Bookings\Booking-1014%20-%20Booking%20Rejection%20Request.msg" TargetMode="External"/><Relationship Id="rId80" Type="http://schemas.openxmlformats.org/officeDocument/2006/relationships/hyperlink" Target="file:///C:\Users\Norton%20Araujo\OneDrive%20-%20ONE%20Development\Desktop\Norton-Local\Requests\Rejected%20Bookings\Booking-1224%20-%20Booking%20Rejection%20Request.pdf" TargetMode="External"/><Relationship Id="rId155" Type="http://schemas.openxmlformats.org/officeDocument/2006/relationships/hyperlink" Target="file:///C:\Users\Norton%20Araujo\OneDrive%20-%20ONE%20Development\Desktop\Norton-Local\Requests\Rejected%20Bookings\Booking-1510%20-%20Booking%20Rejection%20Request.msg" TargetMode="Externa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5F9FF-1D56-477D-ABC7-7B53BE9234C2}">
  <dimension ref="B1:AF154"/>
  <sheetViews>
    <sheetView showGridLines="0" tabSelected="1" zoomScale="85" zoomScaleNormal="85" workbookViewId="0">
      <selection activeCell="AD2" sqref="AD2"/>
    </sheetView>
  </sheetViews>
  <sheetFormatPr defaultRowHeight="16.5" x14ac:dyDescent="0.3"/>
  <cols>
    <col min="1" max="1" width="4.375" customWidth="1"/>
    <col min="2" max="2" width="14.875" bestFit="1" customWidth="1"/>
    <col min="3" max="3" width="17.75" bestFit="1" customWidth="1"/>
    <col min="4" max="4" width="17.75" customWidth="1"/>
    <col min="5" max="6" width="17.375" bestFit="1" customWidth="1"/>
    <col min="7" max="7" width="16.125" bestFit="1" customWidth="1"/>
    <col min="8" max="8" width="10.375" bestFit="1" customWidth="1"/>
    <col min="9" max="9" width="16" bestFit="1" customWidth="1"/>
    <col min="10" max="10" width="14.375" bestFit="1" customWidth="1"/>
    <col min="11" max="11" width="13.5" bestFit="1" customWidth="1"/>
    <col min="12" max="12" width="12.125" bestFit="1" customWidth="1"/>
    <col min="13" max="13" width="22.125" bestFit="1" customWidth="1"/>
    <col min="14" max="14" width="17.5" bestFit="1" customWidth="1"/>
    <col min="15" max="15" width="45.125" bestFit="1" customWidth="1"/>
    <col min="16" max="16" width="20" bestFit="1" customWidth="1"/>
    <col min="17" max="17" width="19.375" bestFit="1" customWidth="1"/>
    <col min="18" max="18" width="19.375" customWidth="1"/>
    <col min="19" max="19" width="29.625" bestFit="1" customWidth="1"/>
    <col min="20" max="20" width="20.75" bestFit="1" customWidth="1"/>
    <col min="21" max="21" width="21.75" bestFit="1" customWidth="1"/>
    <col min="22" max="22" width="75.125" bestFit="1" customWidth="1"/>
    <col min="23" max="23" width="15.875" bestFit="1" customWidth="1"/>
    <col min="24" max="24" width="12.375" bestFit="1" customWidth="1"/>
    <col min="25" max="25" width="26.125" bestFit="1" customWidth="1"/>
    <col min="26" max="26" width="17" bestFit="1" customWidth="1"/>
    <col min="27" max="27" width="7.125" bestFit="1" customWidth="1"/>
    <col min="28" max="28" width="11.25" bestFit="1" customWidth="1"/>
    <col min="29" max="29" width="64.375" bestFit="1" customWidth="1"/>
    <col min="30" max="30" width="37.25" bestFit="1" customWidth="1"/>
    <col min="31" max="31" width="68.125" bestFit="1" customWidth="1"/>
    <col min="32" max="32" width="66.625" bestFit="1" customWidth="1"/>
  </cols>
  <sheetData>
    <row r="1" spans="2:32" x14ac:dyDescent="0.3">
      <c r="B1" s="101" t="s">
        <v>222</v>
      </c>
      <c r="C1" s="101" t="s">
        <v>0</v>
      </c>
      <c r="D1" s="101" t="s">
        <v>272</v>
      </c>
      <c r="E1" s="102" t="s">
        <v>1</v>
      </c>
      <c r="F1" s="102" t="s">
        <v>2</v>
      </c>
      <c r="G1" s="102" t="s">
        <v>3</v>
      </c>
      <c r="H1" s="102" t="s">
        <v>4</v>
      </c>
      <c r="I1" s="102" t="s">
        <v>5</v>
      </c>
      <c r="J1" s="102" t="s">
        <v>6</v>
      </c>
      <c r="K1" s="102" t="s">
        <v>7</v>
      </c>
      <c r="L1" s="102" t="s">
        <v>8</v>
      </c>
      <c r="M1" s="102" t="s">
        <v>9</v>
      </c>
      <c r="N1" s="102" t="s">
        <v>10</v>
      </c>
      <c r="O1" s="102" t="s">
        <v>11</v>
      </c>
      <c r="P1" s="102" t="s">
        <v>12</v>
      </c>
      <c r="Q1" s="102" t="s">
        <v>13</v>
      </c>
      <c r="R1" s="102" t="s">
        <v>83</v>
      </c>
      <c r="S1" s="102" t="s">
        <v>14</v>
      </c>
      <c r="T1" s="102" t="s">
        <v>15</v>
      </c>
      <c r="U1" s="102" t="s">
        <v>16</v>
      </c>
      <c r="V1" s="102" t="s">
        <v>17</v>
      </c>
      <c r="W1" s="102" t="s">
        <v>18</v>
      </c>
      <c r="X1" s="102" t="s">
        <v>19</v>
      </c>
      <c r="Y1" s="102" t="s">
        <v>66</v>
      </c>
      <c r="Z1" s="101" t="s">
        <v>20</v>
      </c>
      <c r="AA1" s="101" t="s">
        <v>21</v>
      </c>
      <c r="AB1" s="101" t="s">
        <v>22</v>
      </c>
      <c r="AC1" s="101" t="s">
        <v>23</v>
      </c>
      <c r="AD1" s="101" t="s">
        <v>51</v>
      </c>
      <c r="AE1" s="101" t="s">
        <v>86</v>
      </c>
      <c r="AF1" s="101" t="s">
        <v>90</v>
      </c>
    </row>
    <row r="2" spans="2:32" ht="50.25" customHeight="1" x14ac:dyDescent="0.3">
      <c r="B2" s="120" t="s">
        <v>441</v>
      </c>
      <c r="C2" s="2">
        <v>46059</v>
      </c>
      <c r="D2" s="2">
        <f>_xlfn.XLOOKUP(E2,[1]!Bookings[Booking Name],[1]!Bookings[Rejected Date])</f>
        <v>0</v>
      </c>
      <c r="E2" s="120" t="s">
        <v>463</v>
      </c>
      <c r="F2" s="76" t="str">
        <f>_xlfn.XLOOKUP(E2,[1]!Bookings[Booking Name],[1]!Bookings[Booking Status])</f>
        <v>DP Paid</v>
      </c>
      <c r="G2" s="2">
        <f>_xlfn.XLOOKUP(E2,[1]!Bookings[Booking Name],[1]!Bookings[Booking Date])</f>
        <v>46043</v>
      </c>
      <c r="H2" s="3">
        <f>_xlfn.XLOOKUP(E2,[1]!Bookings[Booking Name],[1]!Bookings[Booking Aging])</f>
        <v>16</v>
      </c>
      <c r="I2" s="2" t="str">
        <f>_xlfn.XLOOKUP(E2,[1]!Bookings[Booking Name],[1]!Bookings[Project Name])</f>
        <v>One Residence</v>
      </c>
      <c r="J2" s="2" t="str">
        <f>_xlfn.XLOOKUP(E2,[1]!Bookings[Booking Name],[1]!Bookings[Building])</f>
        <v>Tower 1</v>
      </c>
      <c r="K2" s="2" t="str">
        <f>_xlfn.XLOOKUP(E2,[1]!Bookings[Booking Name],[1]!Bookings[Bedrooms])</f>
        <v>2 BR</v>
      </c>
      <c r="L2" s="2" t="str">
        <f>_xlfn.XLOOKUP(E2,[1]!Bookings[Booking Name],[1]!Bookings[Unit No.])</f>
        <v>OR-1309</v>
      </c>
      <c r="M2" s="36" t="str">
        <f>_xlfn.XLOOKUP(E2,[1]!Bookings[Booking Name],[1]!Bookings[Inventory Unit Status])</f>
        <v>Booked</v>
      </c>
      <c r="N2" s="2" t="str">
        <f>_xlfn.XLOOKUP(E2,[1]!Bookings[Booking Name],[1]!Bookings[Booking Status])</f>
        <v>DP Paid</v>
      </c>
      <c r="O2" s="52" t="str">
        <f>_xlfn.XLOOKUP(E2,[1]!Bookings[Booking Name],[1]!Bookings[Customer Name])</f>
        <v>NANIK RAM PARMANAND</v>
      </c>
      <c r="P2" s="2" t="str">
        <f>_xlfn.XLOOKUP(E2,[1]!Bookings[Booking Name],[1]!Bookings[Nationality])</f>
        <v>Pakistan</v>
      </c>
      <c r="Q2" s="4">
        <f>_xlfn.XLOOKUP(E2,[1]!Bookings[Booking Name],[1]!Bookings[Discount Amount])</f>
        <v>0</v>
      </c>
      <c r="R2" s="27">
        <f>_xlfn.XLOOKUP(E2,[1]!Bookings[Booking Name],[1]!Bookings[Discount Percentage])</f>
        <v>0</v>
      </c>
      <c r="S2" s="4">
        <f>_xlfn.XLOOKUP(E2,[1]!Bookings[Booking Name],[1]!Bookings[Final Sale Value After Discount])</f>
        <v>2390000</v>
      </c>
      <c r="T2" s="4">
        <f>_xlfn.XLOOKUP(E2,[1]!Bookings[Booking Name],[1]!Bookings[Inv Final Sale Value])</f>
        <v>2390000</v>
      </c>
      <c r="U2" s="34" t="str">
        <f>_xlfn.XLOOKUP(E2,[1]!Bookings[Booking Name],[1]!Bookings[Sales])</f>
        <v>Amr Abdelghafar</v>
      </c>
      <c r="V2" s="2" t="str">
        <f>_xlfn.XLOOKUP(E2,[1]!Bookings[Booking Name],[1]!Bookings[Agency Name])</f>
        <v>Property Shop Investment LLC</v>
      </c>
      <c r="W2" s="2" t="str">
        <f>_xlfn.XLOOKUP(E2,[1]!Bookings[Booking Name],[1]!Bookings[Booking ID])</f>
        <v>a03NM00000Tz4vu</v>
      </c>
      <c r="X2" s="2" t="str">
        <f>_xlfn.XLOOKUP(E2,[1]!Bookings[Booking Name],[1]!Bookings[Oracle Id])</f>
        <v>-</v>
      </c>
      <c r="Y2" s="70"/>
      <c r="Z2" s="5" t="s">
        <v>25</v>
      </c>
      <c r="AA2" s="6">
        <v>0</v>
      </c>
      <c r="AB2" s="110" t="s">
        <v>31</v>
      </c>
      <c r="AC2" s="12" t="s">
        <v>191</v>
      </c>
      <c r="AD2" s="14" t="s">
        <v>468</v>
      </c>
      <c r="AE2" s="83" t="s">
        <v>246</v>
      </c>
      <c r="AF2" s="121" t="s">
        <v>464</v>
      </c>
    </row>
    <row r="3" spans="2:32" ht="50.25" customHeight="1" x14ac:dyDescent="0.3">
      <c r="B3" s="120" t="s">
        <v>441</v>
      </c>
      <c r="C3" s="2">
        <v>46059</v>
      </c>
      <c r="D3" s="2">
        <f>_xlfn.XLOOKUP(E3,[1]!Bookings[Booking Name],[1]!Bookings[Rejected Date])</f>
        <v>0</v>
      </c>
      <c r="E3" s="120" t="s">
        <v>462</v>
      </c>
      <c r="F3" s="76" t="str">
        <f>_xlfn.XLOOKUP(E3,[1]!Bookings[Booking Name],[1]!Bookings[Booking Status])</f>
        <v>Draft</v>
      </c>
      <c r="G3" s="2">
        <f>_xlfn.XLOOKUP(E3,[1]!Bookings[Booking Name],[1]!Bookings[Booking Date])</f>
        <v>46034</v>
      </c>
      <c r="H3" s="3">
        <f>_xlfn.XLOOKUP(E3,[1]!Bookings[Booking Name],[1]!Bookings[Booking Aging])</f>
        <v>25</v>
      </c>
      <c r="I3" s="2" t="str">
        <f>_xlfn.XLOOKUP(E3,[1]!Bookings[Booking Name],[1]!Bookings[Project Name])</f>
        <v>One Residence</v>
      </c>
      <c r="J3" s="2" t="str">
        <f>_xlfn.XLOOKUP(E3,[1]!Bookings[Booking Name],[1]!Bookings[Building])</f>
        <v>Tower 1</v>
      </c>
      <c r="K3" s="2" t="str">
        <f>_xlfn.XLOOKUP(E3,[1]!Bookings[Booking Name],[1]!Bookings[Bedrooms])</f>
        <v>2 BR</v>
      </c>
      <c r="L3" s="2" t="str">
        <f>_xlfn.XLOOKUP(E3,[1]!Bookings[Booking Name],[1]!Bookings[Unit No.])</f>
        <v>OR-1306</v>
      </c>
      <c r="M3" s="36" t="str">
        <f>_xlfn.XLOOKUP(E3,[1]!Bookings[Booking Name],[1]!Bookings[Inventory Unit Status])</f>
        <v>Booked</v>
      </c>
      <c r="N3" s="2" t="str">
        <f>_xlfn.XLOOKUP(E3,[1]!Bookings[Booking Name],[1]!Bookings[Booking Status])</f>
        <v>Draft</v>
      </c>
      <c r="O3" s="52" t="str">
        <f>_xlfn.XLOOKUP(E3,[1]!Bookings[Booking Name],[1]!Bookings[Customer Name])</f>
        <v>Wasim Rafique Shaikh</v>
      </c>
      <c r="P3" s="2" t="str">
        <f>_xlfn.XLOOKUP(E3,[1]!Bookings[Booking Name],[1]!Bookings[Nationality])</f>
        <v>India</v>
      </c>
      <c r="Q3" s="4">
        <f>_xlfn.XLOOKUP(E3,[1]!Bookings[Booking Name],[1]!Bookings[Discount Amount])</f>
        <v>28920</v>
      </c>
      <c r="R3" s="27">
        <f>_xlfn.XLOOKUP(E3,[1]!Bookings[Booking Name],[1]!Bookings[Discount Percentage])</f>
        <v>1.1568E-2</v>
      </c>
      <c r="S3" s="4">
        <f>_xlfn.XLOOKUP(E3,[1]!Bookings[Booking Name],[1]!Bookings[Final Sale Value After Discount])</f>
        <v>2471080</v>
      </c>
      <c r="T3" s="4">
        <f>_xlfn.XLOOKUP(E3,[1]!Bookings[Booking Name],[1]!Bookings[Inv Final Sale Value])</f>
        <v>2500000</v>
      </c>
      <c r="U3" s="34" t="str">
        <f>_xlfn.XLOOKUP(E3,[1]!Bookings[Booking Name],[1]!Bookings[Sales])</f>
        <v>Amr Abdelghafar</v>
      </c>
      <c r="V3" s="2" t="str">
        <f>_xlfn.XLOOKUP(E3,[1]!Bookings[Booking Name],[1]!Bookings[Agency Name])</f>
        <v>PARKER PREMIER REAL  ESTATE L.L.C.</v>
      </c>
      <c r="W3" s="2" t="str">
        <f>_xlfn.XLOOKUP(E3,[1]!Bookings[Booking Name],[1]!Bookings[Booking ID])</f>
        <v>a03NM00000T48JH</v>
      </c>
      <c r="X3" s="2" t="str">
        <f>_xlfn.XLOOKUP(E3,[1]!Bookings[Booking Name],[1]!Bookings[Oracle Id])</f>
        <v>-</v>
      </c>
      <c r="Y3" s="70"/>
      <c r="Z3" s="5" t="s">
        <v>25</v>
      </c>
      <c r="AA3" s="6">
        <v>0</v>
      </c>
      <c r="AB3" s="110" t="s">
        <v>31</v>
      </c>
      <c r="AC3" s="12" t="s">
        <v>191</v>
      </c>
      <c r="AD3" s="14" t="s">
        <v>467</v>
      </c>
      <c r="AE3" s="83" t="s">
        <v>246</v>
      </c>
      <c r="AF3" s="121" t="s">
        <v>464</v>
      </c>
    </row>
    <row r="4" spans="2:32" ht="50.25" customHeight="1" x14ac:dyDescent="0.3">
      <c r="B4" s="120" t="s">
        <v>441</v>
      </c>
      <c r="C4" s="2">
        <v>46058</v>
      </c>
      <c r="D4" s="2">
        <f>_xlfn.XLOOKUP(E4,[1]!Bookings[Booking Name],[1]!Bookings[Rejected Date])</f>
        <v>46058</v>
      </c>
      <c r="E4" s="120" t="s">
        <v>461</v>
      </c>
      <c r="F4" s="76" t="str">
        <f>_xlfn.XLOOKUP(E4,[1]!Bookings[Booking Name],[1]!Bookings[Booking Status])</f>
        <v>Rejected</v>
      </c>
      <c r="G4" s="2">
        <f>_xlfn.XLOOKUP(E4,[1]!Bookings[Booking Name],[1]!Bookings[Booking Date])</f>
        <v>46029</v>
      </c>
      <c r="H4" s="3">
        <f>_xlfn.XLOOKUP(E4,[1]!Bookings[Booking Name],[1]!Bookings[Booking Aging])</f>
        <v>30</v>
      </c>
      <c r="I4" s="2" t="str">
        <f>_xlfn.XLOOKUP(E4,[1]!Bookings[Booking Name],[1]!Bookings[Project Name])</f>
        <v>One Residence</v>
      </c>
      <c r="J4" s="2" t="str">
        <f>_xlfn.XLOOKUP(E4,[1]!Bookings[Booking Name],[1]!Bookings[Building])</f>
        <v>Tower 1</v>
      </c>
      <c r="K4" s="2" t="str">
        <f>_xlfn.XLOOKUP(E4,[1]!Bookings[Booking Name],[1]!Bookings[Bedrooms])</f>
        <v>1 BR</v>
      </c>
      <c r="L4" s="2" t="str">
        <f>_xlfn.XLOOKUP(E4,[1]!Bookings[Booking Name],[1]!Bookings[Unit No.])</f>
        <v>OR-1103</v>
      </c>
      <c r="M4" s="36" t="str">
        <f>_xlfn.XLOOKUP(E4,[1]!Bookings[Booking Name],[1]!Bookings[Inventory Unit Status])</f>
        <v>Booked</v>
      </c>
      <c r="N4" s="2" t="str">
        <f>_xlfn.XLOOKUP(E4,[1]!Bookings[Booking Name],[1]!Bookings[Booking Status])</f>
        <v>Rejected</v>
      </c>
      <c r="O4" s="52" t="str">
        <f>_xlfn.XLOOKUP(E4,[1]!Bookings[Booking Name],[1]!Bookings[Customer Name])</f>
        <v>Haytham Maged Hassan Sabry</v>
      </c>
      <c r="P4" s="2" t="str">
        <f>_xlfn.XLOOKUP(E4,[1]!Bookings[Booking Name],[1]!Bookings[Nationality])</f>
        <v>Egypt</v>
      </c>
      <c r="Q4" s="4">
        <f>_xlfn.XLOOKUP(E4,[1]!Bookings[Booking Name],[1]!Bookings[Discount Amount])</f>
        <v>-50000</v>
      </c>
      <c r="R4" s="27">
        <f>_xlfn.XLOOKUP(E4,[1]!Bookings[Booking Name],[1]!Bookings[Discount Percentage])</f>
        <v>-2.8248587570621469E-2</v>
      </c>
      <c r="S4" s="4">
        <f>_xlfn.XLOOKUP(E4,[1]!Bookings[Booking Name],[1]!Bookings[Final Sale Value After Discount])</f>
        <v>1820000</v>
      </c>
      <c r="T4" s="4">
        <f>_xlfn.XLOOKUP(E4,[1]!Bookings[Booking Name],[1]!Bookings[Inv Final Sale Value])</f>
        <v>1770000</v>
      </c>
      <c r="U4" s="34" t="str">
        <f>_xlfn.XLOOKUP(E4,[1]!Bookings[Booking Name],[1]!Bookings[Sales])</f>
        <v>Feraz Mohamed</v>
      </c>
      <c r="V4" s="2" t="str">
        <f>_xlfn.XLOOKUP(E4,[1]!Bookings[Booking Name],[1]!Bookings[Agency Name])</f>
        <v/>
      </c>
      <c r="W4" s="2" t="str">
        <f>_xlfn.XLOOKUP(E4,[1]!Bookings[Booking Name],[1]!Bookings[Booking ID])</f>
        <v>a03NM00000SdWuT</v>
      </c>
      <c r="X4" s="2" t="str">
        <f>_xlfn.XLOOKUP(E4,[1]!Bookings[Booking Name],[1]!Bookings[Oracle Id])</f>
        <v>-</v>
      </c>
      <c r="Y4" s="70"/>
      <c r="Z4" s="90">
        <v>182000</v>
      </c>
      <c r="AA4" s="6">
        <f>Z4/S4</f>
        <v>0.1</v>
      </c>
      <c r="AB4" s="113" t="s">
        <v>31</v>
      </c>
      <c r="AC4" s="12" t="s">
        <v>287</v>
      </c>
      <c r="AD4" s="14" t="s">
        <v>466</v>
      </c>
      <c r="AE4" s="104" t="s">
        <v>32</v>
      </c>
      <c r="AF4" s="121" t="s">
        <v>112</v>
      </c>
    </row>
    <row r="5" spans="2:32" ht="50.25" customHeight="1" x14ac:dyDescent="0.3">
      <c r="B5" s="120" t="s">
        <v>441</v>
      </c>
      <c r="C5" s="2">
        <v>46058</v>
      </c>
      <c r="D5" s="2">
        <f>_xlfn.XLOOKUP(E5,[1]!Bookings[Booking Name],[1]!Bookings[Rejected Date])</f>
        <v>46059</v>
      </c>
      <c r="E5" s="120" t="s">
        <v>460</v>
      </c>
      <c r="F5" s="76" t="str">
        <f>_xlfn.XLOOKUP(E5,[1]!Bookings[Booking Name],[1]!Bookings[Booking Status])</f>
        <v>Rejected</v>
      </c>
      <c r="G5" s="2">
        <f>_xlfn.XLOOKUP(E5,[1]!Bookings[Booking Name],[1]!Bookings[Booking Date])</f>
        <v>45986</v>
      </c>
      <c r="H5" s="3">
        <f>_xlfn.XLOOKUP(E5,[1]!Bookings[Booking Name],[1]!Bookings[Booking Aging])</f>
        <v>73</v>
      </c>
      <c r="I5" s="2" t="str">
        <f>_xlfn.XLOOKUP(E5,[1]!Bookings[Booking Name],[1]!Bookings[Project Name])</f>
        <v>Laguna Residence</v>
      </c>
      <c r="J5" s="2" t="str">
        <f>_xlfn.XLOOKUP(E5,[1]!Bookings[Booking Name],[1]!Bookings[Building])</f>
        <v>Tower B</v>
      </c>
      <c r="K5" s="2" t="str">
        <f>_xlfn.XLOOKUP(E5,[1]!Bookings[Booking Name],[1]!Bookings[Bedrooms])</f>
        <v>Studio</v>
      </c>
      <c r="L5" s="2" t="str">
        <f>_xlfn.XLOOKUP(E5,[1]!Bookings[Booking Name],[1]!Bookings[Unit No.])</f>
        <v>B419</v>
      </c>
      <c r="M5" s="36" t="str">
        <f>_xlfn.XLOOKUP(E5,[1]!Bookings[Booking Name],[1]!Bookings[Inventory Unit Status])</f>
        <v>Blocked</v>
      </c>
      <c r="N5" s="2" t="str">
        <f>_xlfn.XLOOKUP(E5,[1]!Bookings[Booking Name],[1]!Bookings[Booking Status])</f>
        <v>Rejected</v>
      </c>
      <c r="O5" s="52" t="str">
        <f>_xlfn.XLOOKUP(E5,[1]!Bookings[Booking Name],[1]!Bookings[Customer Name])</f>
        <v>Nader Ahmed Samy Abdelfattah Ayoub</v>
      </c>
      <c r="P5" s="2" t="str">
        <f>_xlfn.XLOOKUP(E5,[1]!Bookings[Booking Name],[1]!Bookings[Nationality])</f>
        <v>Egypt</v>
      </c>
      <c r="Q5" s="4">
        <f>_xlfn.XLOOKUP(E5,[1]!Bookings[Booking Name],[1]!Bookings[Discount Amount])</f>
        <v>0</v>
      </c>
      <c r="R5" s="27">
        <f>_xlfn.XLOOKUP(E5,[1]!Bookings[Booking Name],[1]!Bookings[Discount Percentage])</f>
        <v>0</v>
      </c>
      <c r="S5" s="4">
        <f>_xlfn.XLOOKUP(E5,[1]!Bookings[Booking Name],[1]!Bookings[Final Sale Value After Discount])</f>
        <v>790000</v>
      </c>
      <c r="T5" s="4">
        <f>_xlfn.XLOOKUP(E5,[1]!Bookings[Booking Name],[1]!Bookings[Inv Final Sale Value])</f>
        <v>790000</v>
      </c>
      <c r="U5" s="34" t="str">
        <f>_xlfn.XLOOKUP(E5,[1]!Bookings[Booking Name],[1]!Bookings[Sales])</f>
        <v>Claire Moussa</v>
      </c>
      <c r="V5" s="2" t="str">
        <f>_xlfn.XLOOKUP(E5,[1]!Bookings[Booking Name],[1]!Bookings[Agency Name])</f>
        <v/>
      </c>
      <c r="W5" s="2" t="str">
        <f>_xlfn.XLOOKUP(E5,[1]!Bookings[Booking Name],[1]!Bookings[Booking ID])</f>
        <v>a03NM00000Npv74</v>
      </c>
      <c r="X5" s="2" t="str">
        <f>_xlfn.XLOOKUP(E5,[1]!Bookings[Booking Name],[1]!Bookings[Oracle Id])</f>
        <v>-</v>
      </c>
      <c r="Y5" s="70"/>
      <c r="Z5" s="90">
        <v>38500</v>
      </c>
      <c r="AA5" s="6">
        <f>Z5/S5</f>
        <v>4.8734177215189876E-2</v>
      </c>
      <c r="AB5" s="113" t="s">
        <v>31</v>
      </c>
      <c r="AC5" s="60" t="s">
        <v>93</v>
      </c>
      <c r="AD5" s="14" t="s">
        <v>465</v>
      </c>
      <c r="AE5" s="60" t="s">
        <v>93</v>
      </c>
      <c r="AF5" s="67" t="s">
        <v>139</v>
      </c>
    </row>
    <row r="6" spans="2:32" ht="50.25" customHeight="1" x14ac:dyDescent="0.3">
      <c r="B6" s="117" t="s">
        <v>441</v>
      </c>
      <c r="C6" s="2">
        <v>46057</v>
      </c>
      <c r="D6" s="2">
        <f>_xlfn.XLOOKUP(E6,[1]!Bookings[Booking Name],[1]!Bookings[Rejected Date])</f>
        <v>0</v>
      </c>
      <c r="E6" s="117" t="s">
        <v>459</v>
      </c>
      <c r="F6" s="76" t="str">
        <f>_xlfn.XLOOKUP(E6,[1]!Bookings[Booking Name],[1]!Bookings[Booking Status])</f>
        <v>Draft</v>
      </c>
      <c r="G6" s="2">
        <f>_xlfn.XLOOKUP(E6,[1]!Bookings[Booking Name],[1]!Bookings[Booking Date])</f>
        <v>46057</v>
      </c>
      <c r="H6" s="3">
        <f>_xlfn.XLOOKUP(E6,[1]!Bookings[Booking Name],[1]!Bookings[Booking Aging])</f>
        <v>2</v>
      </c>
      <c r="I6" s="2" t="str">
        <f>_xlfn.XLOOKUP(E6,[1]!Bookings[Booking Name],[1]!Bookings[Project Name])</f>
        <v>One Residence</v>
      </c>
      <c r="J6" s="2" t="str">
        <f>_xlfn.XLOOKUP(E6,[1]!Bookings[Booking Name],[1]!Bookings[Building])</f>
        <v>Tower 1</v>
      </c>
      <c r="K6" s="2" t="str">
        <f>_xlfn.XLOOKUP(E6,[1]!Bookings[Booking Name],[1]!Bookings[Bedrooms])</f>
        <v>2 BR</v>
      </c>
      <c r="L6" s="2" t="str">
        <f>_xlfn.XLOOKUP(E6,[1]!Bookings[Booking Name],[1]!Bookings[Unit No.])</f>
        <v>OR-2406</v>
      </c>
      <c r="M6" s="36" t="str">
        <f>_xlfn.XLOOKUP(E6,[1]!Bookings[Booking Name],[1]!Bookings[Inventory Unit Status])</f>
        <v>Booked</v>
      </c>
      <c r="N6" s="2" t="str">
        <f>_xlfn.XLOOKUP(E6,[1]!Bookings[Booking Name],[1]!Bookings[Booking Status])</f>
        <v>Draft</v>
      </c>
      <c r="O6" s="52" t="str">
        <f>_xlfn.XLOOKUP(E6,[1]!Bookings[Booking Name],[1]!Bookings[Customer Name])</f>
        <v>Qingshuang Meng</v>
      </c>
      <c r="P6" s="2" t="str">
        <f>_xlfn.XLOOKUP(E6,[1]!Bookings[Booking Name],[1]!Bookings[Nationality])</f>
        <v>China</v>
      </c>
      <c r="Q6" s="4">
        <f>_xlfn.XLOOKUP(E6,[1]!Bookings[Booking Name],[1]!Bookings[Discount Amount])</f>
        <v>0</v>
      </c>
      <c r="R6" s="27">
        <f>_xlfn.XLOOKUP(E6,[1]!Bookings[Booking Name],[1]!Bookings[Discount Percentage])</f>
        <v>0</v>
      </c>
      <c r="S6" s="4">
        <f>_xlfn.XLOOKUP(E6,[1]!Bookings[Booking Name],[1]!Bookings[Final Sale Value After Discount])</f>
        <v>2500000</v>
      </c>
      <c r="T6" s="4">
        <f>_xlfn.XLOOKUP(E6,[1]!Bookings[Booking Name],[1]!Bookings[Inv Final Sale Value])</f>
        <v>2500000</v>
      </c>
      <c r="U6" s="34" t="str">
        <f>_xlfn.XLOOKUP(E6,[1]!Bookings[Booking Name],[1]!Bookings[Sales])</f>
        <v>Yang XI</v>
      </c>
      <c r="V6" s="2" t="str">
        <f>_xlfn.XLOOKUP(E6,[1]!Bookings[Booking Name],[1]!Bookings[Agency Name])</f>
        <v>DIYI REAL ESTATE L.L.C</v>
      </c>
      <c r="W6" s="2" t="str">
        <f>_xlfn.XLOOKUP(E6,[1]!Bookings[Booking Name],[1]!Bookings[Booking ID])</f>
        <v>a03NM00000VKcfI</v>
      </c>
      <c r="X6" s="2" t="str">
        <f>_xlfn.XLOOKUP(E6,[1]!Bookings[Booking Name],[1]!Bookings[Oracle Id])</f>
        <v>-</v>
      </c>
      <c r="Y6" s="70"/>
      <c r="Z6" s="5" t="s">
        <v>25</v>
      </c>
      <c r="AA6" s="6">
        <v>0</v>
      </c>
      <c r="AB6" s="110" t="s">
        <v>31</v>
      </c>
      <c r="AC6" s="12" t="s">
        <v>456</v>
      </c>
      <c r="AD6" s="14" t="s">
        <v>458</v>
      </c>
      <c r="AE6" s="60" t="s">
        <v>88</v>
      </c>
      <c r="AF6" s="116" t="s">
        <v>457</v>
      </c>
    </row>
    <row r="7" spans="2:32" ht="50.25" customHeight="1" x14ac:dyDescent="0.3">
      <c r="B7" s="114" t="s">
        <v>441</v>
      </c>
      <c r="C7" s="2">
        <v>46055</v>
      </c>
      <c r="D7" s="2">
        <f>_xlfn.XLOOKUP(E7,[1]!Bookings[Booking Name],[1]!Bookings[Rejected Date])</f>
        <v>46056</v>
      </c>
      <c r="E7" s="114" t="s">
        <v>452</v>
      </c>
      <c r="F7" s="76" t="str">
        <f>_xlfn.XLOOKUP(E7,[1]!Bookings[Booking Name],[1]!Bookings[Booking Status])</f>
        <v>Rejected</v>
      </c>
      <c r="G7" s="2">
        <f>_xlfn.XLOOKUP(E7,[1]!Bookings[Booking Name],[1]!Bookings[Booking Date])</f>
        <v>46035</v>
      </c>
      <c r="H7" s="3">
        <f>_xlfn.XLOOKUP(E7,[1]!Bookings[Booking Name],[1]!Bookings[Booking Aging])</f>
        <v>24</v>
      </c>
      <c r="I7" s="2" t="str">
        <f>_xlfn.XLOOKUP(E7,[1]!Bookings[Booking Name],[1]!Bookings[Project Name])</f>
        <v>Laguna Residence</v>
      </c>
      <c r="J7" s="2" t="str">
        <f>_xlfn.XLOOKUP(E7,[1]!Bookings[Booking Name],[1]!Bookings[Building])</f>
        <v>Tower A</v>
      </c>
      <c r="K7" s="2" t="str">
        <f>_xlfn.XLOOKUP(E7,[1]!Bookings[Booking Name],[1]!Bookings[Bedrooms])</f>
        <v>1 Bedroom</v>
      </c>
      <c r="L7" s="2" t="str">
        <f>_xlfn.XLOOKUP(E7,[1]!Bookings[Booking Name],[1]!Bookings[Unit No.])</f>
        <v>A3307</v>
      </c>
      <c r="M7" s="36" t="str">
        <f>_xlfn.XLOOKUP(E7,[1]!Bookings[Booking Name],[1]!Bookings[Inventory Unit Status])</f>
        <v>Blocked</v>
      </c>
      <c r="N7" s="2" t="str">
        <f>_xlfn.XLOOKUP(E7,[1]!Bookings[Booking Name],[1]!Bookings[Booking Status])</f>
        <v>Rejected</v>
      </c>
      <c r="O7" s="52" t="str">
        <f>_xlfn.XLOOKUP(E7,[1]!Bookings[Booking Name],[1]!Bookings[Customer Name])</f>
        <v>PENGJUN LIU</v>
      </c>
      <c r="P7" s="2" t="str">
        <f>_xlfn.XLOOKUP(E7,[1]!Bookings[Booking Name],[1]!Bookings[Nationality])</f>
        <v>China</v>
      </c>
      <c r="Q7" s="4">
        <f>_xlfn.XLOOKUP(E7,[1]!Bookings[Booking Name],[1]!Bookings[Discount Amount])</f>
        <v>0</v>
      </c>
      <c r="R7" s="27">
        <f>_xlfn.XLOOKUP(E7,[1]!Bookings[Booking Name],[1]!Bookings[Discount Percentage])</f>
        <v>0</v>
      </c>
      <c r="S7" s="4">
        <f>_xlfn.XLOOKUP(E7,[1]!Bookings[Booking Name],[1]!Bookings[Final Sale Value After Discount])</f>
        <v>1456000</v>
      </c>
      <c r="T7" s="4">
        <f>_xlfn.XLOOKUP(E7,[1]!Bookings[Booking Name],[1]!Bookings[Inv Final Sale Value])</f>
        <v>1456000</v>
      </c>
      <c r="U7" s="34" t="str">
        <f>_xlfn.XLOOKUP(E7,[1]!Bookings[Booking Name],[1]!Bookings[Sales])</f>
        <v>Yang XI</v>
      </c>
      <c r="V7" s="2" t="str">
        <f>_xlfn.XLOOKUP(E7,[1]!Bookings[Booking Name],[1]!Bookings[Agency Name])</f>
        <v/>
      </c>
      <c r="W7" s="2" t="str">
        <f>_xlfn.XLOOKUP(E7,[1]!Bookings[Booking Name],[1]!Bookings[Booking ID])</f>
        <v>a03NM00000TBpGK</v>
      </c>
      <c r="X7" s="2" t="str">
        <f>_xlfn.XLOOKUP(E7,[1]!Bookings[Booking Name],[1]!Bookings[Oracle Id])</f>
        <v>-</v>
      </c>
      <c r="Y7" s="70"/>
      <c r="Z7" s="90">
        <v>10000</v>
      </c>
      <c r="AA7" s="6">
        <v>6.868131868131868E-3</v>
      </c>
      <c r="AB7" s="113" t="s">
        <v>31</v>
      </c>
      <c r="AC7" s="60" t="s">
        <v>93</v>
      </c>
      <c r="AD7" s="14" t="s">
        <v>453</v>
      </c>
      <c r="AE7" s="60" t="s">
        <v>93</v>
      </c>
      <c r="AF7" s="67" t="s">
        <v>139</v>
      </c>
    </row>
    <row r="8" spans="2:32" ht="50.25" customHeight="1" x14ac:dyDescent="0.3">
      <c r="B8" s="114" t="s">
        <v>441</v>
      </c>
      <c r="C8" s="2">
        <v>46055</v>
      </c>
      <c r="D8" s="2">
        <f>_xlfn.XLOOKUP(E8,[1]!Bookings[Booking Name],[1]!Bookings[Rejected Date])</f>
        <v>46056</v>
      </c>
      <c r="E8" s="114" t="s">
        <v>450</v>
      </c>
      <c r="F8" s="76" t="str">
        <f>_xlfn.XLOOKUP(E8,[1]!Bookings[Booking Name],[1]!Bookings[Booking Status])</f>
        <v>Rejected</v>
      </c>
      <c r="G8" s="2">
        <f>_xlfn.XLOOKUP(E8,[1]!Bookings[Booking Name],[1]!Bookings[Booking Date])</f>
        <v>46035</v>
      </c>
      <c r="H8" s="3">
        <f>_xlfn.XLOOKUP(E8,[1]!Bookings[Booking Name],[1]!Bookings[Booking Aging])</f>
        <v>24</v>
      </c>
      <c r="I8" s="2" t="str">
        <f>_xlfn.XLOOKUP(E8,[1]!Bookings[Booking Name],[1]!Bookings[Project Name])</f>
        <v>Laguna Residence</v>
      </c>
      <c r="J8" s="2" t="str">
        <f>_xlfn.XLOOKUP(E8,[1]!Bookings[Booking Name],[1]!Bookings[Building])</f>
        <v>Tower B</v>
      </c>
      <c r="K8" s="2" t="str">
        <f>_xlfn.XLOOKUP(E8,[1]!Bookings[Booking Name],[1]!Bookings[Bedrooms])</f>
        <v>Studio</v>
      </c>
      <c r="L8" s="2" t="str">
        <f>_xlfn.XLOOKUP(E8,[1]!Bookings[Booking Name],[1]!Bookings[Unit No.])</f>
        <v>B714</v>
      </c>
      <c r="M8" s="36" t="str">
        <f>_xlfn.XLOOKUP(E8,[1]!Bookings[Booking Name],[1]!Bookings[Inventory Unit Status])</f>
        <v>Blocked</v>
      </c>
      <c r="N8" s="2" t="str">
        <f>_xlfn.XLOOKUP(E8,[1]!Bookings[Booking Name],[1]!Bookings[Booking Status])</f>
        <v>Rejected</v>
      </c>
      <c r="O8" s="52" t="str">
        <f>_xlfn.XLOOKUP(E8,[1]!Bookings[Booking Name],[1]!Bookings[Customer Name])</f>
        <v>PENGJUN LIU</v>
      </c>
      <c r="P8" s="2" t="str">
        <f>_xlfn.XLOOKUP(E8,[1]!Bookings[Booking Name],[1]!Bookings[Nationality])</f>
        <v>China</v>
      </c>
      <c r="Q8" s="4">
        <f>_xlfn.XLOOKUP(E8,[1]!Bookings[Booking Name],[1]!Bookings[Discount Amount])</f>
        <v>0</v>
      </c>
      <c r="R8" s="27">
        <f>_xlfn.XLOOKUP(E8,[1]!Bookings[Booking Name],[1]!Bookings[Discount Percentage])</f>
        <v>0</v>
      </c>
      <c r="S8" s="4">
        <f>_xlfn.XLOOKUP(E8,[1]!Bookings[Booking Name],[1]!Bookings[Final Sale Value After Discount])</f>
        <v>832000</v>
      </c>
      <c r="T8" s="4">
        <f>_xlfn.XLOOKUP(E8,[1]!Bookings[Booking Name],[1]!Bookings[Inv Final Sale Value])</f>
        <v>832000</v>
      </c>
      <c r="U8" s="34" t="str">
        <f>_xlfn.XLOOKUP(E8,[1]!Bookings[Booking Name],[1]!Bookings[Sales])</f>
        <v>Yang XI</v>
      </c>
      <c r="V8" s="2" t="str">
        <f>_xlfn.XLOOKUP(E8,[1]!Bookings[Booking Name],[1]!Bookings[Agency Name])</f>
        <v/>
      </c>
      <c r="W8" s="2" t="str">
        <f>_xlfn.XLOOKUP(E8,[1]!Bookings[Booking Name],[1]!Bookings[Booking ID])</f>
        <v>a03NM00000TCRLV</v>
      </c>
      <c r="X8" s="2" t="str">
        <f>_xlfn.XLOOKUP(E8,[1]!Bookings[Booking Name],[1]!Bookings[Oracle Id])</f>
        <v>-</v>
      </c>
      <c r="Y8" s="70"/>
      <c r="Z8" s="90">
        <v>10000</v>
      </c>
      <c r="AA8" s="6">
        <v>1.201923076923077E-2</v>
      </c>
      <c r="AB8" s="113" t="s">
        <v>31</v>
      </c>
      <c r="AC8" s="60" t="s">
        <v>93</v>
      </c>
      <c r="AD8" s="14" t="s">
        <v>451</v>
      </c>
      <c r="AE8" s="60" t="s">
        <v>93</v>
      </c>
      <c r="AF8" s="67" t="s">
        <v>139</v>
      </c>
    </row>
    <row r="9" spans="2:32" ht="50.25" customHeight="1" x14ac:dyDescent="0.3">
      <c r="B9" s="114" t="s">
        <v>441</v>
      </c>
      <c r="C9" s="2">
        <v>46055</v>
      </c>
      <c r="D9" s="2">
        <f>_xlfn.XLOOKUP(E9,[1]!Bookings[Booking Name],[1]!Bookings[Rejected Date])</f>
        <v>46056</v>
      </c>
      <c r="E9" s="114" t="s">
        <v>448</v>
      </c>
      <c r="F9" s="76" t="str">
        <f>_xlfn.XLOOKUP(E9,[1]!Bookings[Booking Name],[1]!Bookings[Booking Status])</f>
        <v>Rejected</v>
      </c>
      <c r="G9" s="2">
        <f>_xlfn.XLOOKUP(E9,[1]!Bookings[Booking Name],[1]!Bookings[Booking Date])</f>
        <v>46035</v>
      </c>
      <c r="H9" s="3">
        <f>_xlfn.XLOOKUP(E9,[1]!Bookings[Booking Name],[1]!Bookings[Booking Aging])</f>
        <v>24</v>
      </c>
      <c r="I9" s="2" t="str">
        <f>_xlfn.XLOOKUP(E9,[1]!Bookings[Booking Name],[1]!Bookings[Project Name])</f>
        <v>Laguna Residence</v>
      </c>
      <c r="J9" s="2" t="str">
        <f>_xlfn.XLOOKUP(E9,[1]!Bookings[Booking Name],[1]!Bookings[Building])</f>
        <v>Tower A</v>
      </c>
      <c r="K9" s="2" t="str">
        <f>_xlfn.XLOOKUP(E9,[1]!Bookings[Booking Name],[1]!Bookings[Bedrooms])</f>
        <v>Studio</v>
      </c>
      <c r="L9" s="2" t="str">
        <f>_xlfn.XLOOKUP(E9,[1]!Bookings[Booking Name],[1]!Bookings[Unit No.])</f>
        <v>A1014</v>
      </c>
      <c r="M9" s="36" t="str">
        <f>_xlfn.XLOOKUP(E9,[1]!Bookings[Booking Name],[1]!Bookings[Inventory Unit Status])</f>
        <v>Blocked</v>
      </c>
      <c r="N9" s="2" t="str">
        <f>_xlfn.XLOOKUP(E9,[1]!Bookings[Booking Name],[1]!Bookings[Booking Status])</f>
        <v>Rejected</v>
      </c>
      <c r="O9" s="52" t="str">
        <f>_xlfn.XLOOKUP(E9,[1]!Bookings[Booking Name],[1]!Bookings[Customer Name])</f>
        <v>Li Wang</v>
      </c>
      <c r="P9" s="2" t="str">
        <f>_xlfn.XLOOKUP(E9,[1]!Bookings[Booking Name],[1]!Bookings[Nationality])</f>
        <v>China</v>
      </c>
      <c r="Q9" s="4">
        <f>_xlfn.XLOOKUP(E9,[1]!Bookings[Booking Name],[1]!Bookings[Discount Amount])</f>
        <v>0</v>
      </c>
      <c r="R9" s="27">
        <f>_xlfn.XLOOKUP(E9,[1]!Bookings[Booking Name],[1]!Bookings[Discount Percentage])</f>
        <v>0</v>
      </c>
      <c r="S9" s="4">
        <f>_xlfn.XLOOKUP(E9,[1]!Bookings[Booking Name],[1]!Bookings[Final Sale Value After Discount])</f>
        <v>801000</v>
      </c>
      <c r="T9" s="4">
        <f>_xlfn.XLOOKUP(E9,[1]!Bookings[Booking Name],[1]!Bookings[Inv Final Sale Value])</f>
        <v>801000</v>
      </c>
      <c r="U9" s="34" t="str">
        <f>_xlfn.XLOOKUP(E9,[1]!Bookings[Booking Name],[1]!Bookings[Sales])</f>
        <v>Yang XI</v>
      </c>
      <c r="V9" s="2" t="str">
        <f>_xlfn.XLOOKUP(E9,[1]!Bookings[Booking Name],[1]!Bookings[Agency Name])</f>
        <v/>
      </c>
      <c r="W9" s="2" t="str">
        <f>_xlfn.XLOOKUP(E9,[1]!Bookings[Booking Name],[1]!Bookings[Booking ID])</f>
        <v>a03NM00000TBiGU</v>
      </c>
      <c r="X9" s="2" t="str">
        <f>_xlfn.XLOOKUP(E9,[1]!Bookings[Booking Name],[1]!Bookings[Oracle Id])</f>
        <v>-</v>
      </c>
      <c r="Y9" s="70"/>
      <c r="Z9" s="90">
        <v>10000</v>
      </c>
      <c r="AA9" s="6">
        <v>1.2484394506866416E-2</v>
      </c>
      <c r="AB9" s="113" t="s">
        <v>31</v>
      </c>
      <c r="AC9" s="60" t="s">
        <v>93</v>
      </c>
      <c r="AD9" s="14" t="s">
        <v>449</v>
      </c>
      <c r="AE9" s="60" t="s">
        <v>93</v>
      </c>
      <c r="AF9" s="67" t="s">
        <v>139</v>
      </c>
    </row>
    <row r="10" spans="2:32" ht="50.25" customHeight="1" x14ac:dyDescent="0.3">
      <c r="B10" s="114" t="s">
        <v>441</v>
      </c>
      <c r="C10" s="2">
        <v>46055</v>
      </c>
      <c r="D10" s="2">
        <f>_xlfn.XLOOKUP(E10,[1]!Bookings[Booking Name],[1]!Bookings[Rejected Date])</f>
        <v>46056</v>
      </c>
      <c r="E10" s="114" t="s">
        <v>446</v>
      </c>
      <c r="F10" s="76" t="str">
        <f>_xlfn.XLOOKUP(E10,[1]!Bookings[Booking Name],[1]!Bookings[Booking Status])</f>
        <v>Rejected</v>
      </c>
      <c r="G10" s="2">
        <f>_xlfn.XLOOKUP(E10,[1]!Bookings[Booking Name],[1]!Bookings[Booking Date])</f>
        <v>46035</v>
      </c>
      <c r="H10" s="3">
        <f>_xlfn.XLOOKUP(E10,[1]!Bookings[Booking Name],[1]!Bookings[Booking Aging])</f>
        <v>24</v>
      </c>
      <c r="I10" s="2" t="str">
        <f>_xlfn.XLOOKUP(E10,[1]!Bookings[Booking Name],[1]!Bookings[Project Name])</f>
        <v>Laguna Residence</v>
      </c>
      <c r="J10" s="2" t="str">
        <f>_xlfn.XLOOKUP(E10,[1]!Bookings[Booking Name],[1]!Bookings[Building])</f>
        <v>Tower A</v>
      </c>
      <c r="K10" s="2" t="str">
        <f>_xlfn.XLOOKUP(E10,[1]!Bookings[Booking Name],[1]!Bookings[Bedrooms])</f>
        <v>1 Bedroom</v>
      </c>
      <c r="L10" s="2" t="str">
        <f>_xlfn.XLOOKUP(E10,[1]!Bookings[Booking Name],[1]!Bookings[Unit No.])</f>
        <v>A3407</v>
      </c>
      <c r="M10" s="36" t="str">
        <f>_xlfn.XLOOKUP(E10,[1]!Bookings[Booking Name],[1]!Bookings[Inventory Unit Status])</f>
        <v>Blocked</v>
      </c>
      <c r="N10" s="2" t="str">
        <f>_xlfn.XLOOKUP(E10,[1]!Bookings[Booking Name],[1]!Bookings[Booking Status])</f>
        <v>Rejected</v>
      </c>
      <c r="O10" s="52" t="str">
        <f>_xlfn.XLOOKUP(E10,[1]!Bookings[Booking Name],[1]!Bookings[Customer Name])</f>
        <v>Li Wang</v>
      </c>
      <c r="P10" s="2" t="str">
        <f>_xlfn.XLOOKUP(E10,[1]!Bookings[Booking Name],[1]!Bookings[Nationality])</f>
        <v>China</v>
      </c>
      <c r="Q10" s="4">
        <f>_xlfn.XLOOKUP(E10,[1]!Bookings[Booking Name],[1]!Bookings[Discount Amount])</f>
        <v>0</v>
      </c>
      <c r="R10" s="27">
        <f>_xlfn.XLOOKUP(E10,[1]!Bookings[Booking Name],[1]!Bookings[Discount Percentage])</f>
        <v>0</v>
      </c>
      <c r="S10" s="4">
        <f>_xlfn.XLOOKUP(E10,[1]!Bookings[Booking Name],[1]!Bookings[Final Sale Value After Discount])</f>
        <v>1483000</v>
      </c>
      <c r="T10" s="4">
        <f>_xlfn.XLOOKUP(E10,[1]!Bookings[Booking Name],[1]!Bookings[Inv Final Sale Value])</f>
        <v>1483000</v>
      </c>
      <c r="U10" s="34" t="str">
        <f>_xlfn.XLOOKUP(E10,[1]!Bookings[Booking Name],[1]!Bookings[Sales])</f>
        <v>Yang XI</v>
      </c>
      <c r="V10" s="2" t="str">
        <f>_xlfn.XLOOKUP(E10,[1]!Bookings[Booking Name],[1]!Bookings[Agency Name])</f>
        <v/>
      </c>
      <c r="W10" s="2" t="str">
        <f>_xlfn.XLOOKUP(E10,[1]!Bookings[Booking Name],[1]!Bookings[Booking ID])</f>
        <v>a03NM00000TCOlp</v>
      </c>
      <c r="X10" s="2" t="str">
        <f>_xlfn.XLOOKUP(E10,[1]!Bookings[Booking Name],[1]!Bookings[Oracle Id])</f>
        <v>-</v>
      </c>
      <c r="Y10" s="70"/>
      <c r="Z10" s="90">
        <v>10000</v>
      </c>
      <c r="AA10" s="6">
        <v>6.7430883344571811E-3</v>
      </c>
      <c r="AB10" s="113" t="s">
        <v>31</v>
      </c>
      <c r="AC10" s="60" t="s">
        <v>93</v>
      </c>
      <c r="AD10" s="14" t="s">
        <v>447</v>
      </c>
      <c r="AE10" s="60" t="s">
        <v>93</v>
      </c>
      <c r="AF10" s="67" t="s">
        <v>139</v>
      </c>
    </row>
    <row r="11" spans="2:32" ht="50.25" customHeight="1" x14ac:dyDescent="0.3">
      <c r="B11" s="114" t="s">
        <v>441</v>
      </c>
      <c r="C11" s="2">
        <v>46055</v>
      </c>
      <c r="D11" s="2">
        <f>_xlfn.XLOOKUP(E11,[1]!Bookings[Booking Name],[1]!Bookings[Rejected Date])</f>
        <v>46056</v>
      </c>
      <c r="E11" s="114" t="s">
        <v>444</v>
      </c>
      <c r="F11" s="76" t="str">
        <f>_xlfn.XLOOKUP(E11,[1]!Bookings[Booking Name],[1]!Bookings[Booking Status])</f>
        <v>Rejected</v>
      </c>
      <c r="G11" s="2">
        <f>_xlfn.XLOOKUP(E11,[1]!Bookings[Booking Name],[1]!Bookings[Booking Date])</f>
        <v>46034</v>
      </c>
      <c r="H11" s="3">
        <f>_xlfn.XLOOKUP(E11,[1]!Bookings[Booking Name],[1]!Bookings[Booking Aging])</f>
        <v>25</v>
      </c>
      <c r="I11" s="2" t="str">
        <f>_xlfn.XLOOKUP(E11,[1]!Bookings[Booking Name],[1]!Bookings[Project Name])</f>
        <v>Laguna Residence</v>
      </c>
      <c r="J11" s="2" t="str">
        <f>_xlfn.XLOOKUP(E11,[1]!Bookings[Booking Name],[1]!Bookings[Building])</f>
        <v>Tower A</v>
      </c>
      <c r="K11" s="2" t="str">
        <f>_xlfn.XLOOKUP(E11,[1]!Bookings[Booking Name],[1]!Bookings[Bedrooms])</f>
        <v>2 Bedroom</v>
      </c>
      <c r="L11" s="2" t="str">
        <f>_xlfn.XLOOKUP(E11,[1]!Bookings[Booking Name],[1]!Bookings[Unit No.])</f>
        <v>A106</v>
      </c>
      <c r="M11" s="36" t="str">
        <f>_xlfn.XLOOKUP(E11,[1]!Bookings[Booking Name],[1]!Bookings[Inventory Unit Status])</f>
        <v>Blocked</v>
      </c>
      <c r="N11" s="2" t="str">
        <f>_xlfn.XLOOKUP(E11,[1]!Bookings[Booking Name],[1]!Bookings[Booking Status])</f>
        <v>Rejected</v>
      </c>
      <c r="O11" s="52" t="str">
        <f>_xlfn.XLOOKUP(E11,[1]!Bookings[Booking Name],[1]!Bookings[Customer Name])</f>
        <v>Nabeel Mohammad Saeed Khan</v>
      </c>
      <c r="P11" s="2" t="str">
        <f>_xlfn.XLOOKUP(E11,[1]!Bookings[Booking Name],[1]!Bookings[Nationality])</f>
        <v>India</v>
      </c>
      <c r="Q11" s="4">
        <f>_xlfn.XLOOKUP(E11,[1]!Bookings[Booking Name],[1]!Bookings[Discount Amount])</f>
        <v>119350</v>
      </c>
      <c r="R11" s="27">
        <f>_xlfn.XLOOKUP(E11,[1]!Bookings[Booking Name],[1]!Bookings[Discount Percentage])</f>
        <v>0.05</v>
      </c>
      <c r="S11" s="4">
        <f>_xlfn.XLOOKUP(E11,[1]!Bookings[Booking Name],[1]!Bookings[Final Sale Value After Discount])</f>
        <v>2267650</v>
      </c>
      <c r="T11" s="4">
        <f>_xlfn.XLOOKUP(E11,[1]!Bookings[Booking Name],[1]!Bookings[Inv Final Sale Value])</f>
        <v>2387000</v>
      </c>
      <c r="U11" s="34" t="str">
        <f>_xlfn.XLOOKUP(E11,[1]!Bookings[Booking Name],[1]!Bookings[Sales])</f>
        <v>Claire Moussa</v>
      </c>
      <c r="V11" s="2" t="str">
        <f>_xlfn.XLOOKUP(E11,[1]!Bookings[Booking Name],[1]!Bookings[Agency Name])</f>
        <v>CHALET INTERNATIONAL REAL ESTATE L.L.C</v>
      </c>
      <c r="W11" s="2" t="str">
        <f>_xlfn.XLOOKUP(E11,[1]!Bookings[Booking Name],[1]!Bookings[Booking ID])</f>
        <v>a03NM00000T5SYB</v>
      </c>
      <c r="X11" s="2" t="str">
        <f>_xlfn.XLOOKUP(E11,[1]!Bookings[Booking Name],[1]!Bookings[Oracle Id])</f>
        <v>-</v>
      </c>
      <c r="Y11" s="70"/>
      <c r="Z11" s="90">
        <v>5000</v>
      </c>
      <c r="AA11" s="6">
        <v>2.204925804246687E-3</v>
      </c>
      <c r="AB11" s="115" t="s">
        <v>37</v>
      </c>
      <c r="AC11" s="60" t="s">
        <v>93</v>
      </c>
      <c r="AD11" s="14" t="s">
        <v>445</v>
      </c>
      <c r="AE11" s="60" t="s">
        <v>93</v>
      </c>
      <c r="AF11" s="67" t="s">
        <v>139</v>
      </c>
    </row>
    <row r="12" spans="2:32" ht="50.25" customHeight="1" x14ac:dyDescent="0.3">
      <c r="B12" s="114" t="s">
        <v>441</v>
      </c>
      <c r="C12" s="2">
        <v>46055</v>
      </c>
      <c r="D12" s="2">
        <f>_xlfn.XLOOKUP(E12,[1]!Bookings[Booking Name],[1]!Bookings[Rejected Date])</f>
        <v>46056</v>
      </c>
      <c r="E12" s="114" t="s">
        <v>442</v>
      </c>
      <c r="F12" s="76" t="str">
        <f>_xlfn.XLOOKUP(E12,[1]!Bookings[Booking Name],[1]!Bookings[Booking Status])</f>
        <v>Rejected</v>
      </c>
      <c r="G12" s="2">
        <f>_xlfn.XLOOKUP(E12,[1]!Bookings[Booking Name],[1]!Bookings[Booking Date])</f>
        <v>45961</v>
      </c>
      <c r="H12" s="3">
        <f>_xlfn.XLOOKUP(E12,[1]!Bookings[Booking Name],[1]!Bookings[Booking Aging])</f>
        <v>98</v>
      </c>
      <c r="I12" s="2" t="str">
        <f>_xlfn.XLOOKUP(E12,[1]!Bookings[Booking Name],[1]!Bookings[Project Name])</f>
        <v>Laguna Residence</v>
      </c>
      <c r="J12" s="2" t="str">
        <f>_xlfn.XLOOKUP(E12,[1]!Bookings[Booking Name],[1]!Bookings[Building])</f>
        <v>Tower B</v>
      </c>
      <c r="K12" s="2" t="str">
        <f>_xlfn.XLOOKUP(E12,[1]!Bookings[Booking Name],[1]!Bookings[Bedrooms])</f>
        <v>Studio</v>
      </c>
      <c r="L12" s="2" t="str">
        <f>_xlfn.XLOOKUP(E12,[1]!Bookings[Booking Name],[1]!Bookings[Unit No.])</f>
        <v>B514</v>
      </c>
      <c r="M12" s="36" t="str">
        <f>_xlfn.XLOOKUP(E12,[1]!Bookings[Booking Name],[1]!Bookings[Inventory Unit Status])</f>
        <v>Blocked</v>
      </c>
      <c r="N12" s="2" t="str">
        <f>_xlfn.XLOOKUP(E12,[1]!Bookings[Booking Name],[1]!Bookings[Booking Status])</f>
        <v>Rejected</v>
      </c>
      <c r="O12" s="52" t="str">
        <f>_xlfn.XLOOKUP(E12,[1]!Bookings[Booking Name],[1]!Bookings[Customer Name])</f>
        <v>Scott Alfred Drury</v>
      </c>
      <c r="P12" s="2" t="str">
        <f>_xlfn.XLOOKUP(E12,[1]!Bookings[Booking Name],[1]!Bookings[Nationality])</f>
        <v>United Kingdom</v>
      </c>
      <c r="Q12" s="4">
        <f>_xlfn.XLOOKUP(E12,[1]!Bookings[Booking Name],[1]!Bookings[Discount Amount])</f>
        <v>0</v>
      </c>
      <c r="R12" s="27">
        <f>_xlfn.XLOOKUP(E12,[1]!Bookings[Booking Name],[1]!Bookings[Discount Percentage])</f>
        <v>0</v>
      </c>
      <c r="S12" s="4">
        <f>_xlfn.XLOOKUP(E12,[1]!Bookings[Booking Name],[1]!Bookings[Final Sale Value After Discount])</f>
        <v>830000</v>
      </c>
      <c r="T12" s="4">
        <f>_xlfn.XLOOKUP(E12,[1]!Bookings[Booking Name],[1]!Bookings[Inv Final Sale Value])</f>
        <v>830000</v>
      </c>
      <c r="U12" s="34" t="str">
        <f>_xlfn.XLOOKUP(E12,[1]!Bookings[Booking Name],[1]!Bookings[Sales])</f>
        <v>Feraz Mohamed</v>
      </c>
      <c r="V12" s="2" t="str">
        <f>_xlfn.XLOOKUP(E12,[1]!Bookings[Booking Name],[1]!Bookings[Agency Name])</f>
        <v>Orient Luxury Properties</v>
      </c>
      <c r="W12" s="2" t="str">
        <f>_xlfn.XLOOKUP(E12,[1]!Bookings[Booking Name],[1]!Bookings[Booking ID])</f>
        <v>a03J600000FmbUK</v>
      </c>
      <c r="X12" s="2" t="str">
        <f>_xlfn.XLOOKUP(E12,[1]!Bookings[Booking Name],[1]!Bookings[Oracle Id])</f>
        <v>-</v>
      </c>
      <c r="Y12" s="70"/>
      <c r="Z12" s="90">
        <v>8300</v>
      </c>
      <c r="AA12" s="6">
        <v>0.01</v>
      </c>
      <c r="AB12" s="113" t="s">
        <v>31</v>
      </c>
      <c r="AC12" s="60" t="s">
        <v>93</v>
      </c>
      <c r="AD12" s="14" t="s">
        <v>443</v>
      </c>
      <c r="AE12" s="60" t="s">
        <v>93</v>
      </c>
      <c r="AF12" s="67" t="s">
        <v>139</v>
      </c>
    </row>
    <row r="13" spans="2:32" ht="50.25" customHeight="1" x14ac:dyDescent="0.3">
      <c r="B13" s="114" t="s">
        <v>230</v>
      </c>
      <c r="C13" s="2">
        <v>46052</v>
      </c>
      <c r="D13" s="2">
        <f>_xlfn.XLOOKUP(E13,[1]!Bookings[Booking Name],[1]!Bookings[Rejected Date])</f>
        <v>46056</v>
      </c>
      <c r="E13" s="114" t="s">
        <v>454</v>
      </c>
      <c r="F13" s="76" t="str">
        <f>_xlfn.XLOOKUP(E13,[1]!Bookings[Booking Name],[1]!Bookings[Booking Status])</f>
        <v>Rejected</v>
      </c>
      <c r="G13" s="2">
        <f>_xlfn.XLOOKUP(E13,[1]!Bookings[Booking Name],[1]!Bookings[Booking Date])</f>
        <v>46031</v>
      </c>
      <c r="H13" s="3">
        <f>_xlfn.XLOOKUP(E13,[1]!Bookings[Booking Name],[1]!Bookings[Booking Aging])</f>
        <v>28</v>
      </c>
      <c r="I13" s="2" t="str">
        <f>_xlfn.XLOOKUP(E13,[1]!Bookings[Booking Name],[1]!Bookings[Project Name])</f>
        <v>One Residence</v>
      </c>
      <c r="J13" s="2" t="str">
        <f>_xlfn.XLOOKUP(E13,[1]!Bookings[Booking Name],[1]!Bookings[Building])</f>
        <v>Tower 1</v>
      </c>
      <c r="K13" s="2" t="str">
        <f>_xlfn.XLOOKUP(E13,[1]!Bookings[Booking Name],[1]!Bookings[Bedrooms])</f>
        <v>2 BR</v>
      </c>
      <c r="L13" s="2" t="str">
        <f>_xlfn.XLOOKUP(E13,[1]!Bookings[Booking Name],[1]!Bookings[Unit No.])</f>
        <v>OR-1504</v>
      </c>
      <c r="M13" s="36" t="str">
        <f>_xlfn.XLOOKUP(E13,[1]!Bookings[Booking Name],[1]!Bookings[Inventory Unit Status])</f>
        <v>Blocked</v>
      </c>
      <c r="N13" s="2" t="str">
        <f>_xlfn.XLOOKUP(E13,[1]!Bookings[Booking Name],[1]!Bookings[Booking Status])</f>
        <v>Rejected</v>
      </c>
      <c r="O13" s="52" t="str">
        <f>_xlfn.XLOOKUP(E13,[1]!Bookings[Booking Name],[1]!Bookings[Customer Name])</f>
        <v>Mahreen Waqar</v>
      </c>
      <c r="P13" s="2" t="str">
        <f>_xlfn.XLOOKUP(E13,[1]!Bookings[Booking Name],[1]!Bookings[Nationality])</f>
        <v>United Kingdom</v>
      </c>
      <c r="Q13" s="4">
        <f>_xlfn.XLOOKUP(E13,[1]!Bookings[Booking Name],[1]!Bookings[Discount Amount])</f>
        <v>0</v>
      </c>
      <c r="R13" s="27">
        <f>_xlfn.XLOOKUP(E13,[1]!Bookings[Booking Name],[1]!Bookings[Discount Percentage])</f>
        <v>0</v>
      </c>
      <c r="S13" s="4">
        <f>_xlfn.XLOOKUP(E13,[1]!Bookings[Booking Name],[1]!Bookings[Final Sale Value After Discount])</f>
        <v>2600000</v>
      </c>
      <c r="T13" s="4">
        <f>_xlfn.XLOOKUP(E13,[1]!Bookings[Booking Name],[1]!Bookings[Inv Final Sale Value])</f>
        <v>2600000</v>
      </c>
      <c r="U13" s="34" t="str">
        <f>_xlfn.XLOOKUP(E13,[1]!Bookings[Booking Name],[1]!Bookings[Sales])</f>
        <v>Bouchra Achchab</v>
      </c>
      <c r="V13" s="2" t="str">
        <f>_xlfn.XLOOKUP(E13,[1]!Bookings[Booking Name],[1]!Bookings[Agency Name])</f>
        <v>TRIVIUM PROPERTIES -L.L.C-S.P.C</v>
      </c>
      <c r="W13" s="2" t="str">
        <f>_xlfn.XLOOKUP(E13,[1]!Bookings[Booking Name],[1]!Bookings[Booking ID])</f>
        <v>a03NM00000SoquZ</v>
      </c>
      <c r="X13" s="2" t="str">
        <f>_xlfn.XLOOKUP(E13,[1]!Bookings[Booking Name],[1]!Bookings[Oracle Id])</f>
        <v>-</v>
      </c>
      <c r="Y13" s="70"/>
      <c r="Z13" s="5" t="s">
        <v>25</v>
      </c>
      <c r="AA13" s="6">
        <v>0</v>
      </c>
      <c r="AB13" s="113" t="s">
        <v>31</v>
      </c>
      <c r="AC13" s="12" t="s">
        <v>287</v>
      </c>
      <c r="AD13" s="14" t="s">
        <v>455</v>
      </c>
      <c r="AE13" s="104" t="s">
        <v>32</v>
      </c>
      <c r="AF13" s="29" t="s">
        <v>97</v>
      </c>
    </row>
    <row r="14" spans="2:32" ht="50.25" customHeight="1" x14ac:dyDescent="0.3">
      <c r="B14" s="112" t="s">
        <v>230</v>
      </c>
      <c r="C14" s="2">
        <v>46052</v>
      </c>
      <c r="D14" s="2">
        <f>_xlfn.XLOOKUP(E14,[1]!Bookings[Booking Name],[1]!Bookings[Rejected Date])</f>
        <v>0</v>
      </c>
      <c r="E14" s="109" t="s">
        <v>425</v>
      </c>
      <c r="F14" s="76" t="str">
        <f>_xlfn.XLOOKUP(E14,[1]!Bookings[Booking Name],[1]!Bookings[Booking Status])</f>
        <v>Draft</v>
      </c>
      <c r="G14" s="2">
        <f>_xlfn.XLOOKUP(E14,[1]!Bookings[Booking Name],[1]!Bookings[Booking Date])</f>
        <v>46042</v>
      </c>
      <c r="H14" s="3">
        <f>_xlfn.XLOOKUP(E14,[1]!Bookings[Booking Name],[1]!Bookings[Booking Aging])</f>
        <v>17</v>
      </c>
      <c r="I14" s="2" t="str">
        <f>_xlfn.XLOOKUP(E14,[1]!Bookings[Booking Name],[1]!Bookings[Project Name])</f>
        <v>One Residence</v>
      </c>
      <c r="J14" s="2" t="str">
        <f>_xlfn.XLOOKUP(E14,[1]!Bookings[Booking Name],[1]!Bookings[Building])</f>
        <v>Tower 1</v>
      </c>
      <c r="K14" s="2" t="str">
        <f>_xlfn.XLOOKUP(E14,[1]!Bookings[Booking Name],[1]!Bookings[Bedrooms])</f>
        <v>1 BR</v>
      </c>
      <c r="L14" s="2" t="str">
        <f>_xlfn.XLOOKUP(E14,[1]!Bookings[Booking Name],[1]!Bookings[Unit No.])</f>
        <v>OR-301</v>
      </c>
      <c r="M14" s="36" t="str">
        <f>_xlfn.XLOOKUP(E14,[1]!Bookings[Booking Name],[1]!Bookings[Inventory Unit Status])</f>
        <v>Booked</v>
      </c>
      <c r="N14" s="2" t="str">
        <f>_xlfn.XLOOKUP(E14,[1]!Bookings[Booking Name],[1]!Bookings[Booking Status])</f>
        <v>Draft</v>
      </c>
      <c r="O14" s="52" t="str">
        <f>_xlfn.XLOOKUP(E14,[1]!Bookings[Booking Name],[1]!Bookings[Customer Name])</f>
        <v>Suwaidan Saeed Khalfan Hdairem Alketbi</v>
      </c>
      <c r="P14" s="2" t="str">
        <f>_xlfn.XLOOKUP(E14,[1]!Bookings[Booking Name],[1]!Bookings[Nationality])</f>
        <v>United Arab Emirates</v>
      </c>
      <c r="Q14" s="4">
        <f>_xlfn.XLOOKUP(E14,[1]!Bookings[Booking Name],[1]!Bookings[Discount Amount])</f>
        <v>0</v>
      </c>
      <c r="R14" s="27">
        <f>_xlfn.XLOOKUP(E14,[1]!Bookings[Booking Name],[1]!Bookings[Discount Percentage])</f>
        <v>0</v>
      </c>
      <c r="S14" s="4">
        <f>_xlfn.XLOOKUP(E14,[1]!Bookings[Booking Name],[1]!Bookings[Final Sale Value After Discount])</f>
        <v>2201111</v>
      </c>
      <c r="T14" s="4">
        <f>_xlfn.XLOOKUP(E14,[1]!Bookings[Booking Name],[1]!Bookings[Inv Final Sale Value])</f>
        <v>2201111</v>
      </c>
      <c r="U14" s="34" t="str">
        <f>_xlfn.XLOOKUP(E14,[1]!Bookings[Booking Name],[1]!Bookings[Sales])</f>
        <v>Zarina Avdalian</v>
      </c>
      <c r="V14" s="2" t="str">
        <f>_xlfn.XLOOKUP(E14,[1]!Bookings[Booking Name],[1]!Bookings[Agency Name])</f>
        <v>SMART ADVISOR FOR REALESTATE LLC-SPC</v>
      </c>
      <c r="W14" s="2" t="str">
        <f>_xlfn.XLOOKUP(E14,[1]!Bookings[Booking Name],[1]!Bookings[Booking ID])</f>
        <v>a03NM00000TtH4L</v>
      </c>
      <c r="X14" s="2" t="str">
        <f>_xlfn.XLOOKUP(E14,[1]!Bookings[Booking Name],[1]!Bookings[Oracle Id])</f>
        <v>-</v>
      </c>
      <c r="Y14" s="34"/>
      <c r="Z14" s="5" t="s">
        <v>25</v>
      </c>
      <c r="AA14" s="6">
        <v>0</v>
      </c>
      <c r="AB14" s="81" t="s">
        <v>26</v>
      </c>
      <c r="AC14" s="12" t="s">
        <v>287</v>
      </c>
      <c r="AD14" s="106" t="s">
        <v>436</v>
      </c>
      <c r="AE14" s="104" t="s">
        <v>32</v>
      </c>
      <c r="AF14" s="29" t="s">
        <v>97</v>
      </c>
    </row>
    <row r="15" spans="2:32" ht="50.25" customHeight="1" x14ac:dyDescent="0.3">
      <c r="B15" s="105" t="s">
        <v>230</v>
      </c>
      <c r="C15" s="2">
        <v>46051</v>
      </c>
      <c r="D15" s="2">
        <f>_xlfn.XLOOKUP(E15,[1]!Bookings[Booking Name],[1]!Bookings[Rejected Date])</f>
        <v>46052</v>
      </c>
      <c r="E15" s="109" t="s">
        <v>423</v>
      </c>
      <c r="F15" s="76" t="str">
        <f>_xlfn.XLOOKUP(E15,[1]!Bookings[Booking Name],[1]!Bookings[Booking Status])</f>
        <v>Rejected</v>
      </c>
      <c r="G15" s="2">
        <f>_xlfn.XLOOKUP(E15,[1]!Bookings[Booking Name],[1]!Bookings[Booking Date])</f>
        <v>46035</v>
      </c>
      <c r="H15" s="3">
        <f>_xlfn.XLOOKUP(E15,[1]!Bookings[Booking Name],[1]!Bookings[Booking Aging])</f>
        <v>24</v>
      </c>
      <c r="I15" s="2" t="str">
        <f>_xlfn.XLOOKUP(E15,[1]!Bookings[Booking Name],[1]!Bookings[Project Name])</f>
        <v>One Residence</v>
      </c>
      <c r="J15" s="2" t="str">
        <f>_xlfn.XLOOKUP(E15,[1]!Bookings[Booking Name],[1]!Bookings[Building])</f>
        <v>Tower 1</v>
      </c>
      <c r="K15" s="2" t="str">
        <f>_xlfn.XLOOKUP(E15,[1]!Bookings[Booking Name],[1]!Bookings[Bedrooms])</f>
        <v>1 BR</v>
      </c>
      <c r="L15" s="2" t="str">
        <f>_xlfn.XLOOKUP(E15,[1]!Bookings[Booking Name],[1]!Bookings[Unit No.])</f>
        <v>OR-503</v>
      </c>
      <c r="M15" s="36" t="str">
        <f>_xlfn.XLOOKUP(E15,[1]!Bookings[Booking Name],[1]!Bookings[Inventory Unit Status])</f>
        <v>Booked</v>
      </c>
      <c r="N15" s="2" t="str">
        <f>_xlfn.XLOOKUP(E15,[1]!Bookings[Booking Name],[1]!Bookings[Booking Status])</f>
        <v>Rejected</v>
      </c>
      <c r="O15" s="52" t="str">
        <f>_xlfn.XLOOKUP(E15,[1]!Bookings[Booking Name],[1]!Bookings[Customer Name])</f>
        <v>Hussain Abdalla Hussain Mohamed Sajwani</v>
      </c>
      <c r="P15" s="2" t="str">
        <f>_xlfn.XLOOKUP(E15,[1]!Bookings[Booking Name],[1]!Bookings[Nationality])</f>
        <v>United Arab Emirates</v>
      </c>
      <c r="Q15" s="4">
        <f>_xlfn.XLOOKUP(E15,[1]!Bookings[Booking Name],[1]!Bookings[Discount Amount])</f>
        <v>82889</v>
      </c>
      <c r="R15" s="27">
        <f>_xlfn.XLOOKUP(E15,[1]!Bookings[Booking Name],[1]!Bookings[Discount Percentage])</f>
        <v>5.1805625000000001E-2</v>
      </c>
      <c r="S15" s="4">
        <f>_xlfn.XLOOKUP(E15,[1]!Bookings[Booking Name],[1]!Bookings[Final Sale Value After Discount])</f>
        <v>1517111</v>
      </c>
      <c r="T15" s="4">
        <f>_xlfn.XLOOKUP(E15,[1]!Bookings[Booking Name],[1]!Bookings[Inv Final Sale Value])</f>
        <v>1600000</v>
      </c>
      <c r="U15" s="34" t="str">
        <f>_xlfn.XLOOKUP(E15,[1]!Bookings[Booking Name],[1]!Bookings[Sales])</f>
        <v>Joudy Shaker</v>
      </c>
      <c r="V15" s="2" t="str">
        <f>_xlfn.XLOOKUP(E15,[1]!Bookings[Booking Name],[1]!Bookings[Agency Name])</f>
        <v>TOP OF THE TOP PROPERTIES  LLC - SPC</v>
      </c>
      <c r="W15" s="2" t="str">
        <f>_xlfn.XLOOKUP(E15,[1]!Bookings[Booking Name],[1]!Bookings[Booking ID])</f>
        <v>a03NM00000TBV4b</v>
      </c>
      <c r="X15" s="2" t="str">
        <f>_xlfn.XLOOKUP(E15,[1]!Bookings[Booking Name],[1]!Bookings[Oracle Id])</f>
        <v>-</v>
      </c>
      <c r="Y15" s="70"/>
      <c r="Z15" s="5" t="s">
        <v>25</v>
      </c>
      <c r="AA15" s="6">
        <v>0</v>
      </c>
      <c r="AB15" s="81" t="s">
        <v>26</v>
      </c>
      <c r="AC15" s="12" t="s">
        <v>191</v>
      </c>
      <c r="AD15" s="106" t="s">
        <v>435</v>
      </c>
      <c r="AE15" s="83" t="s">
        <v>246</v>
      </c>
      <c r="AF15" s="83" t="s">
        <v>246</v>
      </c>
    </row>
    <row r="16" spans="2:32" ht="50.25" customHeight="1" x14ac:dyDescent="0.3">
      <c r="B16" s="105" t="s">
        <v>230</v>
      </c>
      <c r="C16" s="2">
        <v>46051</v>
      </c>
      <c r="D16" s="2">
        <f>_xlfn.XLOOKUP(E16,[1]!Bookings[Booking Name],[1]!Bookings[Rejected Date])</f>
        <v>46051</v>
      </c>
      <c r="E16" s="105" t="s">
        <v>291</v>
      </c>
      <c r="F16" s="76" t="str">
        <f>_xlfn.XLOOKUP(E16,[1]!Bookings[Booking Name],[1]!Bookings[Booking Status])</f>
        <v>Rejected</v>
      </c>
      <c r="G16" s="2">
        <f>_xlfn.XLOOKUP(E16,[1]!Bookings[Booking Name],[1]!Bookings[Booking Date])</f>
        <v>46050</v>
      </c>
      <c r="H16" s="3">
        <f>_xlfn.XLOOKUP(E16,[1]!Bookings[Booking Name],[1]!Bookings[Booking Aging])</f>
        <v>9</v>
      </c>
      <c r="I16" s="2" t="str">
        <f>_xlfn.XLOOKUP(E16,[1]!Bookings[Booking Name],[1]!Bookings[Project Name])</f>
        <v>One Residence</v>
      </c>
      <c r="J16" s="2" t="str">
        <f>_xlfn.XLOOKUP(E16,[1]!Bookings[Booking Name],[1]!Bookings[Building])</f>
        <v>Tower 1</v>
      </c>
      <c r="K16" s="2" t="str">
        <f>_xlfn.XLOOKUP(E16,[1]!Bookings[Booking Name],[1]!Bookings[Bedrooms])</f>
        <v>2 BR</v>
      </c>
      <c r="L16" s="2" t="str">
        <f>_xlfn.XLOOKUP(E16,[1]!Bookings[Booking Name],[1]!Bookings[Unit No.])</f>
        <v>OR-2407</v>
      </c>
      <c r="M16" s="36" t="str">
        <f>_xlfn.XLOOKUP(E16,[1]!Bookings[Booking Name],[1]!Bookings[Inventory Unit Status])</f>
        <v>Booked</v>
      </c>
      <c r="N16" s="2" t="str">
        <f>_xlfn.XLOOKUP(E16,[1]!Bookings[Booking Name],[1]!Bookings[Booking Status])</f>
        <v>Rejected</v>
      </c>
      <c r="O16" s="52" t="str">
        <f>_xlfn.XLOOKUP(E16,[1]!Bookings[Booking Name],[1]!Bookings[Customer Name])</f>
        <v>JIANPING SU</v>
      </c>
      <c r="P16" s="2" t="str">
        <f>_xlfn.XLOOKUP(E16,[1]!Bookings[Booking Name],[1]!Bookings[Nationality])</f>
        <v>China</v>
      </c>
      <c r="Q16" s="4">
        <f>_xlfn.XLOOKUP(E16,[1]!Bookings[Booking Name],[1]!Bookings[Discount Amount])</f>
        <v>129889</v>
      </c>
      <c r="R16" s="27">
        <f>_xlfn.XLOOKUP(E16,[1]!Bookings[Booking Name],[1]!Bookings[Discount Percentage])</f>
        <v>5.1955599999999998E-2</v>
      </c>
      <c r="S16" s="4">
        <f>_xlfn.XLOOKUP(E16,[1]!Bookings[Booking Name],[1]!Bookings[Final Sale Value After Discount])</f>
        <v>2370111</v>
      </c>
      <c r="T16" s="4">
        <f>_xlfn.XLOOKUP(E16,[1]!Bookings[Booking Name],[1]!Bookings[Inv Final Sale Value])</f>
        <v>2500000</v>
      </c>
      <c r="U16" s="34" t="str">
        <f>_xlfn.XLOOKUP(E16,[1]!Bookings[Booking Name],[1]!Bookings[Sales])</f>
        <v>Tanveer Ansari</v>
      </c>
      <c r="V16" s="2" t="str">
        <f>_xlfn.XLOOKUP(E16,[1]!Bookings[Booking Name],[1]!Bookings[Agency Name])</f>
        <v>Dingsen Properties LLC</v>
      </c>
      <c r="W16" s="2" t="str">
        <f>_xlfn.XLOOKUP(E16,[1]!Bookings[Booking Name],[1]!Bookings[Booking ID])</f>
        <v>a03NM00000Ul7rC</v>
      </c>
      <c r="X16" s="2" t="str">
        <f>_xlfn.XLOOKUP(E16,[1]!Bookings[Booking Name],[1]!Bookings[Oracle Id])</f>
        <v>-</v>
      </c>
      <c r="Y16" s="70"/>
      <c r="Z16" s="5" t="s">
        <v>25</v>
      </c>
      <c r="AA16" s="6">
        <v>0</v>
      </c>
      <c r="AB16" s="81" t="s">
        <v>26</v>
      </c>
      <c r="AC16" s="12" t="s">
        <v>191</v>
      </c>
      <c r="AD16" s="106" t="s">
        <v>434</v>
      </c>
      <c r="AE16" s="83" t="s">
        <v>246</v>
      </c>
      <c r="AF16" s="83" t="s">
        <v>246</v>
      </c>
    </row>
    <row r="17" spans="2:32" ht="50.25" customHeight="1" x14ac:dyDescent="0.3">
      <c r="B17" s="105" t="s">
        <v>230</v>
      </c>
      <c r="C17" s="2">
        <v>46050</v>
      </c>
      <c r="D17" s="2">
        <f>_xlfn.XLOOKUP(E17,[1]!Bookings[Booking Name],[1]!Bookings[Rejected Date])</f>
        <v>46052</v>
      </c>
      <c r="E17" s="109" t="s">
        <v>427</v>
      </c>
      <c r="F17" s="76" t="str">
        <f>_xlfn.XLOOKUP(E17,[1]!Bookings[Booking Name],[1]!Bookings[Booking Status])</f>
        <v>Rejected</v>
      </c>
      <c r="G17" s="2">
        <f>_xlfn.XLOOKUP(E17,[1]!Bookings[Booking Name],[1]!Bookings[Booking Date])</f>
        <v>46004</v>
      </c>
      <c r="H17" s="3">
        <f>_xlfn.XLOOKUP(E17,[1]!Bookings[Booking Name],[1]!Bookings[Booking Aging])</f>
        <v>55</v>
      </c>
      <c r="I17" s="2" t="str">
        <f>_xlfn.XLOOKUP(E17,[1]!Bookings[Booking Name],[1]!Bookings[Project Name])</f>
        <v>Laguna Residence</v>
      </c>
      <c r="J17" s="2" t="str">
        <f>_xlfn.XLOOKUP(E17,[1]!Bookings[Booking Name],[1]!Bookings[Building])</f>
        <v>Tower A</v>
      </c>
      <c r="K17" s="2" t="str">
        <f>_xlfn.XLOOKUP(E17,[1]!Bookings[Booking Name],[1]!Bookings[Bedrooms])</f>
        <v>1 Bedroom</v>
      </c>
      <c r="L17" s="2" t="str">
        <f>_xlfn.XLOOKUP(E17,[1]!Bookings[Booking Name],[1]!Bookings[Unit No.])</f>
        <v>A2310</v>
      </c>
      <c r="M17" s="36" t="str">
        <f>_xlfn.XLOOKUP(E17,[1]!Bookings[Booking Name],[1]!Bookings[Inventory Unit Status])</f>
        <v>Blocked</v>
      </c>
      <c r="N17" s="2" t="str">
        <f>_xlfn.XLOOKUP(E17,[1]!Bookings[Booking Name],[1]!Bookings[Booking Status])</f>
        <v>Rejected</v>
      </c>
      <c r="O17" s="52" t="str">
        <f>_xlfn.XLOOKUP(E17,[1]!Bookings[Booking Name],[1]!Bookings[Customer Name])</f>
        <v>Andrey Serga</v>
      </c>
      <c r="P17" s="2" t="str">
        <f>_xlfn.XLOOKUP(E17,[1]!Bookings[Booking Name],[1]!Bookings[Nationality])</f>
        <v>Russia</v>
      </c>
      <c r="Q17" s="4">
        <f>_xlfn.XLOOKUP(E17,[1]!Bookings[Booking Name],[1]!Bookings[Discount Amount])</f>
        <v>0</v>
      </c>
      <c r="R17" s="27">
        <f>_xlfn.XLOOKUP(E17,[1]!Bookings[Booking Name],[1]!Bookings[Discount Percentage])</f>
        <v>0</v>
      </c>
      <c r="S17" s="4">
        <f>_xlfn.XLOOKUP(E17,[1]!Bookings[Booking Name],[1]!Bookings[Final Sale Value After Discount])</f>
        <v>1446000</v>
      </c>
      <c r="T17" s="4">
        <f>_xlfn.XLOOKUP(E17,[1]!Bookings[Booking Name],[1]!Bookings[Inv Final Sale Value])</f>
        <v>1446000</v>
      </c>
      <c r="U17" s="34" t="str">
        <f>_xlfn.XLOOKUP(E17,[1]!Bookings[Booking Name],[1]!Bookings[Sales])</f>
        <v>Vladyslav Parkhomchuk</v>
      </c>
      <c r="V17" s="2" t="str">
        <f>_xlfn.XLOOKUP(E17,[1]!Bookings[Booking Name],[1]!Bookings[Agency Name])</f>
        <v>Rich Property Real Estate Brokerages LLC</v>
      </c>
      <c r="W17" s="2" t="str">
        <f>_xlfn.XLOOKUP(E17,[1]!Bookings[Booking Name],[1]!Bookings[Booking ID])</f>
        <v>a03NM00000PS4bs</v>
      </c>
      <c r="X17" s="2" t="str">
        <f>_xlfn.XLOOKUP(E17,[1]!Bookings[Booking Name],[1]!Bookings[Oracle Id])</f>
        <v>-</v>
      </c>
      <c r="Y17" s="70"/>
      <c r="Z17" s="5" t="s">
        <v>25</v>
      </c>
      <c r="AA17" s="6">
        <v>0</v>
      </c>
      <c r="AB17" s="81" t="s">
        <v>26</v>
      </c>
      <c r="AC17" s="60" t="s">
        <v>93</v>
      </c>
      <c r="AD17" s="106" t="s">
        <v>433</v>
      </c>
      <c r="AE17" s="60" t="s">
        <v>93</v>
      </c>
      <c r="AF17" s="67" t="s">
        <v>139</v>
      </c>
    </row>
    <row r="18" spans="2:32" ht="50.25" customHeight="1" x14ac:dyDescent="0.3">
      <c r="B18" s="109" t="s">
        <v>230</v>
      </c>
      <c r="C18" s="2">
        <v>46050</v>
      </c>
      <c r="D18" s="2">
        <f>_xlfn.XLOOKUP(E18,[1]!Bookings[Booking Name],[1]!Bookings[Rejected Date])</f>
        <v>46051</v>
      </c>
      <c r="E18" s="109" t="s">
        <v>424</v>
      </c>
      <c r="F18" s="76" t="str">
        <f>_xlfn.XLOOKUP(E18,[1]!Bookings[Booking Name],[1]!Bookings[Booking Status])</f>
        <v>Rejected</v>
      </c>
      <c r="G18" s="2">
        <f>_xlfn.XLOOKUP(E18,[1]!Bookings[Booking Name],[1]!Bookings[Booking Date])</f>
        <v>46030</v>
      </c>
      <c r="H18" s="3">
        <f>_xlfn.XLOOKUP(E18,[1]!Bookings[Booking Name],[1]!Bookings[Booking Aging])</f>
        <v>29</v>
      </c>
      <c r="I18" s="2" t="str">
        <f>_xlfn.XLOOKUP(E18,[1]!Bookings[Booking Name],[1]!Bookings[Project Name])</f>
        <v>One Residence</v>
      </c>
      <c r="J18" s="2" t="str">
        <f>_xlfn.XLOOKUP(E18,[1]!Bookings[Booking Name],[1]!Bookings[Building])</f>
        <v>Tower 1</v>
      </c>
      <c r="K18" s="2" t="str">
        <f>_xlfn.XLOOKUP(E18,[1]!Bookings[Booking Name],[1]!Bookings[Bedrooms])</f>
        <v>1 BR</v>
      </c>
      <c r="L18" s="2" t="str">
        <f>_xlfn.XLOOKUP(E18,[1]!Bookings[Booking Name],[1]!Bookings[Unit No.])</f>
        <v>OR-406</v>
      </c>
      <c r="M18" s="36" t="str">
        <f>_xlfn.XLOOKUP(E18,[1]!Bookings[Booking Name],[1]!Bookings[Inventory Unit Status])</f>
        <v>Booked</v>
      </c>
      <c r="N18" s="2" t="str">
        <f>_xlfn.XLOOKUP(E18,[1]!Bookings[Booking Name],[1]!Bookings[Booking Status])</f>
        <v>Rejected</v>
      </c>
      <c r="O18" s="52" t="str">
        <f>_xlfn.XLOOKUP(E18,[1]!Bookings[Booking Name],[1]!Bookings[Customer Name])</f>
        <v>Saleh Naji Ali Gamil</v>
      </c>
      <c r="P18" s="2" t="str">
        <f>_xlfn.XLOOKUP(E18,[1]!Bookings[Booking Name],[1]!Bookings[Nationality])</f>
        <v>Yemen</v>
      </c>
      <c r="Q18" s="4">
        <f>_xlfn.XLOOKUP(E18,[1]!Bookings[Booking Name],[1]!Bookings[Discount Amount])</f>
        <v>0</v>
      </c>
      <c r="R18" s="27">
        <f>_xlfn.XLOOKUP(E18,[1]!Bookings[Booking Name],[1]!Bookings[Discount Percentage])</f>
        <v>0</v>
      </c>
      <c r="S18" s="4">
        <f>_xlfn.XLOOKUP(E18,[1]!Bookings[Booking Name],[1]!Bookings[Final Sale Value After Discount])</f>
        <v>1600000</v>
      </c>
      <c r="T18" s="4">
        <f>_xlfn.XLOOKUP(E18,[1]!Bookings[Booking Name],[1]!Bookings[Inv Final Sale Value])</f>
        <v>1600000</v>
      </c>
      <c r="U18" s="34" t="str">
        <f>_xlfn.XLOOKUP(E18,[1]!Bookings[Booking Name],[1]!Bookings[Sales])</f>
        <v>Mariam Shakuhi</v>
      </c>
      <c r="V18" s="2" t="str">
        <f>_xlfn.XLOOKUP(E18,[1]!Bookings[Booking Name],[1]!Bookings[Agency Name])</f>
        <v>ABC PROPERTIES BROKERAGE - SOLE PROPRIETORSHIP L.L.C</v>
      </c>
      <c r="W18" s="2" t="str">
        <f>_xlfn.XLOOKUP(E18,[1]!Bookings[Booking Name],[1]!Bookings[Booking ID])</f>
        <v>a03NM00000SjFVr</v>
      </c>
      <c r="X18" s="2" t="str">
        <f>_xlfn.XLOOKUP(E18,[1]!Bookings[Booking Name],[1]!Bookings[Oracle Id])</f>
        <v>-</v>
      </c>
      <c r="Y18" s="70"/>
      <c r="Z18" s="5" t="s">
        <v>25</v>
      </c>
      <c r="AA18" s="6">
        <v>0</v>
      </c>
      <c r="AB18" s="81" t="s">
        <v>26</v>
      </c>
      <c r="AC18" s="12" t="s">
        <v>430</v>
      </c>
      <c r="AD18" s="106" t="s">
        <v>432</v>
      </c>
      <c r="AE18" s="28" t="s">
        <v>87</v>
      </c>
      <c r="AF18" s="111" t="s">
        <v>431</v>
      </c>
    </row>
    <row r="19" spans="2:32" ht="50.25" customHeight="1" x14ac:dyDescent="0.3">
      <c r="B19" s="99" t="s">
        <v>230</v>
      </c>
      <c r="C19" s="2">
        <v>46050</v>
      </c>
      <c r="D19" s="2">
        <f>_xlfn.XLOOKUP(E19,[1]!Bookings[Booking Name],[1]!Bookings[Rejected Date])</f>
        <v>46050</v>
      </c>
      <c r="E19" s="98" t="s">
        <v>286</v>
      </c>
      <c r="F19" s="76" t="str">
        <f>_xlfn.XLOOKUP(E19,[1]!Bookings[Booking Name],[1]!Bookings[Booking Status])</f>
        <v>Rejected</v>
      </c>
      <c r="G19" s="2">
        <f>_xlfn.XLOOKUP(E19,[1]!Bookings[Booking Name],[1]!Bookings[Booking Date])</f>
        <v>46043</v>
      </c>
      <c r="H19" s="3">
        <f>_xlfn.XLOOKUP(E19,[1]!Bookings[Booking Name],[1]!Bookings[Booking Aging])</f>
        <v>16</v>
      </c>
      <c r="I19" s="2" t="str">
        <f>_xlfn.XLOOKUP(E19,[1]!Bookings[Booking Name],[1]!Bookings[Project Name])</f>
        <v>One Residence</v>
      </c>
      <c r="J19" s="2" t="str">
        <f>_xlfn.XLOOKUP(E19,[1]!Bookings[Booking Name],[1]!Bookings[Building])</f>
        <v>Tower 1</v>
      </c>
      <c r="K19" s="2" t="str">
        <f>_xlfn.XLOOKUP(E19,[1]!Bookings[Booking Name],[1]!Bookings[Bedrooms])</f>
        <v>2 BR</v>
      </c>
      <c r="L19" s="2" t="str">
        <f>_xlfn.XLOOKUP(E19,[1]!Bookings[Booking Name],[1]!Bookings[Unit No.])</f>
        <v>OR-407</v>
      </c>
      <c r="M19" s="36" t="str">
        <f>_xlfn.XLOOKUP(E19,[1]!Bookings[Booking Name],[1]!Bookings[Inventory Unit Status])</f>
        <v>Booked</v>
      </c>
      <c r="N19" s="2" t="str">
        <f>_xlfn.XLOOKUP(E19,[1]!Bookings[Booking Name],[1]!Bookings[Booking Status])</f>
        <v>Rejected</v>
      </c>
      <c r="O19" s="52" t="str">
        <f>_xlfn.XLOOKUP(E19,[1]!Bookings[Booking Name],[1]!Bookings[Customer Name])</f>
        <v>Wang GuiLian</v>
      </c>
      <c r="P19" s="2" t="str">
        <f>_xlfn.XLOOKUP(E19,[1]!Bookings[Booking Name],[1]!Bookings[Nationality])</f>
        <v>China</v>
      </c>
      <c r="Q19" s="4">
        <f>_xlfn.XLOOKUP(E19,[1]!Bookings[Booking Name],[1]!Bookings[Discount Amount])</f>
        <v>0</v>
      </c>
      <c r="R19" s="27">
        <f>_xlfn.XLOOKUP(E19,[1]!Bookings[Booking Name],[1]!Bookings[Discount Percentage])</f>
        <v>0</v>
      </c>
      <c r="S19" s="4">
        <f>_xlfn.XLOOKUP(E19,[1]!Bookings[Booking Name],[1]!Bookings[Final Sale Value After Discount])</f>
        <v>2404111</v>
      </c>
      <c r="T19" s="4">
        <f>_xlfn.XLOOKUP(E19,[1]!Bookings[Booking Name],[1]!Bookings[Inv Final Sale Value])</f>
        <v>2404111</v>
      </c>
      <c r="U19" s="34" t="str">
        <f>_xlfn.XLOOKUP(E19,[1]!Bookings[Booking Name],[1]!Bookings[Sales])</f>
        <v>Yang XI</v>
      </c>
      <c r="V19" s="2" t="str">
        <f>_xlfn.XLOOKUP(E19,[1]!Bookings[Booking Name],[1]!Bookings[Agency Name])</f>
        <v>WEALTH KEY REAL ESTATE L.L.C</v>
      </c>
      <c r="W19" s="2" t="str">
        <f>_xlfn.XLOOKUP(E19,[1]!Bookings[Booking Name],[1]!Bookings[Booking ID])</f>
        <v>a03NM00000Tz8ej</v>
      </c>
      <c r="X19" s="2" t="str">
        <f>_xlfn.XLOOKUP(E19,[1]!Bookings[Booking Name],[1]!Bookings[Oracle Id])</f>
        <v>-</v>
      </c>
      <c r="Y19" s="70"/>
      <c r="Z19" s="5" t="s">
        <v>25</v>
      </c>
      <c r="AA19" s="6">
        <v>0</v>
      </c>
      <c r="AB19" s="81" t="s">
        <v>26</v>
      </c>
      <c r="AC19" s="12" t="s">
        <v>287</v>
      </c>
      <c r="AD19" s="14" t="s">
        <v>292</v>
      </c>
      <c r="AE19" s="104" t="s">
        <v>32</v>
      </c>
      <c r="AF19" s="29" t="s">
        <v>97</v>
      </c>
    </row>
    <row r="20" spans="2:32" ht="50.25" customHeight="1" x14ac:dyDescent="0.3">
      <c r="B20" s="99" t="s">
        <v>230</v>
      </c>
      <c r="C20" s="2">
        <v>46049</v>
      </c>
      <c r="D20" s="2">
        <f>_xlfn.XLOOKUP(E20,[1]!Bookings[Booking Name],[1]!Bookings[Rejected Date])</f>
        <v>46050</v>
      </c>
      <c r="E20" s="98" t="s">
        <v>285</v>
      </c>
      <c r="F20" s="76" t="str">
        <f>_xlfn.XLOOKUP(E20,[1]!Bookings[Booking Name],[1]!Bookings[Booking Status])</f>
        <v>Rejected</v>
      </c>
      <c r="G20" s="2">
        <f>_xlfn.XLOOKUP(E20,[1]!Bookings[Booking Name],[1]!Bookings[Booking Date])</f>
        <v>46034</v>
      </c>
      <c r="H20" s="3">
        <f>_xlfn.XLOOKUP(E20,[1]!Bookings[Booking Name],[1]!Bookings[Booking Aging])</f>
        <v>25</v>
      </c>
      <c r="I20" s="2" t="str">
        <f>_xlfn.XLOOKUP(E20,[1]!Bookings[Booking Name],[1]!Bookings[Project Name])</f>
        <v>One Residence</v>
      </c>
      <c r="J20" s="2" t="str">
        <f>_xlfn.XLOOKUP(E20,[1]!Bookings[Booking Name],[1]!Bookings[Building])</f>
        <v>Tower 1</v>
      </c>
      <c r="K20" s="2" t="str">
        <f>_xlfn.XLOOKUP(E20,[1]!Bookings[Booking Name],[1]!Bookings[Bedrooms])</f>
        <v>2 BR</v>
      </c>
      <c r="L20" s="2" t="str">
        <f>_xlfn.XLOOKUP(E20,[1]!Bookings[Booking Name],[1]!Bookings[Unit No.])</f>
        <v>OR-1404</v>
      </c>
      <c r="M20" s="36" t="str">
        <f>_xlfn.XLOOKUP(E20,[1]!Bookings[Booking Name],[1]!Bookings[Inventory Unit Status])</f>
        <v>Booked</v>
      </c>
      <c r="N20" s="2" t="str">
        <f>_xlfn.XLOOKUP(E20,[1]!Bookings[Booking Name],[1]!Bookings[Booking Status])</f>
        <v>Rejected</v>
      </c>
      <c r="O20" s="52" t="str">
        <f>_xlfn.XLOOKUP(E20,[1]!Bookings[Booking Name],[1]!Bookings[Customer Name])</f>
        <v>Vrushali Subhash Desai Subhash Atmaram Desai</v>
      </c>
      <c r="P20" s="2" t="str">
        <f>_xlfn.XLOOKUP(E20,[1]!Bookings[Booking Name],[1]!Bookings[Nationality])</f>
        <v>India</v>
      </c>
      <c r="Q20" s="4">
        <f>_xlfn.XLOOKUP(E20,[1]!Bookings[Booking Name],[1]!Bookings[Discount Amount])</f>
        <v>10000</v>
      </c>
      <c r="R20" s="27">
        <f>_xlfn.XLOOKUP(E20,[1]!Bookings[Booking Name],[1]!Bookings[Discount Percentage])</f>
        <v>4.0816326530612249E-3</v>
      </c>
      <c r="S20" s="4">
        <f>_xlfn.XLOOKUP(E20,[1]!Bookings[Booking Name],[1]!Bookings[Final Sale Value After Discount])</f>
        <v>2440000</v>
      </c>
      <c r="T20" s="4">
        <f>_xlfn.XLOOKUP(E20,[1]!Bookings[Booking Name],[1]!Bookings[Inv Final Sale Value])</f>
        <v>2450000</v>
      </c>
      <c r="U20" s="34" t="str">
        <f>_xlfn.XLOOKUP(E20,[1]!Bookings[Booking Name],[1]!Bookings[Sales])</f>
        <v>Amr Abdelghafar</v>
      </c>
      <c r="V20" s="2" t="str">
        <f>_xlfn.XLOOKUP(E20,[1]!Bookings[Booking Name],[1]!Bookings[Agency Name])</f>
        <v>PARKER PREMIER REAL  ESTATE L.L.C.</v>
      </c>
      <c r="W20" s="2" t="str">
        <f>_xlfn.XLOOKUP(E20,[1]!Bookings[Booking Name],[1]!Bookings[Booking ID])</f>
        <v>a03NM00000T48MW</v>
      </c>
      <c r="X20" s="2" t="str">
        <f>_xlfn.XLOOKUP(E20,[1]!Bookings[Booking Name],[1]!Bookings[Oracle Id])</f>
        <v>-</v>
      </c>
      <c r="Y20" s="70"/>
      <c r="Z20" s="5" t="s">
        <v>25</v>
      </c>
      <c r="AA20" s="6">
        <v>0</v>
      </c>
      <c r="AB20" s="81" t="s">
        <v>26</v>
      </c>
      <c r="AC20" s="12" t="s">
        <v>288</v>
      </c>
      <c r="AD20" s="106" t="s">
        <v>331</v>
      </c>
      <c r="AE20" s="104" t="s">
        <v>290</v>
      </c>
      <c r="AF20" s="104" t="s">
        <v>290</v>
      </c>
    </row>
    <row r="21" spans="2:32" ht="50.25" customHeight="1" x14ac:dyDescent="0.3">
      <c r="B21" s="99" t="s">
        <v>230</v>
      </c>
      <c r="C21" s="2">
        <v>46049</v>
      </c>
      <c r="D21" s="2">
        <f>_xlfn.XLOOKUP(E21,[1]!Bookings[Booking Name],[1]!Bookings[Rejected Date])</f>
        <v>46049</v>
      </c>
      <c r="E21" s="98" t="s">
        <v>281</v>
      </c>
      <c r="F21" s="76" t="str">
        <f>_xlfn.XLOOKUP(E21,[1]!Bookings[Booking Name],[1]!Bookings[Booking Status])</f>
        <v>Rejected</v>
      </c>
      <c r="G21" s="2">
        <f>_xlfn.XLOOKUP(E21,[1]!Bookings[Booking Name],[1]!Bookings[Booking Date])</f>
        <v>46044</v>
      </c>
      <c r="H21" s="3">
        <f>_xlfn.XLOOKUP(E21,[1]!Bookings[Booking Name],[1]!Bookings[Booking Aging])</f>
        <v>15</v>
      </c>
      <c r="I21" s="2" t="str">
        <f>_xlfn.XLOOKUP(E21,[1]!Bookings[Booking Name],[1]!Bookings[Project Name])</f>
        <v>Laguna Residence</v>
      </c>
      <c r="J21" s="2" t="str">
        <f>_xlfn.XLOOKUP(E21,[1]!Bookings[Booking Name],[1]!Bookings[Building])</f>
        <v>Tower B</v>
      </c>
      <c r="K21" s="2" t="str">
        <f>_xlfn.XLOOKUP(E21,[1]!Bookings[Booking Name],[1]!Bookings[Bedrooms])</f>
        <v>Studio</v>
      </c>
      <c r="L21" s="2" t="str">
        <f>_xlfn.XLOOKUP(E21,[1]!Bookings[Booking Name],[1]!Bookings[Unit No.])</f>
        <v>B512</v>
      </c>
      <c r="M21" s="36" t="str">
        <f>_xlfn.XLOOKUP(E21,[1]!Bookings[Booking Name],[1]!Bookings[Inventory Unit Status])</f>
        <v>Blocked</v>
      </c>
      <c r="N21" s="2" t="str">
        <f>_xlfn.XLOOKUP(E21,[1]!Bookings[Booking Name],[1]!Bookings[Booking Status])</f>
        <v>Rejected</v>
      </c>
      <c r="O21" s="52" t="str">
        <f>_xlfn.XLOOKUP(E21,[1]!Bookings[Booking Name],[1]!Bookings[Customer Name])</f>
        <v>Elsheikh Mohammed Ahmed Wageealla</v>
      </c>
      <c r="P21" s="2" t="str">
        <f>_xlfn.XLOOKUP(E21,[1]!Bookings[Booking Name],[1]!Bookings[Nationality])</f>
        <v>Sudan</v>
      </c>
      <c r="Q21" s="4">
        <f>_xlfn.XLOOKUP(E21,[1]!Bookings[Booking Name],[1]!Bookings[Discount Amount])</f>
        <v>40350</v>
      </c>
      <c r="R21" s="27">
        <f>_xlfn.XLOOKUP(E21,[1]!Bookings[Booking Name],[1]!Bookings[Discount Percentage])</f>
        <v>0.05</v>
      </c>
      <c r="S21" s="4">
        <f>_xlfn.XLOOKUP(E21,[1]!Bookings[Booking Name],[1]!Bookings[Final Sale Value After Discount])</f>
        <v>766650</v>
      </c>
      <c r="T21" s="4">
        <f>_xlfn.XLOOKUP(E21,[1]!Bookings[Booking Name],[1]!Bookings[Inv Final Sale Value])</f>
        <v>807000</v>
      </c>
      <c r="U21" s="34" t="str">
        <f>_xlfn.XLOOKUP(E21,[1]!Bookings[Booking Name],[1]!Bookings[Sales])</f>
        <v>Feraz Mohamed</v>
      </c>
      <c r="V21" s="2" t="str">
        <f>_xlfn.XLOOKUP(E21,[1]!Bookings[Booking Name],[1]!Bookings[Agency Name])</f>
        <v>Metropolitan Capital Real Estate - Sole proprietorship LLC</v>
      </c>
      <c r="W21" s="2" t="str">
        <f>_xlfn.XLOOKUP(E21,[1]!Bookings[Booking Name],[1]!Bookings[Booking ID])</f>
        <v>a03NM00000U532a</v>
      </c>
      <c r="X21" s="2" t="str">
        <f>_xlfn.XLOOKUP(E21,[1]!Bookings[Booking Name],[1]!Bookings[Oracle Id])</f>
        <v>-</v>
      </c>
      <c r="Y21" s="70"/>
      <c r="Z21" s="5" t="s">
        <v>25</v>
      </c>
      <c r="AA21" s="6">
        <v>0</v>
      </c>
      <c r="AB21" s="110" t="s">
        <v>31</v>
      </c>
      <c r="AC21" s="12" t="s">
        <v>283</v>
      </c>
      <c r="AD21" s="106" t="s">
        <v>332</v>
      </c>
      <c r="AE21" s="60" t="s">
        <v>88</v>
      </c>
      <c r="AF21" s="100" t="s">
        <v>284</v>
      </c>
    </row>
    <row r="22" spans="2:32" ht="50.25" customHeight="1" x14ac:dyDescent="0.3">
      <c r="B22" s="98" t="s">
        <v>230</v>
      </c>
      <c r="C22" s="2">
        <v>46049</v>
      </c>
      <c r="D22" s="2">
        <f>_xlfn.XLOOKUP(E22,[1]!Bookings[Booking Name],[1]!Bookings[Rejected Date])</f>
        <v>46049</v>
      </c>
      <c r="E22" s="97" t="s">
        <v>280</v>
      </c>
      <c r="F22" s="76" t="str">
        <f>_xlfn.XLOOKUP(E22,[1]!Bookings[Booking Name],[1]!Bookings[Booking Status])</f>
        <v>Rejected</v>
      </c>
      <c r="G22" s="2">
        <f>_xlfn.XLOOKUP(E22,[1]!Bookings[Booking Name],[1]!Bookings[Booking Date])</f>
        <v>46031</v>
      </c>
      <c r="H22" s="3">
        <f>_xlfn.XLOOKUP(E22,[1]!Bookings[Booking Name],[1]!Bookings[Booking Aging])</f>
        <v>28</v>
      </c>
      <c r="I22" s="2" t="str">
        <f>_xlfn.XLOOKUP(E22,[1]!Bookings[Booking Name],[1]!Bookings[Project Name])</f>
        <v>One Residence</v>
      </c>
      <c r="J22" s="2" t="str">
        <f>_xlfn.XLOOKUP(E22,[1]!Bookings[Booking Name],[1]!Bookings[Building])</f>
        <v>Tower 1</v>
      </c>
      <c r="K22" s="2" t="str">
        <f>_xlfn.XLOOKUP(E22,[1]!Bookings[Booking Name],[1]!Bookings[Bedrooms])</f>
        <v>2 BR</v>
      </c>
      <c r="L22" s="2" t="str">
        <f>_xlfn.XLOOKUP(E22,[1]!Bookings[Booking Name],[1]!Bookings[Unit No.])</f>
        <v>OR-1606</v>
      </c>
      <c r="M22" s="36" t="str">
        <f>_xlfn.XLOOKUP(E22,[1]!Bookings[Booking Name],[1]!Bookings[Inventory Unit Status])</f>
        <v>Booked</v>
      </c>
      <c r="N22" s="2" t="str">
        <f>_xlfn.XLOOKUP(E22,[1]!Bookings[Booking Name],[1]!Bookings[Booking Status])</f>
        <v>Rejected</v>
      </c>
      <c r="O22" s="52" t="str">
        <f>_xlfn.XLOOKUP(E22,[1]!Bookings[Booking Name],[1]!Bookings[Customer Name])</f>
        <v>Guy Ghosn</v>
      </c>
      <c r="P22" s="2" t="str">
        <f>_xlfn.XLOOKUP(E22,[1]!Bookings[Booking Name],[1]!Bookings[Nationality])</f>
        <v>Lebanon</v>
      </c>
      <c r="Q22" s="4">
        <f>_xlfn.XLOOKUP(E22,[1]!Bookings[Booking Name],[1]!Bookings[Discount Amount])</f>
        <v>0</v>
      </c>
      <c r="R22" s="27">
        <f>_xlfn.XLOOKUP(E22,[1]!Bookings[Booking Name],[1]!Bookings[Discount Percentage])</f>
        <v>0</v>
      </c>
      <c r="S22" s="4">
        <f>_xlfn.XLOOKUP(E22,[1]!Bookings[Booking Name],[1]!Bookings[Final Sale Value After Discount])</f>
        <v>2550000</v>
      </c>
      <c r="T22" s="4">
        <f>_xlfn.XLOOKUP(E22,[1]!Bookings[Booking Name],[1]!Bookings[Inv Final Sale Value])</f>
        <v>2550000</v>
      </c>
      <c r="U22" s="34" t="str">
        <f>_xlfn.XLOOKUP(E22,[1]!Bookings[Booking Name],[1]!Bookings[Sales])</f>
        <v>Hossam Mostafa</v>
      </c>
      <c r="V22" s="2" t="str">
        <f>_xlfn.XLOOKUP(E22,[1]!Bookings[Booking Name],[1]!Bookings[Agency Name])</f>
        <v>TOP OF THE TOP PROPERTIES  LLC - SPC</v>
      </c>
      <c r="W22" s="2" t="str">
        <f>_xlfn.XLOOKUP(E22,[1]!Bookings[Booking Name],[1]!Bookings[Booking ID])</f>
        <v>a03NM00000Sp3v3</v>
      </c>
      <c r="X22" s="2" t="str">
        <f>_xlfn.XLOOKUP(E22,[1]!Bookings[Booking Name],[1]!Bookings[Oracle Id])</f>
        <v>-</v>
      </c>
      <c r="Y22" s="70"/>
      <c r="Z22" s="5" t="s">
        <v>25</v>
      </c>
      <c r="AA22" s="6">
        <v>0</v>
      </c>
      <c r="AB22" s="81" t="s">
        <v>26</v>
      </c>
      <c r="AC22" s="104" t="s">
        <v>289</v>
      </c>
      <c r="AD22" s="14" t="s">
        <v>333</v>
      </c>
      <c r="AE22" s="95" t="s">
        <v>276</v>
      </c>
      <c r="AF22" s="12" t="s">
        <v>282</v>
      </c>
    </row>
    <row r="23" spans="2:32" ht="50.25" customHeight="1" x14ac:dyDescent="0.3">
      <c r="B23" s="97" t="s">
        <v>230</v>
      </c>
      <c r="C23" s="2">
        <v>46048</v>
      </c>
      <c r="D23" s="2">
        <f>_xlfn.XLOOKUP(E23,[1]!Bookings[Booking Name],[1]!Bookings[Rejected Date])</f>
        <v>46049</v>
      </c>
      <c r="E23" s="97" t="s">
        <v>279</v>
      </c>
      <c r="F23" s="76" t="str">
        <f>_xlfn.XLOOKUP(E23,[1]!Bookings[Booking Name],[1]!Bookings[Booking Status])</f>
        <v>Rejected</v>
      </c>
      <c r="G23" s="2">
        <f>_xlfn.XLOOKUP(E23,[1]!Bookings[Booking Name],[1]!Bookings[Booking Date])</f>
        <v>46045</v>
      </c>
      <c r="H23" s="3">
        <f>_xlfn.XLOOKUP(E23,[1]!Bookings[Booking Name],[1]!Bookings[Booking Aging])</f>
        <v>14</v>
      </c>
      <c r="I23" s="2" t="str">
        <f>_xlfn.XLOOKUP(E23,[1]!Bookings[Booking Name],[1]!Bookings[Project Name])</f>
        <v>One Residence</v>
      </c>
      <c r="J23" s="2" t="str">
        <f>_xlfn.XLOOKUP(E23,[1]!Bookings[Booking Name],[1]!Bookings[Building])</f>
        <v>Tower 1</v>
      </c>
      <c r="K23" s="2" t="str">
        <f>_xlfn.XLOOKUP(E23,[1]!Bookings[Booking Name],[1]!Bookings[Bedrooms])</f>
        <v>2 BR</v>
      </c>
      <c r="L23" s="2" t="str">
        <f>_xlfn.XLOOKUP(E23,[1]!Bookings[Booking Name],[1]!Bookings[Unit No.])</f>
        <v>OR-2507</v>
      </c>
      <c r="M23" s="36" t="str">
        <f>_xlfn.XLOOKUP(E23,[1]!Bookings[Booking Name],[1]!Bookings[Inventory Unit Status])</f>
        <v>Booked</v>
      </c>
      <c r="N23" s="2" t="str">
        <f>_xlfn.XLOOKUP(E23,[1]!Bookings[Booking Name],[1]!Bookings[Booking Status])</f>
        <v>Rejected</v>
      </c>
      <c r="O23" s="52" t="str">
        <f>_xlfn.XLOOKUP(E23,[1]!Bookings[Booking Name],[1]!Bookings[Customer Name])</f>
        <v>JOEBEN TAI</v>
      </c>
      <c r="P23" s="2" t="str">
        <f>_xlfn.XLOOKUP(E23,[1]!Bookings[Booking Name],[1]!Bookings[Nationality])</f>
        <v>Philippines</v>
      </c>
      <c r="Q23" s="4">
        <f>_xlfn.XLOOKUP(E23,[1]!Bookings[Booking Name],[1]!Bookings[Discount Amount])</f>
        <v>49422</v>
      </c>
      <c r="R23" s="27">
        <f>_xlfn.XLOOKUP(E23,[1]!Bookings[Booking Name],[1]!Bookings[Discount Percentage])</f>
        <v>1.960775756556252E-2</v>
      </c>
      <c r="S23" s="4">
        <f>_xlfn.XLOOKUP(E23,[1]!Bookings[Booking Name],[1]!Bookings[Final Sale Value After Discount])</f>
        <v>2471111</v>
      </c>
      <c r="T23" s="4">
        <f>_xlfn.XLOOKUP(E23,[1]!Bookings[Booking Name],[1]!Bookings[Inv Final Sale Value])</f>
        <v>2520533</v>
      </c>
      <c r="U23" s="34" t="str">
        <f>_xlfn.XLOOKUP(E23,[1]!Bookings[Booking Name],[1]!Bookings[Sales])</f>
        <v>Tanveer Ansari</v>
      </c>
      <c r="V23" s="2" t="str">
        <f>_xlfn.XLOOKUP(E23,[1]!Bookings[Booking Name],[1]!Bookings[Agency Name])</f>
        <v>NOVA VISION REAL ESTATE L.L.C</v>
      </c>
      <c r="W23" s="2" t="str">
        <f>_xlfn.XLOOKUP(E23,[1]!Bookings[Booking Name],[1]!Bookings[Booking ID])</f>
        <v>a03NM00000UELMh</v>
      </c>
      <c r="X23" s="2" t="str">
        <f>_xlfn.XLOOKUP(E23,[1]!Bookings[Booking Name],[1]!Bookings[Oracle Id])</f>
        <v>-</v>
      </c>
      <c r="Y23" s="70"/>
      <c r="Z23" s="5" t="s">
        <v>25</v>
      </c>
      <c r="AA23" s="6">
        <v>0</v>
      </c>
      <c r="AB23" s="81" t="s">
        <v>26</v>
      </c>
      <c r="AC23" s="12" t="s">
        <v>191</v>
      </c>
      <c r="AD23" s="106" t="s">
        <v>330</v>
      </c>
      <c r="AE23" s="83" t="s">
        <v>246</v>
      </c>
      <c r="AF23" s="83" t="s">
        <v>246</v>
      </c>
    </row>
    <row r="24" spans="2:32" ht="50.25" customHeight="1" x14ac:dyDescent="0.3">
      <c r="B24" s="96" t="s">
        <v>230</v>
      </c>
      <c r="C24" s="2">
        <v>46048</v>
      </c>
      <c r="D24" s="2">
        <f>_xlfn.XLOOKUP(E24,[1]!Bookings[Booking Name],[1]!Bookings[Rejected Date])</f>
        <v>46048</v>
      </c>
      <c r="E24" s="96" t="s">
        <v>278</v>
      </c>
      <c r="F24" s="76" t="str">
        <f>_xlfn.XLOOKUP(E24,[1]!Bookings[Booking Name],[1]!Bookings[Booking Status])</f>
        <v>Rejected</v>
      </c>
      <c r="G24" s="2">
        <f>_xlfn.XLOOKUP(E24,[1]!Bookings[Booking Name],[1]!Bookings[Booking Date])</f>
        <v>46045</v>
      </c>
      <c r="H24" s="3">
        <f>_xlfn.XLOOKUP(E24,[1]!Bookings[Booking Name],[1]!Bookings[Booking Aging])</f>
        <v>14</v>
      </c>
      <c r="I24" s="2" t="str">
        <f>_xlfn.XLOOKUP(E24,[1]!Bookings[Booking Name],[1]!Bookings[Project Name])</f>
        <v>One Residence</v>
      </c>
      <c r="J24" s="2" t="str">
        <f>_xlfn.XLOOKUP(E24,[1]!Bookings[Booking Name],[1]!Bookings[Building])</f>
        <v>Tower 1</v>
      </c>
      <c r="K24" s="2" t="str">
        <f>_xlfn.XLOOKUP(E24,[1]!Bookings[Booking Name],[1]!Bookings[Bedrooms])</f>
        <v>2 BR</v>
      </c>
      <c r="L24" s="2" t="str">
        <f>_xlfn.XLOOKUP(E24,[1]!Bookings[Booking Name],[1]!Bookings[Unit No.])</f>
        <v>OR-1301</v>
      </c>
      <c r="M24" s="36" t="str">
        <f>_xlfn.XLOOKUP(E24,[1]!Bookings[Booking Name],[1]!Bookings[Inventory Unit Status])</f>
        <v>Booked</v>
      </c>
      <c r="N24" s="2" t="str">
        <f>_xlfn.XLOOKUP(E24,[1]!Bookings[Booking Name],[1]!Bookings[Booking Status])</f>
        <v>Rejected</v>
      </c>
      <c r="O24" s="52" t="str">
        <f>_xlfn.XLOOKUP(E24,[1]!Bookings[Booking Name],[1]!Bookings[Customer Name])</f>
        <v>AHMED GAMAL AHMED SAYED ABDELHADY</v>
      </c>
      <c r="P24" s="2" t="str">
        <f>_xlfn.XLOOKUP(E24,[1]!Bookings[Booking Name],[1]!Bookings[Nationality])</f>
        <v>Egypt</v>
      </c>
      <c r="Q24" s="4">
        <f>_xlfn.XLOOKUP(E24,[1]!Bookings[Booking Name],[1]!Bookings[Discount Amount])</f>
        <v>54142</v>
      </c>
      <c r="R24" s="27">
        <f>_xlfn.XLOOKUP(E24,[1]!Bookings[Booking Name],[1]!Bookings[Discount Percentage])</f>
        <v>1.9607765025515589E-2</v>
      </c>
      <c r="S24" s="4">
        <f>_xlfn.XLOOKUP(E24,[1]!Bookings[Booking Name],[1]!Bookings[Final Sale Value After Discount])</f>
        <v>2707111</v>
      </c>
      <c r="T24" s="4">
        <f>_xlfn.XLOOKUP(E24,[1]!Bookings[Booking Name],[1]!Bookings[Inv Final Sale Value])</f>
        <v>2761253</v>
      </c>
      <c r="U24" s="34" t="str">
        <f>_xlfn.XLOOKUP(E24,[1]!Bookings[Booking Name],[1]!Bookings[Sales])</f>
        <v>Feraz Mohamed</v>
      </c>
      <c r="V24" s="2" t="str">
        <f>_xlfn.XLOOKUP(E24,[1]!Bookings[Booking Name],[1]!Bookings[Agency Name])</f>
        <v>KINGS EDITION REAL ESTATE L.L.C</v>
      </c>
      <c r="W24" s="2" t="str">
        <f>_xlfn.XLOOKUP(E24,[1]!Bookings[Booking Name],[1]!Bookings[Booking ID])</f>
        <v>a03NM00000UDg9u</v>
      </c>
      <c r="X24" s="2" t="str">
        <f>_xlfn.XLOOKUP(E24,[1]!Bookings[Booking Name],[1]!Bookings[Oracle Id])</f>
        <v>-</v>
      </c>
      <c r="Y24" s="70"/>
      <c r="Z24" s="5" t="s">
        <v>25</v>
      </c>
      <c r="AA24" s="6">
        <v>0</v>
      </c>
      <c r="AB24" s="81" t="s">
        <v>26</v>
      </c>
      <c r="AC24" s="12" t="s">
        <v>191</v>
      </c>
      <c r="AD24" s="106" t="s">
        <v>334</v>
      </c>
      <c r="AE24" s="83" t="s">
        <v>246</v>
      </c>
      <c r="AF24" s="83" t="s">
        <v>246</v>
      </c>
    </row>
    <row r="25" spans="2:32" ht="50.25" customHeight="1" x14ac:dyDescent="0.3">
      <c r="B25" s="91" t="s">
        <v>230</v>
      </c>
      <c r="C25" s="2">
        <v>46044</v>
      </c>
      <c r="D25" s="2">
        <f>_xlfn.XLOOKUP(E25,[1]!Bookings[Booking Name],[1]!Bookings[Rejected Date])</f>
        <v>46044</v>
      </c>
      <c r="E25" s="94" t="s">
        <v>275</v>
      </c>
      <c r="F25" s="76" t="str">
        <f>_xlfn.XLOOKUP(E25,[1]!Bookings[Booking Name],[1]!Bookings[Booking Status])</f>
        <v>Rejected</v>
      </c>
      <c r="G25" s="2">
        <f>_xlfn.XLOOKUP(E25,[1]!Bookings[Booking Name],[1]!Bookings[Booking Date])</f>
        <v>46029</v>
      </c>
      <c r="H25" s="3">
        <f>_xlfn.XLOOKUP(E25,[1]!Bookings[Booking Name],[1]!Bookings[Booking Aging])</f>
        <v>30</v>
      </c>
      <c r="I25" s="2" t="str">
        <f>_xlfn.XLOOKUP(E25,[1]!Bookings[Booking Name],[1]!Bookings[Project Name])</f>
        <v>One Residence</v>
      </c>
      <c r="J25" s="2" t="str">
        <f>_xlfn.XLOOKUP(E25,[1]!Bookings[Booking Name],[1]!Bookings[Building])</f>
        <v>Tower 1</v>
      </c>
      <c r="K25" s="2" t="str">
        <f>_xlfn.XLOOKUP(E25,[1]!Bookings[Booking Name],[1]!Bookings[Bedrooms])</f>
        <v>1 BR</v>
      </c>
      <c r="L25" s="2" t="str">
        <f>_xlfn.XLOOKUP(E25,[1]!Bookings[Booking Name],[1]!Bookings[Unit No.])</f>
        <v>OR-603</v>
      </c>
      <c r="M25" s="36" t="str">
        <f>_xlfn.XLOOKUP(E25,[1]!Bookings[Booking Name],[1]!Bookings[Inventory Unit Status])</f>
        <v>Booked</v>
      </c>
      <c r="N25" s="2" t="str">
        <f>_xlfn.XLOOKUP(E25,[1]!Bookings[Booking Name],[1]!Bookings[Booking Status])</f>
        <v>Rejected</v>
      </c>
      <c r="O25" s="52" t="str">
        <f>_xlfn.XLOOKUP(E25,[1]!Bookings[Booking Name],[1]!Bookings[Customer Name])</f>
        <v>Carlos Augusto Castro</v>
      </c>
      <c r="P25" s="2" t="str">
        <f>_xlfn.XLOOKUP(E25,[1]!Bookings[Booking Name],[1]!Bookings[Nationality])</f>
        <v>United Arab Emirates</v>
      </c>
      <c r="Q25" s="4">
        <f>_xlfn.XLOOKUP(E25,[1]!Bookings[Booking Name],[1]!Bookings[Discount Amount])</f>
        <v>11626</v>
      </c>
      <c r="R25" s="27">
        <f>_xlfn.XLOOKUP(E25,[1]!Bookings[Booking Name],[1]!Bookings[Discount Percentage])</f>
        <v>7.2662500000000001E-3</v>
      </c>
      <c r="S25" s="4">
        <f>_xlfn.XLOOKUP(E25,[1]!Bookings[Booking Name],[1]!Bookings[Final Sale Value After Discount])</f>
        <v>1588374</v>
      </c>
      <c r="T25" s="4">
        <f>_xlfn.XLOOKUP(E25,[1]!Bookings[Booking Name],[1]!Bookings[Inv Final Sale Value])</f>
        <v>1600000</v>
      </c>
      <c r="U25" s="34" t="str">
        <f>_xlfn.XLOOKUP(E25,[1]!Bookings[Booking Name],[1]!Bookings[Sales])</f>
        <v>Keana Nagtalon</v>
      </c>
      <c r="V25" s="2" t="str">
        <f>_xlfn.XLOOKUP(E25,[1]!Bookings[Booking Name],[1]!Bookings[Agency Name])</f>
        <v>Property Shop Investment LLC</v>
      </c>
      <c r="W25" s="2" t="str">
        <f>_xlfn.XLOOKUP(E25,[1]!Bookings[Booking Name],[1]!Bookings[Booking ID])</f>
        <v>a03NM00000SfMyv</v>
      </c>
      <c r="X25" s="2" t="str">
        <f>_xlfn.XLOOKUP(E25,[1]!Bookings[Booking Name],[1]!Bookings[Oracle Id])</f>
        <v>-</v>
      </c>
      <c r="Y25" s="70"/>
      <c r="Z25" s="5" t="s">
        <v>25</v>
      </c>
      <c r="AA25" s="6">
        <v>0</v>
      </c>
      <c r="AB25" s="81" t="s">
        <v>26</v>
      </c>
      <c r="AC25" s="12" t="s">
        <v>426</v>
      </c>
      <c r="AD25" s="106" t="s">
        <v>335</v>
      </c>
      <c r="AE25" s="60" t="s">
        <v>32</v>
      </c>
      <c r="AF25" s="29" t="s">
        <v>97</v>
      </c>
    </row>
    <row r="26" spans="2:32" ht="50.25" customHeight="1" x14ac:dyDescent="0.3">
      <c r="B26" s="91" t="s">
        <v>230</v>
      </c>
      <c r="C26" s="2">
        <v>46044</v>
      </c>
      <c r="D26" s="2">
        <f>_xlfn.XLOOKUP(E26,[1]!Bookings[Booking Name],[1]!Bookings[Rejected Date])</f>
        <v>46044</v>
      </c>
      <c r="E26" s="94" t="s">
        <v>274</v>
      </c>
      <c r="F26" s="76" t="str">
        <f>_xlfn.XLOOKUP(E26,[1]!Bookings[Booking Name],[1]!Bookings[Booking Status])</f>
        <v>Rejected</v>
      </c>
      <c r="G26" s="2">
        <f>_xlfn.XLOOKUP(E26,[1]!Bookings[Booking Name],[1]!Bookings[Booking Date])</f>
        <v>46043</v>
      </c>
      <c r="H26" s="3">
        <f>_xlfn.XLOOKUP(E26,[1]!Bookings[Booking Name],[1]!Bookings[Booking Aging])</f>
        <v>16</v>
      </c>
      <c r="I26" s="2" t="str">
        <f>_xlfn.XLOOKUP(E26,[1]!Bookings[Booking Name],[1]!Bookings[Project Name])</f>
        <v>One Residence</v>
      </c>
      <c r="J26" s="2" t="str">
        <f>_xlfn.XLOOKUP(E26,[1]!Bookings[Booking Name],[1]!Bookings[Building])</f>
        <v>Tower 1</v>
      </c>
      <c r="K26" s="2" t="str">
        <f>_xlfn.XLOOKUP(E26,[1]!Bookings[Booking Name],[1]!Bookings[Bedrooms])</f>
        <v>1 BR</v>
      </c>
      <c r="L26" s="2" t="str">
        <f>_xlfn.XLOOKUP(E26,[1]!Bookings[Booking Name],[1]!Bookings[Unit No.])</f>
        <v>OR-808</v>
      </c>
      <c r="M26" s="36" t="str">
        <f>_xlfn.XLOOKUP(E26,[1]!Bookings[Booking Name],[1]!Bookings[Inventory Unit Status])</f>
        <v>Booked</v>
      </c>
      <c r="N26" s="2" t="str">
        <f>_xlfn.XLOOKUP(E26,[1]!Bookings[Booking Name],[1]!Bookings[Booking Status])</f>
        <v>Rejected</v>
      </c>
      <c r="O26" s="52" t="str">
        <f>_xlfn.XLOOKUP(E26,[1]!Bookings[Booking Name],[1]!Bookings[Customer Name])</f>
        <v>REDA AYOUBI</v>
      </c>
      <c r="P26" s="2" t="str">
        <f>_xlfn.XLOOKUP(E26,[1]!Bookings[Booking Name],[1]!Bookings[Nationality])</f>
        <v>United States of America</v>
      </c>
      <c r="Q26" s="4">
        <f>_xlfn.XLOOKUP(E26,[1]!Bookings[Booking Name],[1]!Bookings[Discount Amount])</f>
        <v>-50000</v>
      </c>
      <c r="R26" s="27">
        <f>_xlfn.XLOOKUP(E26,[1]!Bookings[Booking Name],[1]!Bookings[Discount Percentage])</f>
        <v>-3.0674846625766871E-2</v>
      </c>
      <c r="S26" s="4">
        <f>_xlfn.XLOOKUP(E26,[1]!Bookings[Booking Name],[1]!Bookings[Final Sale Value After Discount])</f>
        <v>1680000</v>
      </c>
      <c r="T26" s="4">
        <f>_xlfn.XLOOKUP(E26,[1]!Bookings[Booking Name],[1]!Bookings[Inv Final Sale Value])</f>
        <v>1630000</v>
      </c>
      <c r="U26" s="34" t="str">
        <f>_xlfn.XLOOKUP(E26,[1]!Bookings[Booking Name],[1]!Bookings[Sales])</f>
        <v>Amr Abdelghafar</v>
      </c>
      <c r="V26" s="2" t="str">
        <f>_xlfn.XLOOKUP(E26,[1]!Bookings[Booking Name],[1]!Bookings[Agency Name])</f>
        <v>P S I ASSETS REAL ESTATES L.L.C.</v>
      </c>
      <c r="W26" s="2" t="str">
        <f>_xlfn.XLOOKUP(E26,[1]!Bookings[Booking Name],[1]!Bookings[Booking ID])</f>
        <v>a03NM00000U0VNa</v>
      </c>
      <c r="X26" s="2" t="str">
        <f>_xlfn.XLOOKUP(E26,[1]!Bookings[Booking Name],[1]!Bookings[Oracle Id])</f>
        <v>-</v>
      </c>
      <c r="Y26" s="70"/>
      <c r="Z26" s="5" t="s">
        <v>25</v>
      </c>
      <c r="AA26" s="6">
        <v>0</v>
      </c>
      <c r="AB26" s="81" t="s">
        <v>26</v>
      </c>
      <c r="AC26" s="12" t="s">
        <v>191</v>
      </c>
      <c r="AD26" s="106" t="s">
        <v>336</v>
      </c>
      <c r="AE26" s="83" t="s">
        <v>246</v>
      </c>
      <c r="AF26" s="83" t="s">
        <v>246</v>
      </c>
    </row>
    <row r="27" spans="2:32" ht="50.25" customHeight="1" x14ac:dyDescent="0.3">
      <c r="B27" s="91" t="s">
        <v>230</v>
      </c>
      <c r="C27" s="2">
        <v>46044</v>
      </c>
      <c r="D27" s="2">
        <f>_xlfn.XLOOKUP(E27,[1]!Bookings[Booking Name],[1]!Bookings[Rejected Date])</f>
        <v>46044</v>
      </c>
      <c r="E27" s="94" t="s">
        <v>273</v>
      </c>
      <c r="F27" s="76" t="str">
        <f>_xlfn.XLOOKUP(E27,[1]!Bookings[Booking Name],[1]!Bookings[Booking Status])</f>
        <v>Rejected</v>
      </c>
      <c r="G27" s="2">
        <f>_xlfn.XLOOKUP(E27,[1]!Bookings[Booking Name],[1]!Bookings[Booking Date])</f>
        <v>46031</v>
      </c>
      <c r="H27" s="3">
        <f>_xlfn.XLOOKUP(E27,[1]!Bookings[Booking Name],[1]!Bookings[Booking Aging])</f>
        <v>28</v>
      </c>
      <c r="I27" s="2" t="str">
        <f>_xlfn.XLOOKUP(E27,[1]!Bookings[Booking Name],[1]!Bookings[Project Name])</f>
        <v>One Residence</v>
      </c>
      <c r="J27" s="2" t="str">
        <f>_xlfn.XLOOKUP(E27,[1]!Bookings[Booking Name],[1]!Bookings[Building])</f>
        <v>Tower 1</v>
      </c>
      <c r="K27" s="2" t="str">
        <f>_xlfn.XLOOKUP(E27,[1]!Bookings[Booking Name],[1]!Bookings[Bedrooms])</f>
        <v>2 BR</v>
      </c>
      <c r="L27" s="2" t="str">
        <f>_xlfn.XLOOKUP(E27,[1]!Bookings[Booking Name],[1]!Bookings[Unit No.])</f>
        <v>OR-1205</v>
      </c>
      <c r="M27" s="36" t="str">
        <f>_xlfn.XLOOKUP(E27,[1]!Bookings[Booking Name],[1]!Bookings[Inventory Unit Status])</f>
        <v>Booked</v>
      </c>
      <c r="N27" s="2" t="str">
        <f>_xlfn.XLOOKUP(E27,[1]!Bookings[Booking Name],[1]!Bookings[Booking Status])</f>
        <v>Rejected</v>
      </c>
      <c r="O27" s="52" t="str">
        <f>_xlfn.XLOOKUP(E27,[1]!Bookings[Booking Name],[1]!Bookings[Customer Name])</f>
        <v>George michael Baida</v>
      </c>
      <c r="P27" s="2" t="str">
        <f>_xlfn.XLOOKUP(E27,[1]!Bookings[Booking Name],[1]!Bookings[Nationality])</f>
        <v>United States of America</v>
      </c>
      <c r="Q27" s="4">
        <f>_xlfn.XLOOKUP(E27,[1]!Bookings[Booking Name],[1]!Bookings[Discount Amount])</f>
        <v>10000</v>
      </c>
      <c r="R27" s="27">
        <f>_xlfn.XLOOKUP(E27,[1]!Bookings[Booking Name],[1]!Bookings[Discount Percentage])</f>
        <v>4.048582995951417E-3</v>
      </c>
      <c r="S27" s="4">
        <f>_xlfn.XLOOKUP(E27,[1]!Bookings[Booking Name],[1]!Bookings[Final Sale Value After Discount])</f>
        <v>2460000</v>
      </c>
      <c r="T27" s="4">
        <f>_xlfn.XLOOKUP(E27,[1]!Bookings[Booking Name],[1]!Bookings[Inv Final Sale Value])</f>
        <v>2470000</v>
      </c>
      <c r="U27" s="34" t="str">
        <f>_xlfn.XLOOKUP(E27,[1]!Bookings[Booking Name],[1]!Bookings[Sales])</f>
        <v>Jamil Ibrahim</v>
      </c>
      <c r="V27" s="2" t="str">
        <f>_xlfn.XLOOKUP(E27,[1]!Bookings[Booking Name],[1]!Bookings[Agency Name])</f>
        <v>LEGACY LIVING REAL ESTATE - L.L.C - S.P.C</v>
      </c>
      <c r="W27" s="2" t="str">
        <f>_xlfn.XLOOKUP(E27,[1]!Bookings[Booking Name],[1]!Bookings[Booking ID])</f>
        <v>a03NM00000Soffx</v>
      </c>
      <c r="X27" s="2" t="str">
        <f>_xlfn.XLOOKUP(E27,[1]!Bookings[Booking Name],[1]!Bookings[Oracle Id])</f>
        <v>-</v>
      </c>
      <c r="Y27" s="70"/>
      <c r="Z27" s="5" t="s">
        <v>25</v>
      </c>
      <c r="AA27" s="6">
        <v>0</v>
      </c>
      <c r="AB27" s="81" t="s">
        <v>26</v>
      </c>
      <c r="AC27" s="12" t="s">
        <v>191</v>
      </c>
      <c r="AD27" s="106" t="s">
        <v>337</v>
      </c>
      <c r="AE27" s="83" t="s">
        <v>246</v>
      </c>
      <c r="AF27" s="83" t="s">
        <v>246</v>
      </c>
    </row>
    <row r="28" spans="2:32" ht="50.25" customHeight="1" x14ac:dyDescent="0.3">
      <c r="B28" s="91" t="s">
        <v>230</v>
      </c>
      <c r="C28" s="2">
        <v>46043</v>
      </c>
      <c r="D28" s="2">
        <f>_xlfn.XLOOKUP(E28,[1]!Bookings[Booking Name],[1]!Bookings[Rejected Date])</f>
        <v>46043</v>
      </c>
      <c r="E28" s="93" t="s">
        <v>271</v>
      </c>
      <c r="F28" s="76" t="str">
        <f>_xlfn.XLOOKUP(E28,[1]!Bookings[Booking Name],[1]!Bookings[Booking Status])</f>
        <v>Rejected</v>
      </c>
      <c r="G28" s="2">
        <f>_xlfn.XLOOKUP(E28,[1]!Bookings[Booking Name],[1]!Bookings[Booking Date])</f>
        <v>46002</v>
      </c>
      <c r="H28" s="3">
        <f>_xlfn.XLOOKUP(E28,[1]!Bookings[Booking Name],[1]!Bookings[Booking Aging])</f>
        <v>57</v>
      </c>
      <c r="I28" s="2" t="str">
        <f>_xlfn.XLOOKUP(E28,[1]!Bookings[Booking Name],[1]!Bookings[Project Name])</f>
        <v>Do Dubai Island</v>
      </c>
      <c r="J28" s="2" t="str">
        <f>_xlfn.XLOOKUP(E28,[1]!Bookings[Booking Name],[1]!Bookings[Building])</f>
        <v>Tower 1</v>
      </c>
      <c r="K28" s="2" t="str">
        <f>_xlfn.XLOOKUP(E28,[1]!Bookings[Booking Name],[1]!Bookings[Bedrooms])</f>
        <v>1 Bedroom</v>
      </c>
      <c r="L28" s="2" t="str">
        <f>_xlfn.XLOOKUP(E28,[1]!Bookings[Booking Name],[1]!Bookings[Unit No.])</f>
        <v>106</v>
      </c>
      <c r="M28" s="36" t="str">
        <f>_xlfn.XLOOKUP(E28,[1]!Bookings[Booking Name],[1]!Bookings[Inventory Unit Status])</f>
        <v>Available</v>
      </c>
      <c r="N28" s="2" t="str">
        <f>_xlfn.XLOOKUP(E28,[1]!Bookings[Booking Name],[1]!Bookings[Booking Status])</f>
        <v>Rejected</v>
      </c>
      <c r="O28" s="52" t="str">
        <f>_xlfn.XLOOKUP(E28,[1]!Bookings[Booking Name],[1]!Bookings[Customer Name])</f>
        <v>Albert Nesterov</v>
      </c>
      <c r="P28" s="2" t="str">
        <f>_xlfn.XLOOKUP(E28,[1]!Bookings[Booking Name],[1]!Bookings[Nationality])</f>
        <v>Russia</v>
      </c>
      <c r="Q28" s="4">
        <f>_xlfn.XLOOKUP(E28,[1]!Bookings[Booking Name],[1]!Bookings[Discount Amount])</f>
        <v>0</v>
      </c>
      <c r="R28" s="27">
        <f>_xlfn.XLOOKUP(E28,[1]!Bookings[Booking Name],[1]!Bookings[Discount Percentage])</f>
        <v>0</v>
      </c>
      <c r="S28" s="4">
        <f>_xlfn.XLOOKUP(E28,[1]!Bookings[Booking Name],[1]!Bookings[Final Sale Value After Discount])</f>
        <v>2525000</v>
      </c>
      <c r="T28" s="4">
        <f>_xlfn.XLOOKUP(E28,[1]!Bookings[Booking Name],[1]!Bookings[Inv Final Sale Value])</f>
        <v>2525000</v>
      </c>
      <c r="U28" s="34" t="str">
        <f>_xlfn.XLOOKUP(E28,[1]!Bookings[Booking Name],[1]!Bookings[Sales])</f>
        <v>Vladyslav Parkhomchuk</v>
      </c>
      <c r="V28" s="2" t="str">
        <f>_xlfn.XLOOKUP(E28,[1]!Bookings[Booking Name],[1]!Bookings[Agency Name])</f>
        <v>Rich Property Real Estate Brokerages LLC</v>
      </c>
      <c r="W28" s="2" t="str">
        <f>_xlfn.XLOOKUP(E28,[1]!Bookings[Booking Name],[1]!Bookings[Booking ID])</f>
        <v>a03NM00000PGtRx</v>
      </c>
      <c r="X28" s="2" t="str">
        <f>_xlfn.XLOOKUP(E28,[1]!Bookings[Booking Name],[1]!Bookings[Oracle Id])</f>
        <v>-</v>
      </c>
      <c r="Y28" s="70"/>
      <c r="Z28" s="5" t="s">
        <v>25</v>
      </c>
      <c r="AA28" s="6">
        <v>0</v>
      </c>
      <c r="AB28" s="81" t="s">
        <v>26</v>
      </c>
      <c r="AC28" s="60" t="s">
        <v>93</v>
      </c>
      <c r="AD28" s="14" t="s">
        <v>338</v>
      </c>
      <c r="AE28" s="60" t="s">
        <v>93</v>
      </c>
      <c r="AF28" s="95" t="s">
        <v>139</v>
      </c>
    </row>
    <row r="29" spans="2:32" ht="50.25" customHeight="1" x14ac:dyDescent="0.3">
      <c r="B29" s="91" t="s">
        <v>230</v>
      </c>
      <c r="C29" s="2">
        <v>46043</v>
      </c>
      <c r="D29" s="2">
        <f>_xlfn.XLOOKUP(E29,[1]!Bookings[Booking Name],[1]!Bookings[Rejected Date])</f>
        <v>46043</v>
      </c>
      <c r="E29" s="93" t="s">
        <v>270</v>
      </c>
      <c r="F29" s="76" t="str">
        <f>_xlfn.XLOOKUP(E29,[1]!Bookings[Booking Name],[1]!Bookings[Booking Status])</f>
        <v>Rejected</v>
      </c>
      <c r="G29" s="2">
        <f>_xlfn.XLOOKUP(E29,[1]!Bookings[Booking Name],[1]!Bookings[Booking Date])</f>
        <v>46041</v>
      </c>
      <c r="H29" s="3">
        <f>_xlfn.XLOOKUP(E29,[1]!Bookings[Booking Name],[1]!Bookings[Booking Aging])</f>
        <v>18</v>
      </c>
      <c r="I29" s="2" t="str">
        <f>_xlfn.XLOOKUP(E29,[1]!Bookings[Booking Name],[1]!Bookings[Project Name])</f>
        <v>One Residence</v>
      </c>
      <c r="J29" s="2" t="str">
        <f>_xlfn.XLOOKUP(E29,[1]!Bookings[Booking Name],[1]!Bookings[Building])</f>
        <v>Tower 1</v>
      </c>
      <c r="K29" s="2" t="str">
        <f>_xlfn.XLOOKUP(E29,[1]!Bookings[Booking Name],[1]!Bookings[Bedrooms])</f>
        <v>1 BR</v>
      </c>
      <c r="L29" s="2" t="str">
        <f>_xlfn.XLOOKUP(E29,[1]!Bookings[Booking Name],[1]!Bookings[Unit No.])</f>
        <v>OR-808</v>
      </c>
      <c r="M29" s="36" t="str">
        <f>_xlfn.XLOOKUP(E29,[1]!Bookings[Booking Name],[1]!Bookings[Inventory Unit Status])</f>
        <v>Booked</v>
      </c>
      <c r="N29" s="2" t="str">
        <f>_xlfn.XLOOKUP(E29,[1]!Bookings[Booking Name],[1]!Bookings[Booking Status])</f>
        <v>Rejected</v>
      </c>
      <c r="O29" s="52" t="str">
        <f>_xlfn.XLOOKUP(E29,[1]!Bookings[Booking Name],[1]!Bookings[Customer Name])</f>
        <v>FAHD AYOUBI</v>
      </c>
      <c r="P29" s="2" t="str">
        <f>_xlfn.XLOOKUP(E29,[1]!Bookings[Booking Name],[1]!Bookings[Nationality])</f>
        <v>United States of America</v>
      </c>
      <c r="Q29" s="4">
        <f>_xlfn.XLOOKUP(E29,[1]!Bookings[Booking Name],[1]!Bookings[Discount Amount])</f>
        <v>-50000</v>
      </c>
      <c r="R29" s="27">
        <f>_xlfn.XLOOKUP(E29,[1]!Bookings[Booking Name],[1]!Bookings[Discount Percentage])</f>
        <v>-3.0674846625766871E-2</v>
      </c>
      <c r="S29" s="4">
        <f>_xlfn.XLOOKUP(E29,[1]!Bookings[Booking Name],[1]!Bookings[Final Sale Value After Discount])</f>
        <v>1680000</v>
      </c>
      <c r="T29" s="4">
        <f>_xlfn.XLOOKUP(E29,[1]!Bookings[Booking Name],[1]!Bookings[Inv Final Sale Value])</f>
        <v>1630000</v>
      </c>
      <c r="U29" s="34" t="str">
        <f>_xlfn.XLOOKUP(E29,[1]!Bookings[Booking Name],[1]!Bookings[Sales])</f>
        <v>Amr Abdelghafar</v>
      </c>
      <c r="V29" s="2" t="str">
        <f>_xlfn.XLOOKUP(E29,[1]!Bookings[Booking Name],[1]!Bookings[Agency Name])</f>
        <v>P S I ASSETS REAL ESTATES L.L.C.</v>
      </c>
      <c r="W29" s="2" t="str">
        <f>_xlfn.XLOOKUP(E29,[1]!Bookings[Booking Name],[1]!Bookings[Booking ID])</f>
        <v>a03NM00000Tn6ef</v>
      </c>
      <c r="X29" s="2" t="str">
        <f>_xlfn.XLOOKUP(E29,[1]!Bookings[Booking Name],[1]!Bookings[Oracle Id])</f>
        <v>-</v>
      </c>
      <c r="Y29" s="70"/>
      <c r="Z29" s="5" t="s">
        <v>25</v>
      </c>
      <c r="AA29" s="6">
        <v>0</v>
      </c>
      <c r="AB29" s="81" t="s">
        <v>26</v>
      </c>
      <c r="AC29" s="12" t="s">
        <v>191</v>
      </c>
      <c r="AD29" s="106" t="s">
        <v>339</v>
      </c>
      <c r="AE29" s="83" t="s">
        <v>246</v>
      </c>
      <c r="AF29" s="83" t="s">
        <v>246</v>
      </c>
    </row>
    <row r="30" spans="2:32" ht="50.25" customHeight="1" x14ac:dyDescent="0.3">
      <c r="B30" s="91" t="s">
        <v>230</v>
      </c>
      <c r="C30" s="2">
        <v>46043</v>
      </c>
      <c r="D30" s="2">
        <f>_xlfn.XLOOKUP(E30,[1]!Bookings[Booking Name],[1]!Bookings[Rejected Date])</f>
        <v>46043</v>
      </c>
      <c r="E30" s="93" t="s">
        <v>269</v>
      </c>
      <c r="F30" s="76" t="str">
        <f>_xlfn.XLOOKUP(E30,[1]!Bookings[Booking Name],[1]!Bookings[Booking Status])</f>
        <v>Rejected</v>
      </c>
      <c r="G30" s="2">
        <f>_xlfn.XLOOKUP(E30,[1]!Bookings[Booking Name],[1]!Bookings[Booking Date])</f>
        <v>46031</v>
      </c>
      <c r="H30" s="3">
        <f>_xlfn.XLOOKUP(E30,[1]!Bookings[Booking Name],[1]!Bookings[Booking Aging])</f>
        <v>28</v>
      </c>
      <c r="I30" s="2" t="str">
        <f>_xlfn.XLOOKUP(E30,[1]!Bookings[Booking Name],[1]!Bookings[Project Name])</f>
        <v>One Residence</v>
      </c>
      <c r="J30" s="2" t="str">
        <f>_xlfn.XLOOKUP(E30,[1]!Bookings[Booking Name],[1]!Bookings[Building])</f>
        <v>Tower 1</v>
      </c>
      <c r="K30" s="2" t="str">
        <f>_xlfn.XLOOKUP(E30,[1]!Bookings[Booking Name],[1]!Bookings[Bedrooms])</f>
        <v>1 BR</v>
      </c>
      <c r="L30" s="2" t="str">
        <f>_xlfn.XLOOKUP(E30,[1]!Bookings[Booking Name],[1]!Bookings[Unit No.])</f>
        <v>OR-809</v>
      </c>
      <c r="M30" s="36" t="str">
        <f>_xlfn.XLOOKUP(E30,[1]!Bookings[Booking Name],[1]!Bookings[Inventory Unit Status])</f>
        <v>Booked</v>
      </c>
      <c r="N30" s="2" t="str">
        <f>_xlfn.XLOOKUP(E30,[1]!Bookings[Booking Name],[1]!Bookings[Booking Status])</f>
        <v>Rejected</v>
      </c>
      <c r="O30" s="52" t="str">
        <f>_xlfn.XLOOKUP(E30,[1]!Bookings[Booking Name],[1]!Bookings[Customer Name])</f>
        <v>REDA AYOUBI</v>
      </c>
      <c r="P30" s="2" t="str">
        <f>_xlfn.XLOOKUP(E30,[1]!Bookings[Booking Name],[1]!Bookings[Nationality])</f>
        <v>United States of America</v>
      </c>
      <c r="Q30" s="4">
        <f>_xlfn.XLOOKUP(E30,[1]!Bookings[Booking Name],[1]!Bookings[Discount Amount])</f>
        <v>0</v>
      </c>
      <c r="R30" s="27">
        <f>_xlfn.XLOOKUP(E30,[1]!Bookings[Booking Name],[1]!Bookings[Discount Percentage])</f>
        <v>0</v>
      </c>
      <c r="S30" s="4">
        <f>_xlfn.XLOOKUP(E30,[1]!Bookings[Booking Name],[1]!Bookings[Final Sale Value After Discount])</f>
        <v>1670000</v>
      </c>
      <c r="T30" s="4">
        <f>_xlfn.XLOOKUP(E30,[1]!Bookings[Booking Name],[1]!Bookings[Inv Final Sale Value])</f>
        <v>1670000</v>
      </c>
      <c r="U30" s="34" t="str">
        <f>_xlfn.XLOOKUP(E30,[1]!Bookings[Booking Name],[1]!Bookings[Sales])</f>
        <v>Amr Abdelghafar</v>
      </c>
      <c r="V30" s="2" t="str">
        <f>_xlfn.XLOOKUP(E30,[1]!Bookings[Booking Name],[1]!Bookings[Agency Name])</f>
        <v>P S I ASSETS REAL ESTATES L.L.C.</v>
      </c>
      <c r="W30" s="2" t="str">
        <f>_xlfn.XLOOKUP(E30,[1]!Bookings[Booking Name],[1]!Bookings[Booking ID])</f>
        <v>a03NM00000Snp7v</v>
      </c>
      <c r="X30" s="2" t="str">
        <f>_xlfn.XLOOKUP(E30,[1]!Bookings[Booking Name],[1]!Bookings[Oracle Id])</f>
        <v>-</v>
      </c>
      <c r="Y30" s="70"/>
      <c r="Z30" s="5" t="s">
        <v>25</v>
      </c>
      <c r="AA30" s="6">
        <v>0</v>
      </c>
      <c r="AB30" s="81" t="s">
        <v>26</v>
      </c>
      <c r="AC30" s="12" t="s">
        <v>191</v>
      </c>
      <c r="AD30" s="106" t="s">
        <v>340</v>
      </c>
      <c r="AE30" s="83" t="s">
        <v>246</v>
      </c>
      <c r="AF30" s="83" t="s">
        <v>246</v>
      </c>
    </row>
    <row r="31" spans="2:32" ht="50.25" customHeight="1" x14ac:dyDescent="0.3">
      <c r="B31" s="91" t="s">
        <v>230</v>
      </c>
      <c r="C31" s="2">
        <v>46043</v>
      </c>
      <c r="D31" s="2">
        <f>_xlfn.XLOOKUP(E31,[1]!Bookings[Booking Name],[1]!Bookings[Rejected Date])</f>
        <v>46043</v>
      </c>
      <c r="E31" s="91" t="s">
        <v>268</v>
      </c>
      <c r="F31" s="76" t="str">
        <f>_xlfn.XLOOKUP(E31,[1]!Bookings[Booking Name],[1]!Bookings[Booking Status])</f>
        <v>Rejected</v>
      </c>
      <c r="G31" s="2">
        <f>_xlfn.XLOOKUP(E31,[1]!Bookings[Booking Name],[1]!Bookings[Booking Date])</f>
        <v>46031</v>
      </c>
      <c r="H31" s="3">
        <f>_xlfn.XLOOKUP(E31,[1]!Bookings[Booking Name],[1]!Bookings[Booking Aging])</f>
        <v>28</v>
      </c>
      <c r="I31" s="2" t="str">
        <f>_xlfn.XLOOKUP(E31,[1]!Bookings[Booking Name],[1]!Bookings[Project Name])</f>
        <v>One Residence</v>
      </c>
      <c r="J31" s="2" t="str">
        <f>_xlfn.XLOOKUP(E31,[1]!Bookings[Booking Name],[1]!Bookings[Building])</f>
        <v>Tower 1</v>
      </c>
      <c r="K31" s="2" t="str">
        <f>_xlfn.XLOOKUP(E31,[1]!Bookings[Booking Name],[1]!Bookings[Bedrooms])</f>
        <v>1 BR</v>
      </c>
      <c r="L31" s="2" t="str">
        <f>_xlfn.XLOOKUP(E31,[1]!Bookings[Booking Name],[1]!Bookings[Unit No.])</f>
        <v>OR-610</v>
      </c>
      <c r="M31" s="36" t="str">
        <f>_xlfn.XLOOKUP(E31,[1]!Bookings[Booking Name],[1]!Bookings[Inventory Unit Status])</f>
        <v>Booked</v>
      </c>
      <c r="N31" s="2" t="str">
        <f>_xlfn.XLOOKUP(E31,[1]!Bookings[Booking Name],[1]!Bookings[Booking Status])</f>
        <v>Rejected</v>
      </c>
      <c r="O31" s="52" t="str">
        <f>_xlfn.XLOOKUP(E31,[1]!Bookings[Booking Name],[1]!Bookings[Customer Name])</f>
        <v>Mohammad Kerdi</v>
      </c>
      <c r="P31" s="2" t="str">
        <f>_xlfn.XLOOKUP(E31,[1]!Bookings[Booking Name],[1]!Bookings[Nationality])</f>
        <v>Lebanon</v>
      </c>
      <c r="Q31" s="4">
        <f>_xlfn.XLOOKUP(E31,[1]!Bookings[Booking Name],[1]!Bookings[Discount Amount])</f>
        <v>2000</v>
      </c>
      <c r="R31" s="27">
        <f>_xlfn.XLOOKUP(E31,[1]!Bookings[Booking Name],[1]!Bookings[Discount Percentage])</f>
        <v>1.25E-3</v>
      </c>
      <c r="S31" s="4">
        <f>_xlfn.XLOOKUP(E31,[1]!Bookings[Booking Name],[1]!Bookings[Final Sale Value After Discount])</f>
        <v>1598000</v>
      </c>
      <c r="T31" s="4">
        <f>_xlfn.XLOOKUP(E31,[1]!Bookings[Booking Name],[1]!Bookings[Inv Final Sale Value])</f>
        <v>1600000</v>
      </c>
      <c r="U31" s="34" t="str">
        <f>_xlfn.XLOOKUP(E31,[1]!Bookings[Booking Name],[1]!Bookings[Sales])</f>
        <v>Amr Abdelghafar</v>
      </c>
      <c r="V31" s="2" t="str">
        <f>_xlfn.XLOOKUP(E31,[1]!Bookings[Booking Name],[1]!Bookings[Agency Name])</f>
        <v>LEGACY LIVING REAL ESTATE - L.L.C - S.P.C</v>
      </c>
      <c r="W31" s="2" t="str">
        <f>_xlfn.XLOOKUP(E31,[1]!Bookings[Booking Name],[1]!Bookings[Booking ID])</f>
        <v>a03NM00000SpEbx</v>
      </c>
      <c r="X31" s="2" t="str">
        <f>_xlfn.XLOOKUP(E31,[1]!Bookings[Booking Name],[1]!Bookings[Oracle Id])</f>
        <v>-</v>
      </c>
      <c r="Y31" s="70"/>
      <c r="Z31" s="5" t="s">
        <v>25</v>
      </c>
      <c r="AA31" s="6">
        <v>0</v>
      </c>
      <c r="AB31" s="81" t="s">
        <v>26</v>
      </c>
      <c r="AC31" s="12" t="s">
        <v>191</v>
      </c>
      <c r="AD31" s="106" t="s">
        <v>341</v>
      </c>
      <c r="AE31" s="83" t="s">
        <v>246</v>
      </c>
      <c r="AF31" s="83" t="s">
        <v>246</v>
      </c>
    </row>
    <row r="32" spans="2:32" ht="50.25" customHeight="1" x14ac:dyDescent="0.3">
      <c r="B32" s="87" t="s">
        <v>230</v>
      </c>
      <c r="C32" s="2">
        <v>46043</v>
      </c>
      <c r="D32" s="2">
        <f>_xlfn.XLOOKUP(E32,[1]!Bookings[Booking Name],[1]!Bookings[Rejected Date])</f>
        <v>46043</v>
      </c>
      <c r="E32" s="91" t="s">
        <v>264</v>
      </c>
      <c r="F32" s="76" t="str">
        <f>_xlfn.XLOOKUP(E32,[1]!Bookings[Booking Name],[1]!Bookings[Booking Status])</f>
        <v>Rejected</v>
      </c>
      <c r="G32" s="2">
        <f>_xlfn.XLOOKUP(E32,[1]!Bookings[Booking Name],[1]!Bookings[Booking Date])</f>
        <v>46031</v>
      </c>
      <c r="H32" s="3">
        <f>_xlfn.XLOOKUP(E32,[1]!Bookings[Booking Name],[1]!Bookings[Booking Aging])</f>
        <v>28</v>
      </c>
      <c r="I32" s="2" t="str">
        <f>_xlfn.XLOOKUP(E32,[1]!Bookings[Booking Name],[1]!Bookings[Project Name])</f>
        <v>One Residence</v>
      </c>
      <c r="J32" s="2" t="str">
        <f>_xlfn.XLOOKUP(E32,[1]!Bookings[Booking Name],[1]!Bookings[Building])</f>
        <v>Tower 1</v>
      </c>
      <c r="K32" s="2" t="str">
        <f>_xlfn.XLOOKUP(E32,[1]!Bookings[Booking Name],[1]!Bookings[Bedrooms])</f>
        <v>2 BR</v>
      </c>
      <c r="L32" s="2" t="str">
        <f>_xlfn.XLOOKUP(E32,[1]!Bookings[Booking Name],[1]!Bookings[Unit No.])</f>
        <v>OR-1309</v>
      </c>
      <c r="M32" s="36" t="str">
        <f>_xlfn.XLOOKUP(E32,[1]!Bookings[Booking Name],[1]!Bookings[Inventory Unit Status])</f>
        <v>Booked</v>
      </c>
      <c r="N32" s="2" t="str">
        <f>_xlfn.XLOOKUP(E32,[1]!Bookings[Booking Name],[1]!Bookings[Booking Status])</f>
        <v>Rejected</v>
      </c>
      <c r="O32" s="52" t="str">
        <f>_xlfn.XLOOKUP(E32,[1]!Bookings[Booking Name],[1]!Bookings[Customer Name])</f>
        <v>NANIK RAM PARMANAND</v>
      </c>
      <c r="P32" s="2" t="str">
        <f>_xlfn.XLOOKUP(E32,[1]!Bookings[Booking Name],[1]!Bookings[Nationality])</f>
        <v>Pakistan</v>
      </c>
      <c r="Q32" s="4">
        <f>_xlfn.XLOOKUP(E32,[1]!Bookings[Booking Name],[1]!Bookings[Discount Amount])</f>
        <v>100000</v>
      </c>
      <c r="R32" s="27">
        <f>_xlfn.XLOOKUP(E32,[1]!Bookings[Booking Name],[1]!Bookings[Discount Percentage])</f>
        <v>4.1841004184100417E-2</v>
      </c>
      <c r="S32" s="4">
        <f>_xlfn.XLOOKUP(E32,[1]!Bookings[Booking Name],[1]!Bookings[Final Sale Value After Discount])</f>
        <v>2290000</v>
      </c>
      <c r="T32" s="4">
        <f>_xlfn.XLOOKUP(E32,[1]!Bookings[Booking Name],[1]!Bookings[Inv Final Sale Value])</f>
        <v>2390000</v>
      </c>
      <c r="U32" s="34" t="str">
        <f>_xlfn.XLOOKUP(E32,[1]!Bookings[Booking Name],[1]!Bookings[Sales])</f>
        <v>Amr Abdelghafar</v>
      </c>
      <c r="V32" s="2" t="str">
        <f>_xlfn.XLOOKUP(E32,[1]!Bookings[Booking Name],[1]!Bookings[Agency Name])</f>
        <v>P S I ASSETS REAL ESTATES L.L.C.</v>
      </c>
      <c r="W32" s="2" t="str">
        <f>_xlfn.XLOOKUP(E32,[1]!Bookings[Booking Name],[1]!Bookings[Booking ID])</f>
        <v>a03NM00000SoqTB</v>
      </c>
      <c r="X32" s="2" t="str">
        <f>_xlfn.XLOOKUP(E32,[1]!Bookings[Booking Name],[1]!Bookings[Oracle Id])</f>
        <v>-</v>
      </c>
      <c r="Y32" s="70"/>
      <c r="Z32" s="5" t="s">
        <v>25</v>
      </c>
      <c r="AA32" s="6">
        <v>0</v>
      </c>
      <c r="AB32" s="81" t="s">
        <v>26</v>
      </c>
      <c r="AC32" s="12" t="s">
        <v>191</v>
      </c>
      <c r="AD32" s="106" t="s">
        <v>342</v>
      </c>
      <c r="AE32" s="83" t="s">
        <v>246</v>
      </c>
      <c r="AF32" s="83" t="s">
        <v>246</v>
      </c>
    </row>
    <row r="33" spans="2:32" ht="50.25" customHeight="1" x14ac:dyDescent="0.3">
      <c r="B33" s="87" t="s">
        <v>230</v>
      </c>
      <c r="C33" s="2">
        <v>46042</v>
      </c>
      <c r="D33" s="2">
        <f>_xlfn.XLOOKUP(E33,[1]!Bookings[Booking Name],[1]!Bookings[Rejected Date])</f>
        <v>46042</v>
      </c>
      <c r="E33" s="91" t="s">
        <v>263</v>
      </c>
      <c r="F33" s="76" t="str">
        <f>_xlfn.XLOOKUP(E33,[1]!Bookings[Booking Name],[1]!Bookings[Booking Status])</f>
        <v>Rejected</v>
      </c>
      <c r="G33" s="2">
        <f>_xlfn.XLOOKUP(E33,[1]!Bookings[Booking Name],[1]!Bookings[Booking Date])</f>
        <v>46041</v>
      </c>
      <c r="H33" s="3">
        <f>_xlfn.XLOOKUP(E33,[1]!Bookings[Booking Name],[1]!Bookings[Booking Aging])</f>
        <v>18</v>
      </c>
      <c r="I33" s="2" t="str">
        <f>_xlfn.XLOOKUP(E33,[1]!Bookings[Booking Name],[1]!Bookings[Project Name])</f>
        <v>One Residence</v>
      </c>
      <c r="J33" s="2" t="str">
        <f>_xlfn.XLOOKUP(E33,[1]!Bookings[Booking Name],[1]!Bookings[Building])</f>
        <v>Tower 1</v>
      </c>
      <c r="K33" s="2" t="str">
        <f>_xlfn.XLOOKUP(E33,[1]!Bookings[Booking Name],[1]!Bookings[Bedrooms])</f>
        <v>2 BR</v>
      </c>
      <c r="L33" s="2" t="str">
        <f>_xlfn.XLOOKUP(E33,[1]!Bookings[Booking Name],[1]!Bookings[Unit No.])</f>
        <v>OR-2404</v>
      </c>
      <c r="M33" s="36" t="str">
        <f>_xlfn.XLOOKUP(E33,[1]!Bookings[Booking Name],[1]!Bookings[Inventory Unit Status])</f>
        <v>Booked</v>
      </c>
      <c r="N33" s="2" t="str">
        <f>_xlfn.XLOOKUP(E33,[1]!Bookings[Booking Name],[1]!Bookings[Booking Status])</f>
        <v>Rejected</v>
      </c>
      <c r="O33" s="52" t="str">
        <f>_xlfn.XLOOKUP(E33,[1]!Bookings[Booking Name],[1]!Bookings[Customer Name])</f>
        <v>Bader saeed Mohammedd Salem Allamki</v>
      </c>
      <c r="P33" s="2" t="str">
        <f>_xlfn.XLOOKUP(E33,[1]!Bookings[Booking Name],[1]!Bookings[Nationality])</f>
        <v>United Arab Emirates</v>
      </c>
      <c r="Q33" s="4">
        <f>_xlfn.XLOOKUP(E33,[1]!Bookings[Booking Name],[1]!Bookings[Discount Amount])</f>
        <v>21889</v>
      </c>
      <c r="R33" s="27">
        <f>_xlfn.XLOOKUP(E33,[1]!Bookings[Booking Name],[1]!Bookings[Discount Percentage])</f>
        <v>8.7556000000000005E-3</v>
      </c>
      <c r="S33" s="4">
        <f>_xlfn.XLOOKUP(E33,[1]!Bookings[Booking Name],[1]!Bookings[Final Sale Value After Discount])</f>
        <v>2478111</v>
      </c>
      <c r="T33" s="4">
        <f>_xlfn.XLOOKUP(E33,[1]!Bookings[Booking Name],[1]!Bookings[Inv Final Sale Value])</f>
        <v>2500000</v>
      </c>
      <c r="U33" s="34" t="str">
        <f>_xlfn.XLOOKUP(E33,[1]!Bookings[Booking Name],[1]!Bookings[Sales])</f>
        <v>Jamil Ibrahim</v>
      </c>
      <c r="V33" s="2" t="str">
        <f>_xlfn.XLOOKUP(E33,[1]!Bookings[Booking Name],[1]!Bookings[Agency Name])</f>
        <v>CAPITAL AVENUE REAL ESTATE SOLE PROPRIETORSHIP L.L.C.</v>
      </c>
      <c r="W33" s="2" t="str">
        <f>_xlfn.XLOOKUP(E33,[1]!Bookings[Booking Name],[1]!Bookings[Booking ID])</f>
        <v>a03NM00000TnDt3</v>
      </c>
      <c r="X33" s="2" t="str">
        <f>_xlfn.XLOOKUP(E33,[1]!Bookings[Booking Name],[1]!Bookings[Oracle Id])</f>
        <v>-</v>
      </c>
      <c r="Y33" s="70"/>
      <c r="Z33" s="5" t="s">
        <v>25</v>
      </c>
      <c r="AA33" s="6">
        <v>0</v>
      </c>
      <c r="AB33" s="81" t="s">
        <v>26</v>
      </c>
      <c r="AC33" s="12" t="s">
        <v>191</v>
      </c>
      <c r="AD33" s="106" t="s">
        <v>343</v>
      </c>
      <c r="AE33" s="83" t="s">
        <v>246</v>
      </c>
      <c r="AF33" s="83" t="s">
        <v>246</v>
      </c>
    </row>
    <row r="34" spans="2:32" ht="50.25" customHeight="1" x14ac:dyDescent="0.3">
      <c r="B34" s="87" t="s">
        <v>230</v>
      </c>
      <c r="C34" s="2">
        <v>46042</v>
      </c>
      <c r="D34" s="2">
        <f>_xlfn.XLOOKUP(E34,[1]!Bookings[Booking Name],[1]!Bookings[Rejected Date])</f>
        <v>46043</v>
      </c>
      <c r="E34" s="91" t="s">
        <v>265</v>
      </c>
      <c r="F34" s="76" t="str">
        <f>_xlfn.XLOOKUP(E34,[1]!Bookings[Booking Name],[1]!Bookings[Booking Status])</f>
        <v>Rejected</v>
      </c>
      <c r="G34" s="2">
        <f>_xlfn.XLOOKUP(E34,[1]!Bookings[Booking Name],[1]!Bookings[Booking Date])</f>
        <v>46029</v>
      </c>
      <c r="H34" s="3">
        <f>_xlfn.XLOOKUP(E34,[1]!Bookings[Booking Name],[1]!Bookings[Booking Aging])</f>
        <v>30</v>
      </c>
      <c r="I34" s="2" t="str">
        <f>_xlfn.XLOOKUP(E34,[1]!Bookings[Booking Name],[1]!Bookings[Project Name])</f>
        <v>One Residence</v>
      </c>
      <c r="J34" s="2" t="str">
        <f>_xlfn.XLOOKUP(E34,[1]!Bookings[Booking Name],[1]!Bookings[Building])</f>
        <v>Tower 1</v>
      </c>
      <c r="K34" s="2" t="str">
        <f>_xlfn.XLOOKUP(E34,[1]!Bookings[Booking Name],[1]!Bookings[Bedrooms])</f>
        <v>2 BR</v>
      </c>
      <c r="L34" s="2" t="str">
        <f>_xlfn.XLOOKUP(E34,[1]!Bookings[Booking Name],[1]!Bookings[Unit No.])</f>
        <v>OR-2106</v>
      </c>
      <c r="M34" s="36" t="str">
        <f>_xlfn.XLOOKUP(E34,[1]!Bookings[Booking Name],[1]!Bookings[Inventory Unit Status])</f>
        <v>Blocked</v>
      </c>
      <c r="N34" s="2" t="str">
        <f>_xlfn.XLOOKUP(E34,[1]!Bookings[Booking Name],[1]!Bookings[Booking Status])</f>
        <v>Rejected</v>
      </c>
      <c r="O34" s="52" t="str">
        <f>_xlfn.XLOOKUP(E34,[1]!Bookings[Booking Name],[1]!Bookings[Customer Name])</f>
        <v>Khaja Huzoor Ahamed khan Hussain khan Ahamed Khan</v>
      </c>
      <c r="P34" s="2" t="str">
        <f>_xlfn.XLOOKUP(E34,[1]!Bookings[Booking Name],[1]!Bookings[Nationality])</f>
        <v>India</v>
      </c>
      <c r="Q34" s="4">
        <f>_xlfn.XLOOKUP(E34,[1]!Bookings[Booking Name],[1]!Bookings[Discount Amount])</f>
        <v>26104</v>
      </c>
      <c r="R34" s="27">
        <f>_xlfn.XLOOKUP(E34,[1]!Bookings[Booking Name],[1]!Bookings[Discount Percentage])</f>
        <v>1.0416167884493222E-2</v>
      </c>
      <c r="S34" s="4">
        <f>_xlfn.XLOOKUP(E34,[1]!Bookings[Booking Name],[1]!Bookings[Final Sale Value After Discount])</f>
        <v>2480000</v>
      </c>
      <c r="T34" s="4">
        <f>_xlfn.XLOOKUP(E34,[1]!Bookings[Booking Name],[1]!Bookings[Inv Final Sale Value])</f>
        <v>2506104</v>
      </c>
      <c r="U34" s="34" t="str">
        <f>_xlfn.XLOOKUP(E34,[1]!Bookings[Booking Name],[1]!Bookings[Sales])</f>
        <v>Mohamed Safraji</v>
      </c>
      <c r="V34" s="2" t="str">
        <f>_xlfn.XLOOKUP(E34,[1]!Bookings[Booking Name],[1]!Bookings[Agency Name])</f>
        <v>Metropolitan Capital Real Estate - Sole proprietorship LLC</v>
      </c>
      <c r="W34" s="2" t="str">
        <f>_xlfn.XLOOKUP(E34,[1]!Bookings[Booking Name],[1]!Bookings[Booking ID])</f>
        <v>a03NM00000Sdqy3</v>
      </c>
      <c r="X34" s="2" t="str">
        <f>_xlfn.XLOOKUP(E34,[1]!Bookings[Booking Name],[1]!Bookings[Oracle Id])</f>
        <v>-</v>
      </c>
      <c r="Y34" s="70"/>
      <c r="Z34" s="5" t="s">
        <v>25</v>
      </c>
      <c r="AA34" s="6">
        <v>0</v>
      </c>
      <c r="AB34" s="92" t="s">
        <v>26</v>
      </c>
      <c r="AC34" s="12" t="s">
        <v>266</v>
      </c>
      <c r="AD34" s="106" t="s">
        <v>344</v>
      </c>
      <c r="AE34" s="60" t="s">
        <v>88</v>
      </c>
      <c r="AF34" s="92" t="s">
        <v>267</v>
      </c>
    </row>
    <row r="35" spans="2:32" ht="50.25" customHeight="1" x14ac:dyDescent="0.3">
      <c r="B35" s="87" t="s">
        <v>230</v>
      </c>
      <c r="C35" s="2">
        <v>46041</v>
      </c>
      <c r="D35" s="2">
        <f>_xlfn.XLOOKUP(E35,[1]!Bookings[Booking Name],[1]!Bookings[Rejected Date])</f>
        <v>46042</v>
      </c>
      <c r="E35" s="89" t="s">
        <v>261</v>
      </c>
      <c r="F35" s="76" t="str">
        <f>_xlfn.XLOOKUP(E35,[1]!Bookings[Booking Name],[1]!Bookings[Booking Status])</f>
        <v>Rejected</v>
      </c>
      <c r="G35" s="2">
        <f>_xlfn.XLOOKUP(E35,[1]!Bookings[Booking Name],[1]!Bookings[Booking Date])</f>
        <v>46031</v>
      </c>
      <c r="H35" s="3">
        <f>_xlfn.XLOOKUP(E35,[1]!Bookings[Booking Name],[1]!Bookings[Booking Aging])</f>
        <v>28</v>
      </c>
      <c r="I35" s="2" t="str">
        <f>_xlfn.XLOOKUP(E35,[1]!Bookings[Booking Name],[1]!Bookings[Project Name])</f>
        <v>One Residence</v>
      </c>
      <c r="J35" s="2" t="str">
        <f>_xlfn.XLOOKUP(E35,[1]!Bookings[Booking Name],[1]!Bookings[Building])</f>
        <v>Tower 1</v>
      </c>
      <c r="K35" s="2" t="str">
        <f>_xlfn.XLOOKUP(E35,[1]!Bookings[Booking Name],[1]!Bookings[Bedrooms])</f>
        <v>3 BR</v>
      </c>
      <c r="L35" s="2" t="str">
        <f>_xlfn.XLOOKUP(E35,[1]!Bookings[Booking Name],[1]!Bookings[Unit No.])</f>
        <v>OR-2602</v>
      </c>
      <c r="M35" s="36" t="str">
        <f>_xlfn.XLOOKUP(E35,[1]!Bookings[Booking Name],[1]!Bookings[Inventory Unit Status])</f>
        <v>Blocked</v>
      </c>
      <c r="N35" s="2" t="str">
        <f>_xlfn.XLOOKUP(E35,[1]!Bookings[Booking Name],[1]!Bookings[Booking Status])</f>
        <v>Rejected</v>
      </c>
      <c r="O35" s="52" t="str">
        <f>_xlfn.XLOOKUP(E35,[1]!Bookings[Booking Name],[1]!Bookings[Customer Name])</f>
        <v>MOHAMMED ABBAS HUSSAIN Al Obaidi</v>
      </c>
      <c r="P35" s="2" t="str">
        <f>_xlfn.XLOOKUP(E35,[1]!Bookings[Booking Name],[1]!Bookings[Nationality])</f>
        <v>Iraq</v>
      </c>
      <c r="Q35" s="4">
        <f>_xlfn.XLOOKUP(E35,[1]!Bookings[Booking Name],[1]!Bookings[Discount Amount])</f>
        <v>0</v>
      </c>
      <c r="R35" s="27">
        <f>_xlfn.XLOOKUP(E35,[1]!Bookings[Booking Name],[1]!Bookings[Discount Percentage])</f>
        <v>0</v>
      </c>
      <c r="S35" s="4">
        <f>_xlfn.XLOOKUP(E35,[1]!Bookings[Booking Name],[1]!Bookings[Final Sale Value After Discount])</f>
        <v>3850000</v>
      </c>
      <c r="T35" s="4">
        <f>_xlfn.XLOOKUP(E35,[1]!Bookings[Booking Name],[1]!Bookings[Inv Final Sale Value])</f>
        <v>3850000</v>
      </c>
      <c r="U35" s="34" t="str">
        <f>_xlfn.XLOOKUP(E35,[1]!Bookings[Booking Name],[1]!Bookings[Sales])</f>
        <v>Amr Abdelghafar</v>
      </c>
      <c r="V35" s="2" t="str">
        <f>_xlfn.XLOOKUP(E35,[1]!Bookings[Booking Name],[1]!Bookings[Agency Name])</f>
        <v>Royal Lounge Properties L.L.C.</v>
      </c>
      <c r="W35" s="2" t="str">
        <f>_xlfn.XLOOKUP(E35,[1]!Bookings[Booking Name],[1]!Bookings[Booking ID])</f>
        <v>a03NM00000SooOA</v>
      </c>
      <c r="X35" s="2" t="str">
        <f>_xlfn.XLOOKUP(E35,[1]!Bookings[Booking Name],[1]!Bookings[Oracle Id])</f>
        <v>-</v>
      </c>
      <c r="Y35" s="70"/>
      <c r="Z35" s="5" t="s">
        <v>25</v>
      </c>
      <c r="AA35" s="6">
        <v>0</v>
      </c>
      <c r="AB35" s="110" t="s">
        <v>31</v>
      </c>
      <c r="AC35" s="12" t="s">
        <v>426</v>
      </c>
      <c r="AD35" s="106" t="s">
        <v>345</v>
      </c>
      <c r="AE35" s="92" t="s">
        <v>32</v>
      </c>
      <c r="AF35" s="81" t="s">
        <v>97</v>
      </c>
    </row>
    <row r="36" spans="2:32" ht="50.25" customHeight="1" x14ac:dyDescent="0.3">
      <c r="B36" s="87" t="s">
        <v>230</v>
      </c>
      <c r="C36" s="91">
        <v>46041</v>
      </c>
      <c r="D36" s="2">
        <f>_xlfn.XLOOKUP(E36,[1]!Bookings[Booking Name],[1]!Bookings[Rejected Date])</f>
        <v>46042</v>
      </c>
      <c r="E36" s="89" t="s">
        <v>262</v>
      </c>
      <c r="F36" s="76" t="str">
        <f>_xlfn.XLOOKUP(E36,[1]!Bookings[Booking Name],[1]!Bookings[Booking Status])</f>
        <v>Rejected</v>
      </c>
      <c r="G36" s="2">
        <f>_xlfn.XLOOKUP(E36,[1]!Bookings[Booking Name],[1]!Bookings[Booking Date])</f>
        <v>46034</v>
      </c>
      <c r="H36" s="3">
        <f>_xlfn.XLOOKUP(E36,[1]!Bookings[Booking Name],[1]!Bookings[Booking Aging])</f>
        <v>25</v>
      </c>
      <c r="I36" s="2" t="str">
        <f>_xlfn.XLOOKUP(E36,[1]!Bookings[Booking Name],[1]!Bookings[Project Name])</f>
        <v>One Residence</v>
      </c>
      <c r="J36" s="2" t="str">
        <f>_xlfn.XLOOKUP(E36,[1]!Bookings[Booking Name],[1]!Bookings[Building])</f>
        <v>Tower 1</v>
      </c>
      <c r="K36" s="2" t="str">
        <f>_xlfn.XLOOKUP(E36,[1]!Bookings[Booking Name],[1]!Bookings[Bedrooms])</f>
        <v>1 BR</v>
      </c>
      <c r="L36" s="2" t="str">
        <f>_xlfn.XLOOKUP(E36,[1]!Bookings[Booking Name],[1]!Bookings[Unit No.])</f>
        <v>OR-803</v>
      </c>
      <c r="M36" s="36" t="str">
        <f>_xlfn.XLOOKUP(E36,[1]!Bookings[Booking Name],[1]!Bookings[Inventory Unit Status])</f>
        <v>Booked</v>
      </c>
      <c r="N36" s="2" t="str">
        <f>_xlfn.XLOOKUP(E36,[1]!Bookings[Booking Name],[1]!Bookings[Booking Status])</f>
        <v>Rejected</v>
      </c>
      <c r="O36" s="52" t="str">
        <f>_xlfn.XLOOKUP(E36,[1]!Bookings[Booking Name],[1]!Bookings[Customer Name])</f>
        <v>SARA МОНАМЕD DIB</v>
      </c>
      <c r="P36" s="2" t="str">
        <f>_xlfn.XLOOKUP(E36,[1]!Bookings[Booking Name],[1]!Bookings[Nationality])</f>
        <v>Syria</v>
      </c>
      <c r="Q36" s="4">
        <f>_xlfn.XLOOKUP(E36,[1]!Bookings[Booking Name],[1]!Bookings[Discount Amount])</f>
        <v>194889</v>
      </c>
      <c r="R36" s="27">
        <f>_xlfn.XLOOKUP(E36,[1]!Bookings[Booking Name],[1]!Bookings[Discount Percentage])</f>
        <v>0.11149256292906179</v>
      </c>
      <c r="S36" s="4">
        <f>_xlfn.XLOOKUP(E36,[1]!Bookings[Booking Name],[1]!Bookings[Final Sale Value After Discount])</f>
        <v>1553111</v>
      </c>
      <c r="T36" s="4">
        <f>_xlfn.XLOOKUP(E36,[1]!Bookings[Booking Name],[1]!Bookings[Inv Final Sale Value])</f>
        <v>1748000</v>
      </c>
      <c r="U36" s="34" t="str">
        <f>_xlfn.XLOOKUP(E36,[1]!Bookings[Booking Name],[1]!Bookings[Sales])</f>
        <v>Hossam Mostafa</v>
      </c>
      <c r="V36" s="2" t="str">
        <f>_xlfn.XLOOKUP(E36,[1]!Bookings[Booking Name],[1]!Bookings[Agency Name])</f>
        <v/>
      </c>
      <c r="W36" s="2" t="str">
        <f>_xlfn.XLOOKUP(E36,[1]!Bookings[Booking Name],[1]!Bookings[Booking ID])</f>
        <v>a03NM00000T3Aju</v>
      </c>
      <c r="X36" s="2" t="str">
        <f>_xlfn.XLOOKUP(E36,[1]!Bookings[Booking Name],[1]!Bookings[Oracle Id])</f>
        <v>-</v>
      </c>
      <c r="Y36" s="70"/>
      <c r="Z36" s="5" t="s">
        <v>25</v>
      </c>
      <c r="AA36" s="6">
        <v>0</v>
      </c>
      <c r="AB36" s="81" t="s">
        <v>26</v>
      </c>
      <c r="AC36" s="12" t="s">
        <v>191</v>
      </c>
      <c r="AD36" s="106" t="s">
        <v>346</v>
      </c>
      <c r="AE36" s="83" t="s">
        <v>246</v>
      </c>
      <c r="AF36" s="83" t="s">
        <v>246</v>
      </c>
    </row>
    <row r="37" spans="2:32" ht="50.25" customHeight="1" x14ac:dyDescent="0.3">
      <c r="B37" s="87" t="s">
        <v>230</v>
      </c>
      <c r="C37" s="2">
        <v>46041</v>
      </c>
      <c r="D37" s="2">
        <f>_xlfn.XLOOKUP(E37,[1]!Bookings[Booking Name],[1]!Bookings[Rejected Date])</f>
        <v>46042</v>
      </c>
      <c r="E37" s="89" t="s">
        <v>259</v>
      </c>
      <c r="F37" s="76" t="str">
        <f>_xlfn.XLOOKUP(E37,[1]!Bookings[Booking Name],[1]!Bookings[Booking Status])</f>
        <v>Rejected</v>
      </c>
      <c r="G37" s="2">
        <f>_xlfn.XLOOKUP(E37,[1]!Bookings[Booking Name],[1]!Bookings[Booking Date])</f>
        <v>46002</v>
      </c>
      <c r="H37" s="3">
        <f>_xlfn.XLOOKUP(E37,[1]!Bookings[Booking Name],[1]!Bookings[Booking Aging])</f>
        <v>57</v>
      </c>
      <c r="I37" s="2" t="str">
        <f>_xlfn.XLOOKUP(E37,[1]!Bookings[Booking Name],[1]!Bookings[Project Name])</f>
        <v>Do Dubai Island</v>
      </c>
      <c r="J37" s="2" t="str">
        <f>_xlfn.XLOOKUP(E37,[1]!Bookings[Booking Name],[1]!Bookings[Building])</f>
        <v>Tower 1</v>
      </c>
      <c r="K37" s="2" t="str">
        <f>_xlfn.XLOOKUP(E37,[1]!Bookings[Booking Name],[1]!Bookings[Bedrooms])</f>
        <v>1 Bedroom</v>
      </c>
      <c r="L37" s="2" t="str">
        <f>_xlfn.XLOOKUP(E37,[1]!Bookings[Booking Name],[1]!Bookings[Unit No.])</f>
        <v>508</v>
      </c>
      <c r="M37" s="36" t="str">
        <f>_xlfn.XLOOKUP(E37,[1]!Bookings[Booking Name],[1]!Bookings[Inventory Unit Status])</f>
        <v>Blocked</v>
      </c>
      <c r="N37" s="2" t="str">
        <f>_xlfn.XLOOKUP(E37,[1]!Bookings[Booking Name],[1]!Bookings[Booking Status])</f>
        <v>Rejected</v>
      </c>
      <c r="O37" s="52" t="str">
        <f>_xlfn.XLOOKUP(E37,[1]!Bookings[Booking Name],[1]!Bookings[Customer Name])</f>
        <v>Cemal Atilla Birmis</v>
      </c>
      <c r="P37" s="2" t="str">
        <f>_xlfn.XLOOKUP(E37,[1]!Bookings[Booking Name],[1]!Bookings[Nationality])</f>
        <v>Turkey</v>
      </c>
      <c r="Q37" s="4">
        <f>_xlfn.XLOOKUP(E37,[1]!Bookings[Booking Name],[1]!Bookings[Discount Amount])</f>
        <v>68080</v>
      </c>
      <c r="R37" s="27">
        <f>_xlfn.XLOOKUP(E37,[1]!Bookings[Booking Name],[1]!Bookings[Discount Percentage])</f>
        <v>0.02</v>
      </c>
      <c r="S37" s="4">
        <f>_xlfn.XLOOKUP(E37,[1]!Bookings[Booking Name],[1]!Bookings[Final Sale Value After Discount])</f>
        <v>3335920</v>
      </c>
      <c r="T37" s="4">
        <f>_xlfn.XLOOKUP(E37,[1]!Bookings[Booking Name],[1]!Bookings[Inv Final Sale Value])</f>
        <v>3404000</v>
      </c>
      <c r="U37" s="34" t="str">
        <f>_xlfn.XLOOKUP(E37,[1]!Bookings[Booking Name],[1]!Bookings[Sales])</f>
        <v>Midia Sedighi</v>
      </c>
      <c r="V37" s="2" t="str">
        <f>_xlfn.XLOOKUP(E37,[1]!Bookings[Booking Name],[1]!Bookings[Agency Name])</f>
        <v>PRIME RICHMOND PROPERTIES L.L.C</v>
      </c>
      <c r="W37" s="2" t="str">
        <f>_xlfn.XLOOKUP(E37,[1]!Bookings[Booking Name],[1]!Bookings[Booking ID])</f>
        <v>a03NM00000PHQvn</v>
      </c>
      <c r="X37" s="2" t="str">
        <f>_xlfn.XLOOKUP(E37,[1]!Bookings[Booking Name],[1]!Bookings[Oracle Id])</f>
        <v>-</v>
      </c>
      <c r="Y37" s="70"/>
      <c r="Z37" s="90">
        <v>8000</v>
      </c>
      <c r="AA37" s="6">
        <v>2.398139044101777E-3</v>
      </c>
      <c r="AB37" s="85" t="s">
        <v>31</v>
      </c>
      <c r="AC37" s="60" t="s">
        <v>93</v>
      </c>
      <c r="AD37" s="14" t="s">
        <v>347</v>
      </c>
      <c r="AE37" s="60" t="s">
        <v>93</v>
      </c>
      <c r="AF37" s="28" t="s">
        <v>96</v>
      </c>
    </row>
    <row r="38" spans="2:32" ht="50.25" customHeight="1" x14ac:dyDescent="0.3">
      <c r="B38" s="87" t="s">
        <v>230</v>
      </c>
      <c r="C38" s="2">
        <v>46041</v>
      </c>
      <c r="D38" s="2">
        <f>_xlfn.XLOOKUP(E38,[1]!Bookings[Booking Name],[1]!Bookings[Rejected Date])</f>
        <v>46042</v>
      </c>
      <c r="E38" s="89" t="s">
        <v>258</v>
      </c>
      <c r="F38" s="76" t="str">
        <f>_xlfn.XLOOKUP(E38,[1]!Bookings[Booking Name],[1]!Bookings[Booking Status])</f>
        <v>Rejected</v>
      </c>
      <c r="G38" s="2">
        <f>_xlfn.XLOOKUP(E38,[1]!Bookings[Booking Name],[1]!Bookings[Booking Date])</f>
        <v>46002</v>
      </c>
      <c r="H38" s="3">
        <f>_xlfn.XLOOKUP(E38,[1]!Bookings[Booking Name],[1]!Bookings[Booking Aging])</f>
        <v>57</v>
      </c>
      <c r="I38" s="2" t="str">
        <f>_xlfn.XLOOKUP(E38,[1]!Bookings[Booking Name],[1]!Bookings[Project Name])</f>
        <v>Do Dubai Island</v>
      </c>
      <c r="J38" s="2" t="str">
        <f>_xlfn.XLOOKUP(E38,[1]!Bookings[Booking Name],[1]!Bookings[Building])</f>
        <v>Tower 1</v>
      </c>
      <c r="K38" s="2" t="str">
        <f>_xlfn.XLOOKUP(E38,[1]!Bookings[Booking Name],[1]!Bookings[Bedrooms])</f>
        <v>1 Bedroom</v>
      </c>
      <c r="L38" s="2" t="str">
        <f>_xlfn.XLOOKUP(E38,[1]!Bookings[Booking Name],[1]!Bookings[Unit No.])</f>
        <v>409</v>
      </c>
      <c r="M38" s="36" t="str">
        <f>_xlfn.XLOOKUP(E38,[1]!Bookings[Booking Name],[1]!Bookings[Inventory Unit Status])</f>
        <v>Blocked</v>
      </c>
      <c r="N38" s="2" t="str">
        <f>_xlfn.XLOOKUP(E38,[1]!Bookings[Booking Name],[1]!Bookings[Booking Status])</f>
        <v>Rejected</v>
      </c>
      <c r="O38" s="52" t="str">
        <f>_xlfn.XLOOKUP(E38,[1]!Bookings[Booking Name],[1]!Bookings[Customer Name])</f>
        <v>Cemal Atilla Birmis</v>
      </c>
      <c r="P38" s="2" t="str">
        <f>_xlfn.XLOOKUP(E38,[1]!Bookings[Booking Name],[1]!Bookings[Nationality])</f>
        <v>Turkey</v>
      </c>
      <c r="Q38" s="4">
        <f>_xlfn.XLOOKUP(E38,[1]!Bookings[Booking Name],[1]!Bookings[Discount Amount])</f>
        <v>46580</v>
      </c>
      <c r="R38" s="27">
        <f>_xlfn.XLOOKUP(E38,[1]!Bookings[Booking Name],[1]!Bookings[Discount Percentage])</f>
        <v>0.02</v>
      </c>
      <c r="S38" s="4">
        <f>_xlfn.XLOOKUP(E38,[1]!Bookings[Booking Name],[1]!Bookings[Final Sale Value After Discount])</f>
        <v>2282420</v>
      </c>
      <c r="T38" s="4">
        <f>_xlfn.XLOOKUP(E38,[1]!Bookings[Booking Name],[1]!Bookings[Inv Final Sale Value])</f>
        <v>2329000</v>
      </c>
      <c r="U38" s="34" t="str">
        <f>_xlfn.XLOOKUP(E38,[1]!Bookings[Booking Name],[1]!Bookings[Sales])</f>
        <v>Midia Sedighi</v>
      </c>
      <c r="V38" s="2" t="str">
        <f>_xlfn.XLOOKUP(E38,[1]!Bookings[Booking Name],[1]!Bookings[Agency Name])</f>
        <v>PRIME RICHMOND PROPERTIES L.L.C</v>
      </c>
      <c r="W38" s="2" t="str">
        <f>_xlfn.XLOOKUP(E38,[1]!Bookings[Booking Name],[1]!Bookings[Booking ID])</f>
        <v>a03NM00000PHOxF</v>
      </c>
      <c r="X38" s="2" t="str">
        <f>_xlfn.XLOOKUP(E38,[1]!Bookings[Booking Name],[1]!Bookings[Oracle Id])</f>
        <v>-</v>
      </c>
      <c r="Y38" s="70"/>
      <c r="Z38" s="90">
        <v>8000</v>
      </c>
      <c r="AA38" s="6">
        <v>3.505051655698776E-3</v>
      </c>
      <c r="AB38" s="85" t="s">
        <v>31</v>
      </c>
      <c r="AC38" s="60" t="s">
        <v>93</v>
      </c>
      <c r="AD38" s="14" t="s">
        <v>348</v>
      </c>
      <c r="AE38" s="60" t="s">
        <v>93</v>
      </c>
      <c r="AF38" s="28" t="s">
        <v>96</v>
      </c>
    </row>
    <row r="39" spans="2:32" ht="50.25" customHeight="1" x14ac:dyDescent="0.3">
      <c r="B39" s="87" t="s">
        <v>230</v>
      </c>
      <c r="C39" s="2">
        <v>46041</v>
      </c>
      <c r="D39" s="2">
        <f>_xlfn.XLOOKUP(E39,[1]!Bookings[Booking Name],[1]!Bookings[Rejected Date])</f>
        <v>46042</v>
      </c>
      <c r="E39" s="89" t="s">
        <v>257</v>
      </c>
      <c r="F39" s="76" t="str">
        <f>_xlfn.XLOOKUP(E39,[1]!Bookings[Booking Name],[1]!Bookings[Booking Status])</f>
        <v>Rejected</v>
      </c>
      <c r="G39" s="2">
        <f>_xlfn.XLOOKUP(E39,[1]!Bookings[Booking Name],[1]!Bookings[Booking Date])</f>
        <v>46002</v>
      </c>
      <c r="H39" s="3">
        <f>_xlfn.XLOOKUP(E39,[1]!Bookings[Booking Name],[1]!Bookings[Booking Aging])</f>
        <v>57</v>
      </c>
      <c r="I39" s="2" t="str">
        <f>_xlfn.XLOOKUP(E39,[1]!Bookings[Booking Name],[1]!Bookings[Project Name])</f>
        <v>Do Dubai Island</v>
      </c>
      <c r="J39" s="2" t="str">
        <f>_xlfn.XLOOKUP(E39,[1]!Bookings[Booking Name],[1]!Bookings[Building])</f>
        <v>Tower 1</v>
      </c>
      <c r="K39" s="2" t="str">
        <f>_xlfn.XLOOKUP(E39,[1]!Bookings[Booking Name],[1]!Bookings[Bedrooms])</f>
        <v>1 Bedroom</v>
      </c>
      <c r="L39" s="2" t="str">
        <f>_xlfn.XLOOKUP(E39,[1]!Bookings[Booking Name],[1]!Bookings[Unit No.])</f>
        <v>204</v>
      </c>
      <c r="M39" s="36" t="str">
        <f>_xlfn.XLOOKUP(E39,[1]!Bookings[Booking Name],[1]!Bookings[Inventory Unit Status])</f>
        <v>Blocked</v>
      </c>
      <c r="N39" s="2" t="str">
        <f>_xlfn.XLOOKUP(E39,[1]!Bookings[Booking Name],[1]!Bookings[Booking Status])</f>
        <v>Rejected</v>
      </c>
      <c r="O39" s="52" t="str">
        <f>_xlfn.XLOOKUP(E39,[1]!Bookings[Booking Name],[1]!Bookings[Customer Name])</f>
        <v>Cemal Atilla Birmis</v>
      </c>
      <c r="P39" s="2" t="str">
        <f>_xlfn.XLOOKUP(E39,[1]!Bookings[Booking Name],[1]!Bookings[Nationality])</f>
        <v>Turkey</v>
      </c>
      <c r="Q39" s="4">
        <f>_xlfn.XLOOKUP(E39,[1]!Bookings[Booking Name],[1]!Bookings[Discount Amount])</f>
        <v>52620</v>
      </c>
      <c r="R39" s="27">
        <f>_xlfn.XLOOKUP(E39,[1]!Bookings[Booking Name],[1]!Bookings[Discount Percentage])</f>
        <v>0.02</v>
      </c>
      <c r="S39" s="4">
        <f>_xlfn.XLOOKUP(E39,[1]!Bookings[Booking Name],[1]!Bookings[Final Sale Value After Discount])</f>
        <v>2578380</v>
      </c>
      <c r="T39" s="4">
        <f>_xlfn.XLOOKUP(E39,[1]!Bookings[Booking Name],[1]!Bookings[Inv Final Sale Value])</f>
        <v>2631000</v>
      </c>
      <c r="U39" s="34" t="str">
        <f>_xlfn.XLOOKUP(E39,[1]!Bookings[Booking Name],[1]!Bookings[Sales])</f>
        <v>Midia Sedighi</v>
      </c>
      <c r="V39" s="2" t="str">
        <f>_xlfn.XLOOKUP(E39,[1]!Bookings[Booking Name],[1]!Bookings[Agency Name])</f>
        <v>PRIME RICHMOND PROPERTIES L.L.C</v>
      </c>
      <c r="W39" s="2" t="str">
        <f>_xlfn.XLOOKUP(E39,[1]!Bookings[Booking Name],[1]!Bookings[Booking ID])</f>
        <v>a03NM00000PHY8X</v>
      </c>
      <c r="X39" s="2" t="str">
        <f>_xlfn.XLOOKUP(E39,[1]!Bookings[Booking Name],[1]!Bookings[Oracle Id])</f>
        <v>-</v>
      </c>
      <c r="Y39" s="70"/>
      <c r="Z39" s="90">
        <v>8000</v>
      </c>
      <c r="AA39" s="6">
        <v>3.1027234154779358E-3</v>
      </c>
      <c r="AB39" s="85" t="s">
        <v>31</v>
      </c>
      <c r="AC39" s="60" t="s">
        <v>93</v>
      </c>
      <c r="AD39" s="14" t="s">
        <v>349</v>
      </c>
      <c r="AE39" s="60" t="s">
        <v>93</v>
      </c>
      <c r="AF39" s="28" t="s">
        <v>96</v>
      </c>
    </row>
    <row r="40" spans="2:32" ht="50.25" customHeight="1" x14ac:dyDescent="0.3">
      <c r="B40" s="87" t="s">
        <v>230</v>
      </c>
      <c r="C40" s="2">
        <v>46041</v>
      </c>
      <c r="D40" s="2">
        <f>_xlfn.XLOOKUP(E40,[1]!Bookings[Booking Name],[1]!Bookings[Rejected Date])</f>
        <v>46041</v>
      </c>
      <c r="E40" s="89" t="s">
        <v>255</v>
      </c>
      <c r="F40" s="76" t="str">
        <f>_xlfn.XLOOKUP(E40,[1]!Bookings[Booking Name],[1]!Bookings[Booking Status])</f>
        <v>Rejected</v>
      </c>
      <c r="G40" s="2">
        <f>_xlfn.XLOOKUP(E40,[1]!Bookings[Booking Name],[1]!Bookings[Booking Date])</f>
        <v>46035</v>
      </c>
      <c r="H40" s="3">
        <f>_xlfn.XLOOKUP(E40,[1]!Bookings[Booking Name],[1]!Bookings[Booking Aging])</f>
        <v>24</v>
      </c>
      <c r="I40" s="2" t="str">
        <f>_xlfn.XLOOKUP(E40,[1]!Bookings[Booking Name],[1]!Bookings[Project Name])</f>
        <v>One Residence</v>
      </c>
      <c r="J40" s="2" t="str">
        <f>_xlfn.XLOOKUP(E40,[1]!Bookings[Booking Name],[1]!Bookings[Building])</f>
        <v>Tower 1</v>
      </c>
      <c r="K40" s="2" t="str">
        <f>_xlfn.XLOOKUP(E40,[1]!Bookings[Booking Name],[1]!Bookings[Bedrooms])</f>
        <v>1 BR</v>
      </c>
      <c r="L40" s="2" t="str">
        <f>_xlfn.XLOOKUP(E40,[1]!Bookings[Booking Name],[1]!Bookings[Unit No.])</f>
        <v>OR-402</v>
      </c>
      <c r="M40" s="36" t="str">
        <f>_xlfn.XLOOKUP(E40,[1]!Bookings[Booking Name],[1]!Bookings[Inventory Unit Status])</f>
        <v>Booked</v>
      </c>
      <c r="N40" s="2" t="str">
        <f>_xlfn.XLOOKUP(E40,[1]!Bookings[Booking Name],[1]!Bookings[Booking Status])</f>
        <v>Rejected</v>
      </c>
      <c r="O40" s="52" t="str">
        <f>_xlfn.XLOOKUP(E40,[1]!Bookings[Booking Name],[1]!Bookings[Customer Name])</f>
        <v>Dana Imad Aldin Al Afiouni</v>
      </c>
      <c r="P40" s="2" t="str">
        <f>_xlfn.XLOOKUP(E40,[1]!Bookings[Booking Name],[1]!Bookings[Nationality])</f>
        <v>Syria</v>
      </c>
      <c r="Q40" s="4">
        <f>_xlfn.XLOOKUP(E40,[1]!Bookings[Booking Name],[1]!Bookings[Discount Amount])</f>
        <v>10000</v>
      </c>
      <c r="R40" s="27">
        <f>_xlfn.XLOOKUP(E40,[1]!Bookings[Booking Name],[1]!Bookings[Discount Percentage])</f>
        <v>5.5555555555555558E-3</v>
      </c>
      <c r="S40" s="4">
        <f>_xlfn.XLOOKUP(E40,[1]!Bookings[Booking Name],[1]!Bookings[Final Sale Value After Discount])</f>
        <v>1790000</v>
      </c>
      <c r="T40" s="4">
        <f>_xlfn.XLOOKUP(E40,[1]!Bookings[Booking Name],[1]!Bookings[Inv Final Sale Value])</f>
        <v>1800000</v>
      </c>
      <c r="U40" s="34" t="str">
        <f>_xlfn.XLOOKUP(E40,[1]!Bookings[Booking Name],[1]!Bookings[Sales])</f>
        <v>Jamil Ibrahim</v>
      </c>
      <c r="V40" s="2" t="str">
        <f>_xlfn.XLOOKUP(E40,[1]!Bookings[Booking Name],[1]!Bookings[Agency Name])</f>
        <v>Real Urban Modern International Real Estate L. L. C -S. P.C</v>
      </c>
      <c r="W40" s="2" t="str">
        <f>_xlfn.XLOOKUP(E40,[1]!Bookings[Booking Name],[1]!Bookings[Booking ID])</f>
        <v>a03NM00000TALnK</v>
      </c>
      <c r="X40" s="2" t="str">
        <f>_xlfn.XLOOKUP(E40,[1]!Bookings[Booking Name],[1]!Bookings[Oracle Id])</f>
        <v>-</v>
      </c>
      <c r="Y40" s="70"/>
      <c r="Z40" s="5" t="s">
        <v>25</v>
      </c>
      <c r="AA40" s="6">
        <v>0</v>
      </c>
      <c r="AB40" s="81" t="s">
        <v>26</v>
      </c>
      <c r="AC40" s="12" t="s">
        <v>191</v>
      </c>
      <c r="AD40" s="106" t="s">
        <v>350</v>
      </c>
      <c r="AE40" s="83" t="s">
        <v>246</v>
      </c>
      <c r="AF40" s="83" t="s">
        <v>246</v>
      </c>
    </row>
    <row r="41" spans="2:32" ht="50.25" customHeight="1" x14ac:dyDescent="0.3">
      <c r="B41" s="87" t="s">
        <v>230</v>
      </c>
      <c r="C41" s="2">
        <v>46039</v>
      </c>
      <c r="D41" s="2">
        <f>_xlfn.XLOOKUP(E41,[1]!Bookings[Booking Name],[1]!Bookings[Rejected Date])</f>
        <v>46041</v>
      </c>
      <c r="E41" s="89" t="s">
        <v>256</v>
      </c>
      <c r="F41" s="76" t="str">
        <f>_xlfn.XLOOKUP(E41,[1]!Bookings[Booking Name],[1]!Bookings[Booking Status])</f>
        <v>Rejected</v>
      </c>
      <c r="G41" s="2">
        <f>_xlfn.XLOOKUP(E41,[1]!Bookings[Booking Name],[1]!Bookings[Booking Date])</f>
        <v>46031</v>
      </c>
      <c r="H41" s="3">
        <f>_xlfn.XLOOKUP(E41,[1]!Bookings[Booking Name],[1]!Bookings[Booking Aging])</f>
        <v>28</v>
      </c>
      <c r="I41" s="2" t="str">
        <f>_xlfn.XLOOKUP(E41,[1]!Bookings[Booking Name],[1]!Bookings[Project Name])</f>
        <v>One Residence</v>
      </c>
      <c r="J41" s="2" t="str">
        <f>_xlfn.XLOOKUP(E41,[1]!Bookings[Booking Name],[1]!Bookings[Building])</f>
        <v>Tower 1</v>
      </c>
      <c r="K41" s="2" t="str">
        <f>_xlfn.XLOOKUP(E41,[1]!Bookings[Booking Name],[1]!Bookings[Bedrooms])</f>
        <v>1 BR</v>
      </c>
      <c r="L41" s="2" t="str">
        <f>_xlfn.XLOOKUP(E41,[1]!Bookings[Booking Name],[1]!Bookings[Unit No.])</f>
        <v>OR-808</v>
      </c>
      <c r="M41" s="36" t="str">
        <f>_xlfn.XLOOKUP(E41,[1]!Bookings[Booking Name],[1]!Bookings[Inventory Unit Status])</f>
        <v>Booked</v>
      </c>
      <c r="N41" s="2" t="str">
        <f>_xlfn.XLOOKUP(E41,[1]!Bookings[Booking Name],[1]!Bookings[Booking Status])</f>
        <v>Rejected</v>
      </c>
      <c r="O41" s="52" t="str">
        <f>_xlfn.XLOOKUP(E41,[1]!Bookings[Booking Name],[1]!Bookings[Customer Name])</f>
        <v>FAHD AYOUBI</v>
      </c>
      <c r="P41" s="2" t="str">
        <f>_xlfn.XLOOKUP(E41,[1]!Bookings[Booking Name],[1]!Bookings[Nationality])</f>
        <v>United States of America</v>
      </c>
      <c r="Q41" s="4">
        <f>_xlfn.XLOOKUP(E41,[1]!Bookings[Booking Name],[1]!Bookings[Discount Amount])</f>
        <v>0</v>
      </c>
      <c r="R41" s="27">
        <f>_xlfn.XLOOKUP(E41,[1]!Bookings[Booking Name],[1]!Bookings[Discount Percentage])</f>
        <v>0</v>
      </c>
      <c r="S41" s="4">
        <f>_xlfn.XLOOKUP(E41,[1]!Bookings[Booking Name],[1]!Bookings[Final Sale Value After Discount])</f>
        <v>1630000</v>
      </c>
      <c r="T41" s="4">
        <f>_xlfn.XLOOKUP(E41,[1]!Bookings[Booking Name],[1]!Bookings[Inv Final Sale Value])</f>
        <v>1630000</v>
      </c>
      <c r="U41" s="34" t="str">
        <f>_xlfn.XLOOKUP(E41,[1]!Bookings[Booking Name],[1]!Bookings[Sales])</f>
        <v>Amr Abdelghafar</v>
      </c>
      <c r="V41" s="2" t="str">
        <f>_xlfn.XLOOKUP(E41,[1]!Bookings[Booking Name],[1]!Bookings[Agency Name])</f>
        <v>P S I ASSETS REAL ESTATES L.L.C.</v>
      </c>
      <c r="W41" s="2" t="str">
        <f>_xlfn.XLOOKUP(E41,[1]!Bookings[Booking Name],[1]!Bookings[Booking ID])</f>
        <v>a03NM00000SoeoZ</v>
      </c>
      <c r="X41" s="2" t="str">
        <f>_xlfn.XLOOKUP(E41,[1]!Bookings[Booking Name],[1]!Bookings[Oracle Id])</f>
        <v>-</v>
      </c>
      <c r="Y41" s="70"/>
      <c r="Z41" s="5" t="s">
        <v>25</v>
      </c>
      <c r="AA41" s="6">
        <v>0</v>
      </c>
      <c r="AB41" s="81" t="s">
        <v>26</v>
      </c>
      <c r="AC41" s="12" t="s">
        <v>191</v>
      </c>
      <c r="AD41" s="106" t="s">
        <v>351</v>
      </c>
      <c r="AE41" s="83" t="s">
        <v>246</v>
      </c>
      <c r="AF41" s="83" t="s">
        <v>246</v>
      </c>
    </row>
    <row r="42" spans="2:32" ht="50.25" customHeight="1" x14ac:dyDescent="0.3">
      <c r="B42" s="87" t="s">
        <v>230</v>
      </c>
      <c r="C42" s="2">
        <v>46037</v>
      </c>
      <c r="D42" s="2">
        <f>_xlfn.XLOOKUP(E42,[1]!Bookings[Booking Name],[1]!Bookings[Rejected Date])</f>
        <v>46037</v>
      </c>
      <c r="E42" s="87" t="s">
        <v>254</v>
      </c>
      <c r="F42" s="76" t="str">
        <f>_xlfn.XLOOKUP(E42,[1]!Bookings[Booking Name],[1]!Bookings[Booking Status])</f>
        <v>Rejected</v>
      </c>
      <c r="G42" s="2">
        <f>_xlfn.XLOOKUP(E42,[1]!Bookings[Booking Name],[1]!Bookings[Booking Date])</f>
        <v>46037</v>
      </c>
      <c r="H42" s="3">
        <f>_xlfn.XLOOKUP(E42,[1]!Bookings[Booking Name],[1]!Bookings[Booking Aging])</f>
        <v>22</v>
      </c>
      <c r="I42" s="2" t="str">
        <f>_xlfn.XLOOKUP(E42,[1]!Bookings[Booking Name],[1]!Bookings[Project Name])</f>
        <v>One Residence</v>
      </c>
      <c r="J42" s="2" t="str">
        <f>_xlfn.XLOOKUP(E42,[1]!Bookings[Booking Name],[1]!Bookings[Building])</f>
        <v>Tower 1</v>
      </c>
      <c r="K42" s="2" t="str">
        <f>_xlfn.XLOOKUP(E42,[1]!Bookings[Booking Name],[1]!Bookings[Bedrooms])</f>
        <v>2 BR</v>
      </c>
      <c r="L42" s="2" t="str">
        <f>_xlfn.XLOOKUP(E42,[1]!Bookings[Booking Name],[1]!Bookings[Unit No.])</f>
        <v>OR-2506</v>
      </c>
      <c r="M42" s="36" t="str">
        <f>_xlfn.XLOOKUP(E42,[1]!Bookings[Booking Name],[1]!Bookings[Inventory Unit Status])</f>
        <v>Booked</v>
      </c>
      <c r="N42" s="2" t="str">
        <f>_xlfn.XLOOKUP(E42,[1]!Bookings[Booking Name],[1]!Bookings[Booking Status])</f>
        <v>Rejected</v>
      </c>
      <c r="O42" s="52" t="str">
        <f>_xlfn.XLOOKUP(E42,[1]!Bookings[Booking Name],[1]!Bookings[Customer Name])</f>
        <v>Amiran Kavkasidze</v>
      </c>
      <c r="P42" s="2" t="str">
        <f>_xlfn.XLOOKUP(E42,[1]!Bookings[Booking Name],[1]!Bookings[Nationality])</f>
        <v>Switzerland</v>
      </c>
      <c r="Q42" s="4">
        <f>_xlfn.XLOOKUP(E42,[1]!Bookings[Booking Name],[1]!Bookings[Discount Amount])</f>
        <v>17889</v>
      </c>
      <c r="R42" s="27">
        <f>_xlfn.XLOOKUP(E42,[1]!Bookings[Booking Name],[1]!Bookings[Discount Percentage])</f>
        <v>7.1843373493975906E-3</v>
      </c>
      <c r="S42" s="4">
        <f>_xlfn.XLOOKUP(E42,[1]!Bookings[Booking Name],[1]!Bookings[Final Sale Value After Discount])</f>
        <v>2472111</v>
      </c>
      <c r="T42" s="4">
        <f>_xlfn.XLOOKUP(E42,[1]!Bookings[Booking Name],[1]!Bookings[Inv Final Sale Value])</f>
        <v>2490000</v>
      </c>
      <c r="U42" s="34" t="str">
        <f>_xlfn.XLOOKUP(E42,[1]!Bookings[Booking Name],[1]!Bookings[Sales])</f>
        <v>Claire Moussa</v>
      </c>
      <c r="V42" s="2" t="str">
        <f>_xlfn.XLOOKUP(E42,[1]!Bookings[Booking Name],[1]!Bookings[Agency Name])</f>
        <v>IOKA International Real Estate LLC</v>
      </c>
      <c r="W42" s="2" t="str">
        <f>_xlfn.XLOOKUP(E42,[1]!Bookings[Booking Name],[1]!Bookings[Booking ID])</f>
        <v>a03NM00000TN2AV</v>
      </c>
      <c r="X42" s="2" t="str">
        <f>_xlfn.XLOOKUP(E42,[1]!Bookings[Booking Name],[1]!Bookings[Oracle Id])</f>
        <v>-</v>
      </c>
      <c r="Y42" s="70" t="e">
        <v>#N/A</v>
      </c>
      <c r="Z42" s="5" t="s">
        <v>25</v>
      </c>
      <c r="AA42" s="6">
        <v>0</v>
      </c>
      <c r="AB42" s="81" t="s">
        <v>26</v>
      </c>
      <c r="AC42" s="12" t="s">
        <v>191</v>
      </c>
      <c r="AD42" s="106" t="s">
        <v>352</v>
      </c>
      <c r="AE42" s="83" t="s">
        <v>246</v>
      </c>
      <c r="AF42" s="83" t="s">
        <v>246</v>
      </c>
    </row>
    <row r="43" spans="2:32" ht="50.25" customHeight="1" x14ac:dyDescent="0.3">
      <c r="B43" s="87" t="s">
        <v>230</v>
      </c>
      <c r="C43" s="2">
        <v>46036</v>
      </c>
      <c r="D43" s="2">
        <f>_xlfn.XLOOKUP(E43,[1]!Bookings[Booking Name],[1]!Bookings[Rejected Date])</f>
        <v>46037</v>
      </c>
      <c r="E43" s="87" t="s">
        <v>251</v>
      </c>
      <c r="F43" s="76" t="str">
        <f>_xlfn.XLOOKUP(E43,[1]!Bookings[Booking Name],[1]!Bookings[Booking Status])</f>
        <v>Rejected</v>
      </c>
      <c r="G43" s="2">
        <f>_xlfn.XLOOKUP(E43,[1]!Bookings[Booking Name],[1]!Bookings[Booking Date])</f>
        <v>46031</v>
      </c>
      <c r="H43" s="3">
        <f>_xlfn.XLOOKUP(E43,[1]!Bookings[Booking Name],[1]!Bookings[Booking Aging])</f>
        <v>28</v>
      </c>
      <c r="I43" s="2" t="str">
        <f>_xlfn.XLOOKUP(E43,[1]!Bookings[Booking Name],[1]!Bookings[Project Name])</f>
        <v>One Residence</v>
      </c>
      <c r="J43" s="2" t="str">
        <f>_xlfn.XLOOKUP(E43,[1]!Bookings[Booking Name],[1]!Bookings[Building])</f>
        <v>Tower 1</v>
      </c>
      <c r="K43" s="2" t="str">
        <f>_xlfn.XLOOKUP(E43,[1]!Bookings[Booking Name],[1]!Bookings[Bedrooms])</f>
        <v>2 BR</v>
      </c>
      <c r="L43" s="2" t="str">
        <f>_xlfn.XLOOKUP(E43,[1]!Bookings[Booking Name],[1]!Bookings[Unit No.])</f>
        <v>OR-1403</v>
      </c>
      <c r="M43" s="36" t="str">
        <f>_xlfn.XLOOKUP(E43,[1]!Bookings[Booking Name],[1]!Bookings[Inventory Unit Status])</f>
        <v>Booked</v>
      </c>
      <c r="N43" s="2" t="str">
        <f>_xlfn.XLOOKUP(E43,[1]!Bookings[Booking Name],[1]!Bookings[Booking Status])</f>
        <v>Rejected</v>
      </c>
      <c r="O43" s="52" t="str">
        <f>_xlfn.XLOOKUP(E43,[1]!Bookings[Booking Name],[1]!Bookings[Customer Name])</f>
        <v>Anton Mikhailov</v>
      </c>
      <c r="P43" s="2" t="str">
        <f>_xlfn.XLOOKUP(E43,[1]!Bookings[Booking Name],[1]!Bookings[Nationality])</f>
        <v>Russia</v>
      </c>
      <c r="Q43" s="4">
        <f>_xlfn.XLOOKUP(E43,[1]!Bookings[Booking Name],[1]!Bookings[Discount Amount])</f>
        <v>0</v>
      </c>
      <c r="R43" s="27">
        <f>_xlfn.XLOOKUP(E43,[1]!Bookings[Booking Name],[1]!Bookings[Discount Percentage])</f>
        <v>0</v>
      </c>
      <c r="S43" s="4">
        <f>_xlfn.XLOOKUP(E43,[1]!Bookings[Booking Name],[1]!Bookings[Final Sale Value After Discount])</f>
        <v>2390000</v>
      </c>
      <c r="T43" s="4">
        <f>_xlfn.XLOOKUP(E43,[1]!Bookings[Booking Name],[1]!Bookings[Inv Final Sale Value])</f>
        <v>2390000</v>
      </c>
      <c r="U43" s="34" t="str">
        <f>_xlfn.XLOOKUP(E43,[1]!Bookings[Booking Name],[1]!Bookings[Sales])</f>
        <v>Jamil Ibrahim</v>
      </c>
      <c r="V43" s="2" t="str">
        <f>_xlfn.XLOOKUP(E43,[1]!Bookings[Booking Name],[1]!Bookings[Agency Name])</f>
        <v>CAPITAL AVENUE REAL ESTATE SOLE PROPRIETORSHIP L.L.C.</v>
      </c>
      <c r="W43" s="2" t="str">
        <f>_xlfn.XLOOKUP(E43,[1]!Bookings[Booking Name],[1]!Bookings[Booking ID])</f>
        <v>a03NM00000Son8f</v>
      </c>
      <c r="X43" s="2" t="str">
        <f>_xlfn.XLOOKUP(E43,[1]!Bookings[Booking Name],[1]!Bookings[Oracle Id])</f>
        <v>-</v>
      </c>
      <c r="Y43" s="70" t="e">
        <v>#N/A</v>
      </c>
      <c r="Z43" s="5" t="s">
        <v>25</v>
      </c>
      <c r="AA43" s="6">
        <v>0</v>
      </c>
      <c r="AB43" s="81" t="s">
        <v>26</v>
      </c>
      <c r="AC43" s="12" t="s">
        <v>252</v>
      </c>
      <c r="AD43" s="106" t="s">
        <v>353</v>
      </c>
      <c r="AE43" s="88" t="s">
        <v>253</v>
      </c>
      <c r="AF43" s="88" t="s">
        <v>253</v>
      </c>
    </row>
    <row r="44" spans="2:32" ht="50.25" customHeight="1" x14ac:dyDescent="0.3">
      <c r="B44" s="84" t="s">
        <v>230</v>
      </c>
      <c r="C44" s="2">
        <v>46036</v>
      </c>
      <c r="D44" s="2">
        <f>_xlfn.XLOOKUP(E44,[1]!Bookings[Booking Name],[1]!Bookings[Rejected Date])</f>
        <v>46038</v>
      </c>
      <c r="E44" s="84" t="s">
        <v>248</v>
      </c>
      <c r="F44" s="76" t="str">
        <f>_xlfn.XLOOKUP(E44,[1]!Bookings[Booking Name],[1]!Bookings[Booking Status])</f>
        <v>Rejected</v>
      </c>
      <c r="G44" s="2">
        <f>_xlfn.XLOOKUP(E44,[1]!Bookings[Booking Name],[1]!Bookings[Booking Date])</f>
        <v>46035</v>
      </c>
      <c r="H44" s="3">
        <f>_xlfn.XLOOKUP(E44,[1]!Bookings[Booking Name],[1]!Bookings[Booking Aging])</f>
        <v>24</v>
      </c>
      <c r="I44" s="2" t="str">
        <f>_xlfn.XLOOKUP(E44,[1]!Bookings[Booking Name],[1]!Bookings[Project Name])</f>
        <v>One Residence</v>
      </c>
      <c r="J44" s="2" t="str">
        <f>_xlfn.XLOOKUP(E44,[1]!Bookings[Booking Name],[1]!Bookings[Building])</f>
        <v>Tower 1</v>
      </c>
      <c r="K44" s="2" t="str">
        <f>_xlfn.XLOOKUP(E44,[1]!Bookings[Booking Name],[1]!Bookings[Bedrooms])</f>
        <v>2 BR</v>
      </c>
      <c r="L44" s="2" t="str">
        <f>_xlfn.XLOOKUP(E44,[1]!Bookings[Booking Name],[1]!Bookings[Unit No.])</f>
        <v>OR-1503</v>
      </c>
      <c r="M44" s="36" t="str">
        <f>_xlfn.XLOOKUP(E44,[1]!Bookings[Booking Name],[1]!Bookings[Inventory Unit Status])</f>
        <v>Booked</v>
      </c>
      <c r="N44" s="2" t="str">
        <f>_xlfn.XLOOKUP(E44,[1]!Bookings[Booking Name],[1]!Bookings[Booking Status])</f>
        <v>Rejected</v>
      </c>
      <c r="O44" s="52" t="str">
        <f>_xlfn.XLOOKUP(E44,[1]!Bookings[Booking Name],[1]!Bookings[Customer Name])</f>
        <v>Mayank Chadha</v>
      </c>
      <c r="P44" s="2" t="str">
        <f>_xlfn.XLOOKUP(E44,[1]!Bookings[Booking Name],[1]!Bookings[Nationality])</f>
        <v>India</v>
      </c>
      <c r="Q44" s="4">
        <f>_xlfn.XLOOKUP(E44,[1]!Bookings[Booking Name],[1]!Bookings[Discount Amount])</f>
        <v>10000</v>
      </c>
      <c r="R44" s="27">
        <f>_xlfn.XLOOKUP(E44,[1]!Bookings[Booking Name],[1]!Bookings[Discount Percentage])</f>
        <v>4.0650406504065045E-3</v>
      </c>
      <c r="S44" s="4">
        <f>_xlfn.XLOOKUP(E44,[1]!Bookings[Booking Name],[1]!Bookings[Final Sale Value After Discount])</f>
        <v>2450000</v>
      </c>
      <c r="T44" s="4">
        <f>_xlfn.XLOOKUP(E44,[1]!Bookings[Booking Name],[1]!Bookings[Inv Final Sale Value])</f>
        <v>2460000</v>
      </c>
      <c r="U44" s="34" t="str">
        <f>_xlfn.XLOOKUP(E44,[1]!Bookings[Booking Name],[1]!Bookings[Sales])</f>
        <v>Jamil Ibrahim</v>
      </c>
      <c r="V44" s="2" t="str">
        <f>_xlfn.XLOOKUP(E44,[1]!Bookings[Booking Name],[1]!Bookings[Agency Name])</f>
        <v>EAST WEST HOMES PROPERTIES - L.L.C - S.P.C</v>
      </c>
      <c r="W44" s="2" t="str">
        <f>_xlfn.XLOOKUP(E44,[1]!Bookings[Booking Name],[1]!Bookings[Booking ID])</f>
        <v>a03NM00000TBPLr</v>
      </c>
      <c r="X44" s="2" t="str">
        <f>_xlfn.XLOOKUP(E44,[1]!Bookings[Booking Name],[1]!Bookings[Oracle Id])</f>
        <v>-</v>
      </c>
      <c r="Y44" s="70" t="e">
        <v>#N/A</v>
      </c>
      <c r="Z44" s="5" t="s">
        <v>25</v>
      </c>
      <c r="AA44" s="6">
        <v>0</v>
      </c>
      <c r="AB44" s="81" t="s">
        <v>26</v>
      </c>
      <c r="AC44" s="12" t="s">
        <v>191</v>
      </c>
      <c r="AD44" s="106" t="s">
        <v>354</v>
      </c>
      <c r="AE44" s="83" t="s">
        <v>246</v>
      </c>
      <c r="AF44" s="83" t="s">
        <v>246</v>
      </c>
    </row>
    <row r="45" spans="2:32" ht="50.25" customHeight="1" x14ac:dyDescent="0.3">
      <c r="B45" s="84" t="s">
        <v>230</v>
      </c>
      <c r="C45" s="2">
        <v>46036</v>
      </c>
      <c r="D45" s="2">
        <f>_xlfn.XLOOKUP(E45,[1]!Bookings[Booking Name],[1]!Bookings[Rejected Date])</f>
        <v>46038</v>
      </c>
      <c r="E45" s="84" t="s">
        <v>247</v>
      </c>
      <c r="F45" s="76" t="str">
        <f>_xlfn.XLOOKUP(E45,[1]!Bookings[Booking Name],[1]!Bookings[Booking Status])</f>
        <v>Rejected</v>
      </c>
      <c r="G45" s="2">
        <f>_xlfn.XLOOKUP(E45,[1]!Bookings[Booking Name],[1]!Bookings[Booking Date])</f>
        <v>45839</v>
      </c>
      <c r="H45" s="3">
        <f>_xlfn.XLOOKUP(E45,[1]!Bookings[Booking Name],[1]!Bookings[Booking Aging])</f>
        <v>220</v>
      </c>
      <c r="I45" s="2" t="str">
        <f>_xlfn.XLOOKUP(E45,[1]!Bookings[Booking Name],[1]!Bookings[Project Name])</f>
        <v>Laguna Residence</v>
      </c>
      <c r="J45" s="2" t="str">
        <f>_xlfn.XLOOKUP(E45,[1]!Bookings[Booking Name],[1]!Bookings[Building])</f>
        <v>Tower B</v>
      </c>
      <c r="K45" s="2" t="str">
        <f>_xlfn.XLOOKUP(E45,[1]!Bookings[Booking Name],[1]!Bookings[Bedrooms])</f>
        <v>1 Bedroom</v>
      </c>
      <c r="L45" s="2" t="str">
        <f>_xlfn.XLOOKUP(E45,[1]!Bookings[Booking Name],[1]!Bookings[Unit No.])</f>
        <v>B205</v>
      </c>
      <c r="M45" s="36" t="str">
        <f>_xlfn.XLOOKUP(E45,[1]!Bookings[Booking Name],[1]!Bookings[Inventory Unit Status])</f>
        <v>Blocked</v>
      </c>
      <c r="N45" s="2" t="str">
        <f>_xlfn.XLOOKUP(E45,[1]!Bookings[Booking Name],[1]!Bookings[Booking Status])</f>
        <v>Rejected</v>
      </c>
      <c r="O45" s="52" t="str">
        <f>_xlfn.XLOOKUP(E45,[1]!Bookings[Booking Name],[1]!Bookings[Customer Name])</f>
        <v>Mohanad Adel Abdo Saif</v>
      </c>
      <c r="P45" s="2" t="str">
        <f>_xlfn.XLOOKUP(E45,[1]!Bookings[Booking Name],[1]!Bookings[Nationality])</f>
        <v>Yemen</v>
      </c>
      <c r="Q45" s="4">
        <f>_xlfn.XLOOKUP(E45,[1]!Bookings[Booking Name],[1]!Bookings[Discount Amount])</f>
        <v>98000</v>
      </c>
      <c r="R45" s="27">
        <f>_xlfn.XLOOKUP(E45,[1]!Bookings[Booking Name],[1]!Bookings[Discount Percentage])</f>
        <v>7.7287066246056788E-2</v>
      </c>
      <c r="S45" s="4">
        <f>_xlfn.XLOOKUP(E45,[1]!Bookings[Booking Name],[1]!Bookings[Final Sale Value After Discount])</f>
        <v>1170000</v>
      </c>
      <c r="T45" s="4">
        <f>_xlfn.XLOOKUP(E45,[1]!Bookings[Booking Name],[1]!Bookings[Inv Final Sale Value])</f>
        <v>1268000</v>
      </c>
      <c r="U45" s="34" t="str">
        <f>_xlfn.XLOOKUP(E45,[1]!Bookings[Booking Name],[1]!Bookings[Sales])</f>
        <v>Ramy Abdelsalam</v>
      </c>
      <c r="V45" s="2" t="str">
        <f>_xlfn.XLOOKUP(E45,[1]!Bookings[Booking Name],[1]!Bookings[Agency Name])</f>
        <v>STARS AND SANDS PROPERTIES L.L.C</v>
      </c>
      <c r="W45" s="2" t="str">
        <f>_xlfn.XLOOKUP(E45,[1]!Bookings[Booking Name],[1]!Bookings[Booking ID])</f>
        <v>a03J6000009mhWb</v>
      </c>
      <c r="X45" s="2" t="str">
        <f>_xlfn.XLOOKUP(E45,[1]!Bookings[Booking Name],[1]!Bookings[Oracle Id])</f>
        <v>-</v>
      </c>
      <c r="Y45" s="70">
        <v>8000</v>
      </c>
      <c r="Z45" s="90">
        <v>317550</v>
      </c>
      <c r="AA45" s="6">
        <v>0.2714102564102564</v>
      </c>
      <c r="AB45" s="85" t="s">
        <v>31</v>
      </c>
      <c r="AC45" s="12" t="s">
        <v>249</v>
      </c>
      <c r="AD45" s="106" t="s">
        <v>355</v>
      </c>
      <c r="AE45" s="60" t="s">
        <v>88</v>
      </c>
      <c r="AF45" s="85" t="s">
        <v>250</v>
      </c>
    </row>
    <row r="46" spans="2:32" ht="50.25" customHeight="1" x14ac:dyDescent="0.3">
      <c r="B46" s="80" t="s">
        <v>230</v>
      </c>
      <c r="C46" s="2">
        <v>46032</v>
      </c>
      <c r="D46" s="2">
        <f>_xlfn.XLOOKUP(E46,[1]!Bookings[Booking Name],[1]!Bookings[Rejected Date])</f>
        <v>46035</v>
      </c>
      <c r="E46" s="82" t="s">
        <v>245</v>
      </c>
      <c r="F46" s="76" t="str">
        <f>_xlfn.XLOOKUP(E46,[1]!Bookings[Booking Name],[1]!Bookings[Booking Status])</f>
        <v>Rejected</v>
      </c>
      <c r="G46" s="2">
        <f>_xlfn.XLOOKUP(E46,[1]!Bookings[Booking Name],[1]!Bookings[Booking Date])</f>
        <v>46029</v>
      </c>
      <c r="H46" s="3">
        <f>_xlfn.XLOOKUP(E46,[1]!Bookings[Booking Name],[1]!Bookings[Booking Aging])</f>
        <v>30</v>
      </c>
      <c r="I46" s="2" t="str">
        <f>_xlfn.XLOOKUP(E46,[1]!Bookings[Booking Name],[1]!Bookings[Project Name])</f>
        <v>One Residence</v>
      </c>
      <c r="J46" s="2" t="str">
        <f>_xlfn.XLOOKUP(E46,[1]!Bookings[Booking Name],[1]!Bookings[Building])</f>
        <v>Tower 1</v>
      </c>
      <c r="K46" s="2" t="str">
        <f>_xlfn.XLOOKUP(E46,[1]!Bookings[Booking Name],[1]!Bookings[Bedrooms])</f>
        <v>1 BR</v>
      </c>
      <c r="L46" s="2" t="str">
        <f>_xlfn.XLOOKUP(E46,[1]!Bookings[Booking Name],[1]!Bookings[Unit No.])</f>
        <v>OR-810</v>
      </c>
      <c r="M46" s="36" t="str">
        <f>_xlfn.XLOOKUP(E46,[1]!Bookings[Booking Name],[1]!Bookings[Inventory Unit Status])</f>
        <v>Booked</v>
      </c>
      <c r="N46" s="2" t="str">
        <f>_xlfn.XLOOKUP(E46,[1]!Bookings[Booking Name],[1]!Bookings[Booking Status])</f>
        <v>Rejected</v>
      </c>
      <c r="O46" s="52" t="str">
        <f>_xlfn.XLOOKUP(E46,[1]!Bookings[Booking Name],[1]!Bookings[Customer Name])</f>
        <v>Andrea Nannini</v>
      </c>
      <c r="P46" s="2" t="str">
        <f>_xlfn.XLOOKUP(E46,[1]!Bookings[Booking Name],[1]!Bookings[Nationality])</f>
        <v>Italy</v>
      </c>
      <c r="Q46" s="4">
        <f>_xlfn.XLOOKUP(E46,[1]!Bookings[Booking Name],[1]!Bookings[Discount Amount])</f>
        <v>113889</v>
      </c>
      <c r="R46" s="27">
        <f>_xlfn.XLOOKUP(E46,[1]!Bookings[Booking Name],[1]!Bookings[Discount Percentage])</f>
        <v>6.902363636363637E-2</v>
      </c>
      <c r="S46" s="4">
        <f>_xlfn.XLOOKUP(E46,[1]!Bookings[Booking Name],[1]!Bookings[Final Sale Value After Discount])</f>
        <v>1536111</v>
      </c>
      <c r="T46" s="4">
        <f>_xlfn.XLOOKUP(E46,[1]!Bookings[Booking Name],[1]!Bookings[Inv Final Sale Value])</f>
        <v>1650000</v>
      </c>
      <c r="U46" s="34" t="str">
        <f>_xlfn.XLOOKUP(E46,[1]!Bookings[Booking Name],[1]!Bookings[Sales])</f>
        <v>Hussam Haitham Alrez</v>
      </c>
      <c r="V46" s="2" t="str">
        <f>_xlfn.XLOOKUP(E46,[1]!Bookings[Booking Name],[1]!Bookings[Agency Name])</f>
        <v>NARA REAL ESTATE SOLE PROPRIETORSHIP  L.L.C</v>
      </c>
      <c r="W46" s="2" t="str">
        <f>_xlfn.XLOOKUP(E46,[1]!Bookings[Booking Name],[1]!Bookings[Booking ID])</f>
        <v>a03NM00000Sf0vZ</v>
      </c>
      <c r="X46" s="2" t="str">
        <f>_xlfn.XLOOKUP(E46,[1]!Bookings[Booking Name],[1]!Bookings[Oracle Id])</f>
        <v>-</v>
      </c>
      <c r="Y46" s="70" t="e">
        <v>#N/A</v>
      </c>
      <c r="Z46" s="5" t="s">
        <v>25</v>
      </c>
      <c r="AA46" s="6">
        <v>0</v>
      </c>
      <c r="AB46" s="81" t="s">
        <v>26</v>
      </c>
      <c r="AC46" s="12" t="s">
        <v>191</v>
      </c>
      <c r="AD46" s="106" t="s">
        <v>356</v>
      </c>
      <c r="AE46" s="83" t="s">
        <v>246</v>
      </c>
      <c r="AF46" s="83" t="s">
        <v>246</v>
      </c>
    </row>
    <row r="47" spans="2:32" ht="50.25" customHeight="1" x14ac:dyDescent="0.3">
      <c r="B47" s="80" t="s">
        <v>230</v>
      </c>
      <c r="C47" s="2">
        <v>46029</v>
      </c>
      <c r="D47" s="2">
        <f>_xlfn.XLOOKUP(E47,[1]!Bookings[Booking Name],[1]!Bookings[Rejected Date])</f>
        <v>46031</v>
      </c>
      <c r="E47" s="78" t="s">
        <v>240</v>
      </c>
      <c r="F47" s="76" t="str">
        <f>_xlfn.XLOOKUP(E47,[1]!Bookings[Booking Name],[1]!Bookings[Booking Status])</f>
        <v>Rejected</v>
      </c>
      <c r="G47" s="2">
        <f>_xlfn.XLOOKUP(E47,[1]!Bookings[Booking Name],[1]!Bookings[Booking Date])</f>
        <v>45958</v>
      </c>
      <c r="H47" s="3">
        <f>_xlfn.XLOOKUP(E47,[1]!Bookings[Booking Name],[1]!Bookings[Booking Aging])</f>
        <v>101</v>
      </c>
      <c r="I47" s="2" t="str">
        <f>_xlfn.XLOOKUP(E47,[1]!Bookings[Booking Name],[1]!Bookings[Project Name])</f>
        <v>Laguna Residence</v>
      </c>
      <c r="J47" s="2" t="str">
        <f>_xlfn.XLOOKUP(E47,[1]!Bookings[Booking Name],[1]!Bookings[Building])</f>
        <v>Tower B</v>
      </c>
      <c r="K47" s="2" t="str">
        <f>_xlfn.XLOOKUP(E47,[1]!Bookings[Booking Name],[1]!Bookings[Bedrooms])</f>
        <v>Studio</v>
      </c>
      <c r="L47" s="2" t="str">
        <f>_xlfn.XLOOKUP(E47,[1]!Bookings[Booking Name],[1]!Bookings[Unit No.])</f>
        <v>B914</v>
      </c>
      <c r="M47" s="36" t="str">
        <f>_xlfn.XLOOKUP(E47,[1]!Bookings[Booking Name],[1]!Bookings[Inventory Unit Status])</f>
        <v>Blocked</v>
      </c>
      <c r="N47" s="2" t="str">
        <f>_xlfn.XLOOKUP(E47,[1]!Bookings[Booking Name],[1]!Bookings[Booking Status])</f>
        <v>Rejected</v>
      </c>
      <c r="O47" s="52" t="str">
        <f>_xlfn.XLOOKUP(E47,[1]!Bookings[Booking Name],[1]!Bookings[Customer Name])</f>
        <v>Syeda Sadiya</v>
      </c>
      <c r="P47" s="2" t="str">
        <f>_xlfn.XLOOKUP(E47,[1]!Bookings[Booking Name],[1]!Bookings[Nationality])</f>
        <v>India</v>
      </c>
      <c r="Q47" s="4">
        <f>_xlfn.XLOOKUP(E47,[1]!Bookings[Booking Name],[1]!Bookings[Discount Amount])</f>
        <v>0</v>
      </c>
      <c r="R47" s="27">
        <f>_xlfn.XLOOKUP(E47,[1]!Bookings[Booking Name],[1]!Bookings[Discount Percentage])</f>
        <v>0</v>
      </c>
      <c r="S47" s="4">
        <f>_xlfn.XLOOKUP(E47,[1]!Bookings[Booking Name],[1]!Bookings[Final Sale Value After Discount])</f>
        <v>832000</v>
      </c>
      <c r="T47" s="4">
        <f>_xlfn.XLOOKUP(E47,[1]!Bookings[Booking Name],[1]!Bookings[Inv Final Sale Value])</f>
        <v>832000</v>
      </c>
      <c r="U47" s="34" t="str">
        <f>_xlfn.XLOOKUP(E47,[1]!Bookings[Booking Name],[1]!Bookings[Sales])</f>
        <v>Aqsa Bhatti</v>
      </c>
      <c r="V47" s="2" t="str">
        <f>_xlfn.XLOOKUP(E47,[1]!Bookings[Booking Name],[1]!Bookings[Agency Name])</f>
        <v>MUHAMMAD SAEEDI REAL ESTATE MANAGEMENT SUPERVISION SERVICES L.L.C</v>
      </c>
      <c r="W47" s="2" t="str">
        <f>_xlfn.XLOOKUP(E47,[1]!Bookings[Booking Name],[1]!Bookings[Booking ID])</f>
        <v>a03J600000FmHk1</v>
      </c>
      <c r="X47" s="2" t="str">
        <f>_xlfn.XLOOKUP(E47,[1]!Bookings[Booking Name],[1]!Bookings[Oracle Id])</f>
        <v>-</v>
      </c>
      <c r="Y47" s="70" t="s">
        <v>209</v>
      </c>
      <c r="Z47" s="5" t="s">
        <v>25</v>
      </c>
      <c r="AA47" s="6">
        <v>0</v>
      </c>
      <c r="AB47" s="81" t="s">
        <v>26</v>
      </c>
      <c r="AC47" s="60" t="s">
        <v>93</v>
      </c>
      <c r="AD47" s="14" t="s">
        <v>357</v>
      </c>
      <c r="AE47" s="60" t="s">
        <v>93</v>
      </c>
      <c r="AF47" s="67" t="s">
        <v>139</v>
      </c>
    </row>
    <row r="48" spans="2:32" ht="50.25" customHeight="1" x14ac:dyDescent="0.3">
      <c r="B48" s="80" t="s">
        <v>230</v>
      </c>
      <c r="C48" s="2">
        <v>46029</v>
      </c>
      <c r="D48" s="2">
        <f>_xlfn.XLOOKUP(E48,[1]!Bookings[Booking Name],[1]!Bookings[Rejected Date])</f>
        <v>46031</v>
      </c>
      <c r="E48" s="78" t="s">
        <v>239</v>
      </c>
      <c r="F48" s="76" t="str">
        <f>_xlfn.XLOOKUP(E48,[1]!Bookings[Booking Name],[1]!Bookings[Booking Status])</f>
        <v>Rejected</v>
      </c>
      <c r="G48" s="2">
        <f>_xlfn.XLOOKUP(E48,[1]!Bookings[Booking Name],[1]!Bookings[Booking Date])</f>
        <v>45961</v>
      </c>
      <c r="H48" s="3">
        <f>_xlfn.XLOOKUP(E48,[1]!Bookings[Booking Name],[1]!Bookings[Booking Aging])</f>
        <v>98</v>
      </c>
      <c r="I48" s="2" t="str">
        <f>_xlfn.XLOOKUP(E48,[1]!Bookings[Booking Name],[1]!Bookings[Project Name])</f>
        <v>Laguna Residence</v>
      </c>
      <c r="J48" s="2" t="str">
        <f>_xlfn.XLOOKUP(E48,[1]!Bookings[Booking Name],[1]!Bookings[Building])</f>
        <v>Tower B</v>
      </c>
      <c r="K48" s="2" t="str">
        <f>_xlfn.XLOOKUP(E48,[1]!Bookings[Booking Name],[1]!Bookings[Bedrooms])</f>
        <v>Studio</v>
      </c>
      <c r="L48" s="2" t="str">
        <f>_xlfn.XLOOKUP(E48,[1]!Bookings[Booking Name],[1]!Bookings[Unit No.])</f>
        <v>B814</v>
      </c>
      <c r="M48" s="36" t="str">
        <f>_xlfn.XLOOKUP(E48,[1]!Bookings[Booking Name],[1]!Bookings[Inventory Unit Status])</f>
        <v>Blocked</v>
      </c>
      <c r="N48" s="2" t="str">
        <f>_xlfn.XLOOKUP(E48,[1]!Bookings[Booking Name],[1]!Bookings[Booking Status])</f>
        <v>Rejected</v>
      </c>
      <c r="O48" s="52" t="str">
        <f>_xlfn.XLOOKUP(E48,[1]!Bookings[Booking Name],[1]!Bookings[Customer Name])</f>
        <v>Harutyun Melikyan</v>
      </c>
      <c r="P48" s="2" t="str">
        <f>_xlfn.XLOOKUP(E48,[1]!Bookings[Booking Name],[1]!Bookings[Nationality])</f>
        <v>Armenia</v>
      </c>
      <c r="Q48" s="4">
        <f>_xlfn.XLOOKUP(E48,[1]!Bookings[Booking Name],[1]!Bookings[Discount Amount])</f>
        <v>0</v>
      </c>
      <c r="R48" s="27">
        <f>_xlfn.XLOOKUP(E48,[1]!Bookings[Booking Name],[1]!Bookings[Discount Percentage])</f>
        <v>0</v>
      </c>
      <c r="S48" s="4">
        <f>_xlfn.XLOOKUP(E48,[1]!Bookings[Booking Name],[1]!Bookings[Final Sale Value After Discount])</f>
        <v>840000</v>
      </c>
      <c r="T48" s="4">
        <f>_xlfn.XLOOKUP(E48,[1]!Bookings[Booking Name],[1]!Bookings[Inv Final Sale Value])</f>
        <v>840000</v>
      </c>
      <c r="U48" s="34" t="str">
        <f>_xlfn.XLOOKUP(E48,[1]!Bookings[Booking Name],[1]!Bookings[Sales])</f>
        <v>Zarina Avdalian</v>
      </c>
      <c r="V48" s="2" t="str">
        <f>_xlfn.XLOOKUP(E48,[1]!Bookings[Booking Name],[1]!Bookings[Agency Name])</f>
        <v>ALBINA MKRTCHYAN REAL ESTATE</v>
      </c>
      <c r="W48" s="2" t="str">
        <f>_xlfn.XLOOKUP(E48,[1]!Bookings[Booking Name],[1]!Bookings[Booking ID])</f>
        <v>a03J600000Fmas0</v>
      </c>
      <c r="X48" s="2" t="str">
        <f>_xlfn.XLOOKUP(E48,[1]!Bookings[Booking Name],[1]!Bookings[Oracle Id])</f>
        <v>-</v>
      </c>
      <c r="Y48" s="70" t="s">
        <v>209</v>
      </c>
      <c r="Z48" s="90">
        <v>8400</v>
      </c>
      <c r="AA48" s="6">
        <v>0.01</v>
      </c>
      <c r="AB48" s="81" t="s">
        <v>31</v>
      </c>
      <c r="AC48" s="60" t="s">
        <v>93</v>
      </c>
      <c r="AD48" s="14" t="s">
        <v>358</v>
      </c>
      <c r="AE48" s="60" t="s">
        <v>93</v>
      </c>
      <c r="AF48" s="81" t="s">
        <v>241</v>
      </c>
    </row>
    <row r="49" spans="2:32" ht="50.25" customHeight="1" x14ac:dyDescent="0.3">
      <c r="B49" s="112" t="s">
        <v>230</v>
      </c>
      <c r="C49" s="2">
        <v>46028</v>
      </c>
      <c r="D49" s="2">
        <f>_xlfn.XLOOKUP(E49,[1]!Bookings[Booking Name],[1]!Bookings[Rejected Date])</f>
        <v>46055</v>
      </c>
      <c r="E49" s="78" t="s">
        <v>437</v>
      </c>
      <c r="F49" s="76" t="str">
        <f>_xlfn.XLOOKUP(E49,[1]!Bookings[Booking Name],[1]!Bookings[Booking Status])</f>
        <v>Rejected</v>
      </c>
      <c r="G49" s="2">
        <f>_xlfn.XLOOKUP(E49,[1]!Bookings[Booking Name],[1]!Bookings[Booking Date])</f>
        <v>45847</v>
      </c>
      <c r="H49" s="3">
        <f>_xlfn.XLOOKUP(E49,[1]!Bookings[Booking Name],[1]!Bookings[Booking Aging])</f>
        <v>212</v>
      </c>
      <c r="I49" s="2" t="str">
        <f>_xlfn.XLOOKUP(E49,[1]!Bookings[Booking Name],[1]!Bookings[Project Name])</f>
        <v>Laguna Residence</v>
      </c>
      <c r="J49" s="2" t="str">
        <f>_xlfn.XLOOKUP(E49,[1]!Bookings[Booking Name],[1]!Bookings[Building])</f>
        <v>Tower B</v>
      </c>
      <c r="K49" s="2" t="str">
        <f>_xlfn.XLOOKUP(E49,[1]!Bookings[Booking Name],[1]!Bookings[Bedrooms])</f>
        <v>Studio</v>
      </c>
      <c r="L49" s="2" t="str">
        <f>_xlfn.XLOOKUP(E49,[1]!Bookings[Booking Name],[1]!Bookings[Unit No.])</f>
        <v>B807</v>
      </c>
      <c r="M49" s="36" t="str">
        <f>_xlfn.XLOOKUP(E49,[1]!Bookings[Booking Name],[1]!Bookings[Inventory Unit Status])</f>
        <v>Blocked</v>
      </c>
      <c r="N49" s="2" t="str">
        <f>_xlfn.XLOOKUP(E49,[1]!Bookings[Booking Name],[1]!Bookings[Booking Status])</f>
        <v>Rejected</v>
      </c>
      <c r="O49" s="52" t="str">
        <f>_xlfn.XLOOKUP(E49,[1]!Bookings[Booking Name],[1]!Bookings[Customer Name])</f>
        <v>Daniele Lisboa Kon Caval Canti Da Silva</v>
      </c>
      <c r="P49" s="2" t="str">
        <f>_xlfn.XLOOKUP(E49,[1]!Bookings[Booking Name],[1]!Bookings[Nationality])</f>
        <v>Brazil</v>
      </c>
      <c r="Q49" s="4">
        <f>_xlfn.XLOOKUP(E49,[1]!Bookings[Booking Name],[1]!Bookings[Discount Amount])</f>
        <v>60060</v>
      </c>
      <c r="R49" s="27">
        <f>_xlfn.XLOOKUP(E49,[1]!Bookings[Booking Name],[1]!Bookings[Discount Percentage])</f>
        <v>7.0000000000000007E-2</v>
      </c>
      <c r="S49" s="4">
        <f>_xlfn.XLOOKUP(E49,[1]!Bookings[Booking Name],[1]!Bookings[Final Sale Value After Discount])</f>
        <v>797940</v>
      </c>
      <c r="T49" s="4">
        <f>_xlfn.XLOOKUP(E49,[1]!Bookings[Booking Name],[1]!Bookings[Inv Final Sale Value])</f>
        <v>858000</v>
      </c>
      <c r="U49" s="34" t="str">
        <f>_xlfn.XLOOKUP(E49,[1]!Bookings[Booking Name],[1]!Bookings[Sales])</f>
        <v>Muhammad Al Qaq</v>
      </c>
      <c r="V49" s="2" t="str">
        <f>_xlfn.XLOOKUP(E49,[1]!Bookings[Booking Name],[1]!Bookings[Agency Name])</f>
        <v>NAHY REAL ESTATE LLC</v>
      </c>
      <c r="W49" s="2" t="str">
        <f>_xlfn.XLOOKUP(E49,[1]!Bookings[Booking Name],[1]!Bookings[Booking ID])</f>
        <v>a03J6000009nARB</v>
      </c>
      <c r="X49" s="2" t="str">
        <f>_xlfn.XLOOKUP(E49,[1]!Bookings[Booking Name],[1]!Bookings[Oracle Id])</f>
        <v>-</v>
      </c>
      <c r="Y49" s="70"/>
      <c r="Z49" s="90">
        <v>95694</v>
      </c>
      <c r="AA49" s="6">
        <v>0.11992631024889089</v>
      </c>
      <c r="AB49" s="113" t="s">
        <v>31</v>
      </c>
      <c r="AC49" s="113" t="s">
        <v>93</v>
      </c>
      <c r="AD49" s="14" t="s">
        <v>438</v>
      </c>
      <c r="AE49" s="60" t="s">
        <v>93</v>
      </c>
      <c r="AF49" s="81" t="s">
        <v>241</v>
      </c>
    </row>
    <row r="50" spans="2:32" ht="50.25" customHeight="1" x14ac:dyDescent="0.3">
      <c r="B50" s="112" t="s">
        <v>230</v>
      </c>
      <c r="C50" s="2">
        <v>46028</v>
      </c>
      <c r="D50" s="2">
        <f>_xlfn.XLOOKUP(E50,[1]!Bookings[Booking Name],[1]!Bookings[Rejected Date])</f>
        <v>46055</v>
      </c>
      <c r="E50" s="114" t="s">
        <v>439</v>
      </c>
      <c r="F50" s="76" t="str">
        <f>_xlfn.XLOOKUP(E50,[1]!Bookings[Booking Name],[1]!Bookings[Booking Status])</f>
        <v>Rejected</v>
      </c>
      <c r="G50" s="2">
        <f>_xlfn.XLOOKUP(E50,[1]!Bookings[Booking Name],[1]!Bookings[Booking Date])</f>
        <v>45884</v>
      </c>
      <c r="H50" s="3">
        <f>_xlfn.XLOOKUP(E50,[1]!Bookings[Booking Name],[1]!Bookings[Booking Aging])</f>
        <v>175</v>
      </c>
      <c r="I50" s="2" t="str">
        <f>_xlfn.XLOOKUP(E50,[1]!Bookings[Booking Name],[1]!Bookings[Project Name])</f>
        <v>Laguna Residence</v>
      </c>
      <c r="J50" s="2" t="str">
        <f>_xlfn.XLOOKUP(E50,[1]!Bookings[Booking Name],[1]!Bookings[Building])</f>
        <v>Tower A</v>
      </c>
      <c r="K50" s="2" t="str">
        <f>_xlfn.XLOOKUP(E50,[1]!Bookings[Booking Name],[1]!Bookings[Bedrooms])</f>
        <v>Studio</v>
      </c>
      <c r="L50" s="2" t="str">
        <f>_xlfn.XLOOKUP(E50,[1]!Bookings[Booking Name],[1]!Bookings[Unit No.])</f>
        <v>A2413</v>
      </c>
      <c r="M50" s="36" t="str">
        <f>_xlfn.XLOOKUP(E50,[1]!Bookings[Booking Name],[1]!Bookings[Inventory Unit Status])</f>
        <v>Blocked</v>
      </c>
      <c r="N50" s="2" t="str">
        <f>_xlfn.XLOOKUP(E50,[1]!Bookings[Booking Name],[1]!Bookings[Booking Status])</f>
        <v>Rejected</v>
      </c>
      <c r="O50" s="52" t="str">
        <f>_xlfn.XLOOKUP(E50,[1]!Bookings[Booking Name],[1]!Bookings[Customer Name])</f>
        <v>Walid Monir Ahmed Radwan</v>
      </c>
      <c r="P50" s="2" t="str">
        <f>_xlfn.XLOOKUP(E50,[1]!Bookings[Booking Name],[1]!Bookings[Nationality])</f>
        <v>Egypt</v>
      </c>
      <c r="Q50" s="4">
        <f>_xlfn.XLOOKUP(E50,[1]!Bookings[Booking Name],[1]!Bookings[Discount Amount])</f>
        <v>39650</v>
      </c>
      <c r="R50" s="27">
        <f>_xlfn.XLOOKUP(E50,[1]!Bookings[Booking Name],[1]!Bookings[Discount Percentage])</f>
        <v>0.05</v>
      </c>
      <c r="S50" s="4">
        <f>_xlfn.XLOOKUP(E50,[1]!Bookings[Booking Name],[1]!Bookings[Final Sale Value After Discount])</f>
        <v>753350</v>
      </c>
      <c r="T50" s="4">
        <f>_xlfn.XLOOKUP(E50,[1]!Bookings[Booking Name],[1]!Bookings[Inv Final Sale Value])</f>
        <v>793000</v>
      </c>
      <c r="U50" s="34" t="str">
        <f>_xlfn.XLOOKUP(E50,[1]!Bookings[Booking Name],[1]!Bookings[Sales])</f>
        <v>Ahmed Eissa</v>
      </c>
      <c r="V50" s="2" t="str">
        <f>_xlfn.XLOOKUP(E50,[1]!Bookings[Booking Name],[1]!Bookings[Agency Name])</f>
        <v>Dar Alsarh Real Estate Brokerage</v>
      </c>
      <c r="W50" s="2" t="str">
        <f>_xlfn.XLOOKUP(E50,[1]!Bookings[Booking Name],[1]!Bookings[Booking ID])</f>
        <v>a03J600000Br1GH</v>
      </c>
      <c r="X50" s="2" t="str">
        <f>_xlfn.XLOOKUP(E50,[1]!Bookings[Booking Name],[1]!Bookings[Oracle Id])</f>
        <v>-</v>
      </c>
      <c r="Y50" s="70"/>
      <c r="Z50" s="90">
        <v>47340.19</v>
      </c>
      <c r="AA50" s="6">
        <v>6.2839569921019453E-2</v>
      </c>
      <c r="AB50" s="113" t="s">
        <v>31</v>
      </c>
      <c r="AC50" s="113" t="s">
        <v>93</v>
      </c>
      <c r="AD50" s="14" t="s">
        <v>440</v>
      </c>
      <c r="AE50" s="60" t="s">
        <v>93</v>
      </c>
      <c r="AF50" s="81" t="s">
        <v>241</v>
      </c>
    </row>
    <row r="51" spans="2:32" ht="50.25" customHeight="1" x14ac:dyDescent="0.3">
      <c r="B51" s="80" t="s">
        <v>230</v>
      </c>
      <c r="C51" s="2">
        <v>46024</v>
      </c>
      <c r="D51" s="2">
        <f>_xlfn.XLOOKUP(E51,[1]!Bookings[Booking Name],[1]!Bookings[Rejected Date])</f>
        <v>46031</v>
      </c>
      <c r="E51" s="78" t="s">
        <v>238</v>
      </c>
      <c r="F51" s="76" t="str">
        <f>_xlfn.XLOOKUP(E51,[1]!Bookings[Booking Name],[1]!Bookings[Booking Status])</f>
        <v>Rejected</v>
      </c>
      <c r="G51" s="2">
        <f>_xlfn.XLOOKUP(E51,[1]!Bookings[Booking Name],[1]!Bookings[Booking Date])</f>
        <v>45987</v>
      </c>
      <c r="H51" s="3">
        <f>_xlfn.XLOOKUP(E51,[1]!Bookings[Booking Name],[1]!Bookings[Booking Aging])</f>
        <v>72</v>
      </c>
      <c r="I51" s="2" t="str">
        <f>_xlfn.XLOOKUP(E51,[1]!Bookings[Booking Name],[1]!Bookings[Project Name])</f>
        <v>Laguna Residence</v>
      </c>
      <c r="J51" s="2" t="str">
        <f>_xlfn.XLOOKUP(E51,[1]!Bookings[Booking Name],[1]!Bookings[Building])</f>
        <v>Tower B</v>
      </c>
      <c r="K51" s="2" t="str">
        <f>_xlfn.XLOOKUP(E51,[1]!Bookings[Booking Name],[1]!Bookings[Bedrooms])</f>
        <v>2 Bedroom</v>
      </c>
      <c r="L51" s="2" t="str">
        <f>_xlfn.XLOOKUP(E51,[1]!Bookings[Booking Name],[1]!Bookings[Unit No.])</f>
        <v>B2101</v>
      </c>
      <c r="M51" s="36" t="str">
        <f>_xlfn.XLOOKUP(E51,[1]!Bookings[Booking Name],[1]!Bookings[Inventory Unit Status])</f>
        <v>Blocked</v>
      </c>
      <c r="N51" s="2" t="str">
        <f>_xlfn.XLOOKUP(E51,[1]!Bookings[Booking Name],[1]!Bookings[Booking Status])</f>
        <v>Rejected</v>
      </c>
      <c r="O51" s="52" t="str">
        <f>_xlfn.XLOOKUP(E51,[1]!Bookings[Booking Name],[1]!Bookings[Customer Name])</f>
        <v>Garry Anthony Mebane</v>
      </c>
      <c r="P51" s="2" t="str">
        <f>_xlfn.XLOOKUP(E51,[1]!Bookings[Booking Name],[1]!Bookings[Nationality])</f>
        <v>United States of America</v>
      </c>
      <c r="Q51" s="4">
        <f>_xlfn.XLOOKUP(E51,[1]!Bookings[Booking Name],[1]!Bookings[Discount Amount])</f>
        <v>0</v>
      </c>
      <c r="R51" s="27">
        <f>_xlfn.XLOOKUP(E51,[1]!Bookings[Booking Name],[1]!Bookings[Discount Percentage])</f>
        <v>0</v>
      </c>
      <c r="S51" s="4">
        <f>_xlfn.XLOOKUP(E51,[1]!Bookings[Booking Name],[1]!Bookings[Final Sale Value After Discount])</f>
        <v>2790000</v>
      </c>
      <c r="T51" s="4">
        <f>_xlfn.XLOOKUP(E51,[1]!Bookings[Booking Name],[1]!Bookings[Inv Final Sale Value])</f>
        <v>2790000</v>
      </c>
      <c r="U51" s="34" t="str">
        <f>_xlfn.XLOOKUP(E51,[1]!Bookings[Booking Name],[1]!Bookings[Sales])</f>
        <v>Jude Kwakye</v>
      </c>
      <c r="V51" s="2" t="str">
        <f>_xlfn.XLOOKUP(E51,[1]!Bookings[Booking Name],[1]!Bookings[Agency Name])</f>
        <v>ANCHORMAN REAL ESTATE L.L.C</v>
      </c>
      <c r="W51" s="2" t="str">
        <f>_xlfn.XLOOKUP(E51,[1]!Bookings[Booking Name],[1]!Bookings[Booking ID])</f>
        <v>a03NM00000NvuTI</v>
      </c>
      <c r="X51" s="2" t="str">
        <f>_xlfn.XLOOKUP(E51,[1]!Bookings[Booking Name],[1]!Bookings[Oracle Id])</f>
        <v>-</v>
      </c>
      <c r="Y51" s="70" t="e">
        <v>#N/A</v>
      </c>
      <c r="Z51" s="90">
        <v>7345.2</v>
      </c>
      <c r="AA51" s="6">
        <v>2.6326881720430107E-3</v>
      </c>
      <c r="AB51" s="81" t="s">
        <v>31</v>
      </c>
      <c r="AC51" s="60" t="s">
        <v>93</v>
      </c>
      <c r="AD51" s="14" t="s">
        <v>359</v>
      </c>
      <c r="AE51" s="60" t="s">
        <v>93</v>
      </c>
      <c r="AF51" s="81" t="s">
        <v>241</v>
      </c>
    </row>
    <row r="52" spans="2:32" ht="50.25" customHeight="1" x14ac:dyDescent="0.3">
      <c r="B52" s="80" t="s">
        <v>230</v>
      </c>
      <c r="C52" s="2">
        <v>46024</v>
      </c>
      <c r="D52" s="2">
        <f>_xlfn.XLOOKUP(E52,[1]!Bookings[Booking Name],[1]!Bookings[Rejected Date])</f>
        <v>46031</v>
      </c>
      <c r="E52" s="86" t="s">
        <v>231</v>
      </c>
      <c r="F52" s="76" t="str">
        <f>_xlfn.XLOOKUP(E52,[1]!Bookings[Booking Name],[1]!Bookings[Booking Status])</f>
        <v>Rejected</v>
      </c>
      <c r="G52" s="2">
        <f>_xlfn.XLOOKUP(E52,[1]!Bookings[Booking Name],[1]!Bookings[Booking Date])</f>
        <v>45896</v>
      </c>
      <c r="H52" s="3">
        <f>_xlfn.XLOOKUP(E52,[1]!Bookings[Booking Name],[1]!Bookings[Booking Aging])</f>
        <v>163</v>
      </c>
      <c r="I52" s="2" t="str">
        <f>_xlfn.XLOOKUP(E52,[1]!Bookings[Booking Name],[1]!Bookings[Project Name])</f>
        <v>Laguna Residence</v>
      </c>
      <c r="J52" s="2" t="str">
        <f>_xlfn.XLOOKUP(E52,[1]!Bookings[Booking Name],[1]!Bookings[Building])</f>
        <v>Tower A</v>
      </c>
      <c r="K52" s="2" t="str">
        <f>_xlfn.XLOOKUP(E52,[1]!Bookings[Booking Name],[1]!Bookings[Bedrooms])</f>
        <v>Studio</v>
      </c>
      <c r="L52" s="2" t="str">
        <f>_xlfn.XLOOKUP(E52,[1]!Bookings[Booking Name],[1]!Bookings[Unit No.])</f>
        <v>A3113</v>
      </c>
      <c r="M52" s="36" t="str">
        <f>_xlfn.XLOOKUP(E52,[1]!Bookings[Booking Name],[1]!Bookings[Inventory Unit Status])</f>
        <v>Booked</v>
      </c>
      <c r="N52" s="2" t="str">
        <f>_xlfn.XLOOKUP(E52,[1]!Bookings[Booking Name],[1]!Bookings[Booking Status])</f>
        <v>Rejected</v>
      </c>
      <c r="O52" s="52" t="str">
        <f>_xlfn.XLOOKUP(E52,[1]!Bookings[Booking Name],[1]!Bookings[Customer Name])</f>
        <v>Osha Ali Salmeen Ali Almazrouei</v>
      </c>
      <c r="P52" s="2" t="str">
        <f>_xlfn.XLOOKUP(E52,[1]!Bookings[Booking Name],[1]!Bookings[Nationality])</f>
        <v>United Arab Emirates</v>
      </c>
      <c r="Q52" s="4">
        <f>_xlfn.XLOOKUP(E52,[1]!Bookings[Booking Name],[1]!Bookings[Discount Amount])</f>
        <v>0</v>
      </c>
      <c r="R52" s="27">
        <f>_xlfn.XLOOKUP(E52,[1]!Bookings[Booking Name],[1]!Bookings[Discount Percentage])</f>
        <v>0</v>
      </c>
      <c r="S52" s="4">
        <f>_xlfn.XLOOKUP(E52,[1]!Bookings[Booking Name],[1]!Bookings[Final Sale Value After Discount])</f>
        <v>805000</v>
      </c>
      <c r="T52" s="4">
        <f>_xlfn.XLOOKUP(E52,[1]!Bookings[Booking Name],[1]!Bookings[Inv Final Sale Value])</f>
        <v>805000</v>
      </c>
      <c r="U52" s="34" t="str">
        <f>_xlfn.XLOOKUP(E52,[1]!Bookings[Booking Name],[1]!Bookings[Sales])</f>
        <v>Mohamed El Shimy</v>
      </c>
      <c r="V52" s="2" t="str">
        <f>_xlfn.XLOOKUP(E52,[1]!Bookings[Booking Name],[1]!Bookings[Agency Name])</f>
        <v>Eleva Properties LLC</v>
      </c>
      <c r="W52" s="2" t="str">
        <f>_xlfn.XLOOKUP(E52,[1]!Bookings[Booking Name],[1]!Bookings[Booking ID])</f>
        <v>a03J600000BrdNw</v>
      </c>
      <c r="X52" s="2" t="str">
        <f>_xlfn.XLOOKUP(E52,[1]!Bookings[Booking Name],[1]!Bookings[Oracle Id])</f>
        <v>-</v>
      </c>
      <c r="Y52" s="70" t="s">
        <v>209</v>
      </c>
      <c r="Z52" s="90">
        <v>5000</v>
      </c>
      <c r="AA52" s="6">
        <v>6.2111801242236021E-3</v>
      </c>
      <c r="AB52" s="81" t="s">
        <v>26</v>
      </c>
      <c r="AC52" s="104" t="s">
        <v>289</v>
      </c>
      <c r="AD52" s="14" t="s">
        <v>360</v>
      </c>
      <c r="AE52" s="95" t="s">
        <v>276</v>
      </c>
      <c r="AF52" s="95" t="s">
        <v>277</v>
      </c>
    </row>
    <row r="53" spans="2:32" ht="50.25" customHeight="1" x14ac:dyDescent="0.3">
      <c r="B53" s="78" t="s">
        <v>223</v>
      </c>
      <c r="C53" s="2">
        <v>46021</v>
      </c>
      <c r="D53" s="2">
        <f>_xlfn.XLOOKUP(E53,[1]!Bookings[Booking Name],[1]!Bookings[Rejected Date])</f>
        <v>46031</v>
      </c>
      <c r="E53" s="78" t="s">
        <v>229</v>
      </c>
      <c r="F53" s="76" t="str">
        <f>_xlfn.XLOOKUP(E53,[1]!Bookings[Booking Name],[1]!Bookings[Booking Status])</f>
        <v>Rejected</v>
      </c>
      <c r="G53" s="2">
        <f>_xlfn.XLOOKUP(E53,[1]!Bookings[Booking Name],[1]!Bookings[Booking Date])</f>
        <v>45987</v>
      </c>
      <c r="H53" s="3">
        <f>_xlfn.XLOOKUP(E53,[1]!Bookings[Booking Name],[1]!Bookings[Booking Aging])</f>
        <v>72</v>
      </c>
      <c r="I53" s="2" t="str">
        <f>_xlfn.XLOOKUP(E53,[1]!Bookings[Booking Name],[1]!Bookings[Project Name])</f>
        <v>Do Dubai Island</v>
      </c>
      <c r="J53" s="2" t="str">
        <f>_xlfn.XLOOKUP(E53,[1]!Bookings[Booking Name],[1]!Bookings[Building])</f>
        <v>Tower 1</v>
      </c>
      <c r="K53" s="2" t="str">
        <f>_xlfn.XLOOKUP(E53,[1]!Bookings[Booking Name],[1]!Bookings[Bedrooms])</f>
        <v>1 Bedroom</v>
      </c>
      <c r="L53" s="2" t="str">
        <f>_xlfn.XLOOKUP(E53,[1]!Bookings[Booking Name],[1]!Bookings[Unit No.])</f>
        <v>206</v>
      </c>
      <c r="M53" s="36" t="str">
        <f>_xlfn.XLOOKUP(E53,[1]!Bookings[Booking Name],[1]!Bookings[Inventory Unit Status])</f>
        <v>Blocked</v>
      </c>
      <c r="N53" s="2" t="str">
        <f>_xlfn.XLOOKUP(E53,[1]!Bookings[Booking Name],[1]!Bookings[Booking Status])</f>
        <v>Rejected</v>
      </c>
      <c r="O53" s="52" t="str">
        <f>_xlfn.XLOOKUP(E53,[1]!Bookings[Booking Name],[1]!Bookings[Customer Name])</f>
        <v>Jens Michael Engelhardt</v>
      </c>
      <c r="P53" s="2" t="str">
        <f>_xlfn.XLOOKUP(E53,[1]!Bookings[Booking Name],[1]!Bookings[Nationality])</f>
        <v>Switzerland</v>
      </c>
      <c r="Q53" s="4">
        <f>_xlfn.XLOOKUP(E53,[1]!Bookings[Booking Name],[1]!Bookings[Discount Amount])</f>
        <v>0</v>
      </c>
      <c r="R53" s="27">
        <f>_xlfn.XLOOKUP(E53,[1]!Bookings[Booking Name],[1]!Bookings[Discount Percentage])</f>
        <v>0</v>
      </c>
      <c r="S53" s="4">
        <f>_xlfn.XLOOKUP(E53,[1]!Bookings[Booking Name],[1]!Bookings[Final Sale Value After Discount])</f>
        <v>2670000</v>
      </c>
      <c r="T53" s="4">
        <f>_xlfn.XLOOKUP(E53,[1]!Bookings[Booking Name],[1]!Bookings[Inv Final Sale Value])</f>
        <v>2670000</v>
      </c>
      <c r="U53" s="34" t="str">
        <f>_xlfn.XLOOKUP(E53,[1]!Bookings[Booking Name],[1]!Bookings[Sales])</f>
        <v>Zarina Avdalian</v>
      </c>
      <c r="V53" s="2" t="str">
        <f>_xlfn.XLOOKUP(E53,[1]!Bookings[Booking Name],[1]!Bookings[Agency Name])</f>
        <v>Metropolitan Premium Properties</v>
      </c>
      <c r="W53" s="2" t="str">
        <f>_xlfn.XLOOKUP(E53,[1]!Bookings[Booking Name],[1]!Bookings[Booking ID])</f>
        <v>a03NM00000Nuh6f</v>
      </c>
      <c r="X53" s="2" t="str">
        <f>_xlfn.XLOOKUP(E53,[1]!Bookings[Booking Name],[1]!Bookings[Oracle Id])</f>
        <v>-</v>
      </c>
      <c r="Y53" s="70" t="e">
        <v>#N/A</v>
      </c>
      <c r="Z53" s="90">
        <v>10000</v>
      </c>
      <c r="AA53" s="6">
        <v>3.7453183520599251E-3</v>
      </c>
      <c r="AB53" s="79" t="s">
        <v>31</v>
      </c>
      <c r="AC53" s="12" t="s">
        <v>228</v>
      </c>
      <c r="AD53" s="106" t="s">
        <v>361</v>
      </c>
      <c r="AE53" s="60" t="s">
        <v>32</v>
      </c>
      <c r="AF53" s="29" t="s">
        <v>97</v>
      </c>
    </row>
    <row r="54" spans="2:32" ht="50.25" customHeight="1" x14ac:dyDescent="0.3">
      <c r="B54" s="76" t="s">
        <v>223</v>
      </c>
      <c r="C54" s="2">
        <v>46015</v>
      </c>
      <c r="D54" s="2">
        <f>_xlfn.XLOOKUP(E54,[1]!Bookings[Booking Name],[1]!Bookings[Rejected Date])</f>
        <v>46020</v>
      </c>
      <c r="E54" s="76" t="s">
        <v>227</v>
      </c>
      <c r="F54" s="76" t="str">
        <f>_xlfn.XLOOKUP(E54,[1]!Bookings[Booking Name],[1]!Bookings[Booking Status])</f>
        <v>Rejected</v>
      </c>
      <c r="G54" s="2">
        <f>_xlfn.XLOOKUP(E54,[1]!Bookings[Booking Name],[1]!Bookings[Booking Date])</f>
        <v>45960</v>
      </c>
      <c r="H54" s="3">
        <f>_xlfn.XLOOKUP(E54,[1]!Bookings[Booking Name],[1]!Bookings[Booking Aging])</f>
        <v>99</v>
      </c>
      <c r="I54" s="2" t="str">
        <f>_xlfn.XLOOKUP(E54,[1]!Bookings[Booking Name],[1]!Bookings[Project Name])</f>
        <v>Laguna Residence</v>
      </c>
      <c r="J54" s="2" t="str">
        <f>_xlfn.XLOOKUP(E54,[1]!Bookings[Booking Name],[1]!Bookings[Building])</f>
        <v>Tower B</v>
      </c>
      <c r="K54" s="2" t="str">
        <f>_xlfn.XLOOKUP(E54,[1]!Bookings[Booking Name],[1]!Bookings[Bedrooms])</f>
        <v>Studio</v>
      </c>
      <c r="L54" s="2" t="str">
        <f>_xlfn.XLOOKUP(E54,[1]!Bookings[Booking Name],[1]!Bookings[Unit No.])</f>
        <v>B1513</v>
      </c>
      <c r="M54" s="36" t="str">
        <f>_xlfn.XLOOKUP(E54,[1]!Bookings[Booking Name],[1]!Bookings[Inventory Unit Status])</f>
        <v>Blocked</v>
      </c>
      <c r="N54" s="2" t="str">
        <f>_xlfn.XLOOKUP(E54,[1]!Bookings[Booking Name],[1]!Bookings[Booking Status])</f>
        <v>Rejected</v>
      </c>
      <c r="O54" s="52" t="str">
        <f>_xlfn.XLOOKUP(E54,[1]!Bookings[Booking Name],[1]!Bookings[Customer Name])</f>
        <v>Poorva Avinash Rupawate</v>
      </c>
      <c r="P54" s="2" t="str">
        <f>_xlfn.XLOOKUP(E54,[1]!Bookings[Booking Name],[1]!Bookings[Nationality])</f>
        <v>India</v>
      </c>
      <c r="Q54" s="4">
        <f>_xlfn.XLOOKUP(E54,[1]!Bookings[Booking Name],[1]!Bookings[Discount Amount])</f>
        <v>0</v>
      </c>
      <c r="R54" s="27">
        <f>_xlfn.XLOOKUP(E54,[1]!Bookings[Booking Name],[1]!Bookings[Discount Percentage])</f>
        <v>0</v>
      </c>
      <c r="S54" s="4">
        <f>_xlfn.XLOOKUP(E54,[1]!Bookings[Booking Name],[1]!Bookings[Final Sale Value After Discount])</f>
        <v>854000</v>
      </c>
      <c r="T54" s="4">
        <f>_xlfn.XLOOKUP(E54,[1]!Bookings[Booking Name],[1]!Bookings[Inv Final Sale Value])</f>
        <v>854000</v>
      </c>
      <c r="U54" s="34" t="str">
        <f>_xlfn.XLOOKUP(E54,[1]!Bookings[Booking Name],[1]!Bookings[Sales])</f>
        <v>Jamil Ibrahim</v>
      </c>
      <c r="V54" s="2" t="str">
        <f>_xlfn.XLOOKUP(E54,[1]!Bookings[Booking Name],[1]!Bookings[Agency Name])</f>
        <v>BANKE INTERNATIONAL PROPERTIES L.L.C</v>
      </c>
      <c r="W54" s="2" t="str">
        <f>_xlfn.XLOOKUP(E54,[1]!Bookings[Booking Name],[1]!Bookings[Booking ID])</f>
        <v>a03J600000FmRI5</v>
      </c>
      <c r="X54" s="2" t="str">
        <f>_xlfn.XLOOKUP(E54,[1]!Bookings[Booking Name],[1]!Bookings[Oracle Id])</f>
        <v>-</v>
      </c>
      <c r="Y54" s="70" t="s">
        <v>209</v>
      </c>
      <c r="Z54" s="90">
        <v>8160</v>
      </c>
      <c r="AA54" s="6">
        <v>9.5550351288056206E-3</v>
      </c>
      <c r="AB54" s="77" t="s">
        <v>31</v>
      </c>
      <c r="AC54" s="12" t="s">
        <v>228</v>
      </c>
      <c r="AD54" s="106" t="s">
        <v>362</v>
      </c>
      <c r="AE54" s="60" t="s">
        <v>32</v>
      </c>
      <c r="AF54" s="81" t="s">
        <v>97</v>
      </c>
    </row>
    <row r="55" spans="2:32" ht="50.25" customHeight="1" x14ac:dyDescent="0.3">
      <c r="B55" s="80" t="s">
        <v>223</v>
      </c>
      <c r="C55" s="2">
        <v>46014</v>
      </c>
      <c r="D55" s="2">
        <f>_xlfn.XLOOKUP(E55,[1]!Bookings[Booking Name],[1]!Bookings[Rejected Date])</f>
        <v>46031</v>
      </c>
      <c r="E55" s="78" t="s">
        <v>237</v>
      </c>
      <c r="F55" s="76" t="str">
        <f>_xlfn.XLOOKUP(E55,[1]!Bookings[Booking Name],[1]!Bookings[Booking Status])</f>
        <v>Rejected</v>
      </c>
      <c r="G55" s="2">
        <f>_xlfn.XLOOKUP(E55,[1]!Bookings[Booking Name],[1]!Bookings[Booking Date])</f>
        <v>45994</v>
      </c>
      <c r="H55" s="3">
        <f>_xlfn.XLOOKUP(E55,[1]!Bookings[Booking Name],[1]!Bookings[Booking Aging])</f>
        <v>65</v>
      </c>
      <c r="I55" s="2" t="str">
        <f>_xlfn.XLOOKUP(E55,[1]!Bookings[Booking Name],[1]!Bookings[Project Name])</f>
        <v>Laguna Residence</v>
      </c>
      <c r="J55" s="2" t="str">
        <f>_xlfn.XLOOKUP(E55,[1]!Bookings[Booking Name],[1]!Bookings[Building])</f>
        <v>Tower A</v>
      </c>
      <c r="K55" s="2" t="str">
        <f>_xlfn.XLOOKUP(E55,[1]!Bookings[Booking Name],[1]!Bookings[Bedrooms])</f>
        <v>Studio</v>
      </c>
      <c r="L55" s="2" t="str">
        <f>_xlfn.XLOOKUP(E55,[1]!Bookings[Booking Name],[1]!Bookings[Unit No.])</f>
        <v>A1917</v>
      </c>
      <c r="M55" s="36" t="str">
        <f>_xlfn.XLOOKUP(E55,[1]!Bookings[Booking Name],[1]!Bookings[Inventory Unit Status])</f>
        <v>Blocked</v>
      </c>
      <c r="N55" s="2" t="str">
        <f>_xlfn.XLOOKUP(E55,[1]!Bookings[Booking Name],[1]!Bookings[Booking Status])</f>
        <v>Rejected</v>
      </c>
      <c r="O55" s="52" t="str">
        <f>_xlfn.XLOOKUP(E55,[1]!Bookings[Booking Name],[1]!Bookings[Customer Name])</f>
        <v>Vijay Kumar Bhatia</v>
      </c>
      <c r="P55" s="2" t="str">
        <f>_xlfn.XLOOKUP(E55,[1]!Bookings[Booking Name],[1]!Bookings[Nationality])</f>
        <v>India</v>
      </c>
      <c r="Q55" s="4">
        <f>_xlfn.XLOOKUP(E55,[1]!Bookings[Booking Name],[1]!Bookings[Discount Amount])</f>
        <v>0</v>
      </c>
      <c r="R55" s="27">
        <f>_xlfn.XLOOKUP(E55,[1]!Bookings[Booking Name],[1]!Bookings[Discount Percentage])</f>
        <v>0</v>
      </c>
      <c r="S55" s="4">
        <f>_xlfn.XLOOKUP(E55,[1]!Bookings[Booking Name],[1]!Bookings[Final Sale Value After Discount])</f>
        <v>871000</v>
      </c>
      <c r="T55" s="4">
        <f>_xlfn.XLOOKUP(E55,[1]!Bookings[Booking Name],[1]!Bookings[Inv Final Sale Value])</f>
        <v>871000</v>
      </c>
      <c r="U55" s="34" t="str">
        <f>_xlfn.XLOOKUP(E55,[1]!Bookings[Booking Name],[1]!Bookings[Sales])</f>
        <v>Sumeet Mehta</v>
      </c>
      <c r="V55" s="2" t="str">
        <f>_xlfn.XLOOKUP(E55,[1]!Bookings[Booking Name],[1]!Bookings[Agency Name])</f>
        <v>ANCHORMAN REAL ESTATE L.L.C</v>
      </c>
      <c r="W55" s="2" t="str">
        <f>_xlfn.XLOOKUP(E55,[1]!Bookings[Booking Name],[1]!Bookings[Booking ID])</f>
        <v>a03NM00000OQ12h</v>
      </c>
      <c r="X55" s="2" t="str">
        <f>_xlfn.XLOOKUP(E55,[1]!Bookings[Booking Name],[1]!Bookings[Oracle Id])</f>
        <v>-</v>
      </c>
      <c r="Y55" s="70" t="e">
        <v>#N/A</v>
      </c>
      <c r="Z55" s="90">
        <v>12500</v>
      </c>
      <c r="AA55" s="6">
        <v>1.4351320321469576E-2</v>
      </c>
      <c r="AB55" s="81" t="s">
        <v>31</v>
      </c>
      <c r="AC55" s="12" t="s">
        <v>243</v>
      </c>
      <c r="AD55" s="106" t="s">
        <v>363</v>
      </c>
      <c r="AE55" s="60" t="s">
        <v>32</v>
      </c>
      <c r="AF55" s="81" t="s">
        <v>97</v>
      </c>
    </row>
    <row r="56" spans="2:32" ht="50.25" customHeight="1" x14ac:dyDescent="0.3">
      <c r="B56" s="80" t="s">
        <v>223</v>
      </c>
      <c r="C56" s="2">
        <v>46010</v>
      </c>
      <c r="D56" s="2">
        <f>_xlfn.XLOOKUP(E56,[1]!Bookings[Booking Name],[1]!Bookings[Rejected Date])</f>
        <v>46031</v>
      </c>
      <c r="E56" s="78" t="s">
        <v>236</v>
      </c>
      <c r="F56" s="76" t="str">
        <f>_xlfn.XLOOKUP(E56,[1]!Bookings[Booking Name],[1]!Bookings[Booking Status])</f>
        <v>Rejected</v>
      </c>
      <c r="G56" s="2">
        <f>_xlfn.XLOOKUP(E56,[1]!Bookings[Booking Name],[1]!Bookings[Booking Date])</f>
        <v>45871</v>
      </c>
      <c r="H56" s="3">
        <f>_xlfn.XLOOKUP(E56,[1]!Bookings[Booking Name],[1]!Bookings[Booking Aging])</f>
        <v>188</v>
      </c>
      <c r="I56" s="2" t="str">
        <f>_xlfn.XLOOKUP(E56,[1]!Bookings[Booking Name],[1]!Bookings[Project Name])</f>
        <v>Laguna Residence</v>
      </c>
      <c r="J56" s="2" t="str">
        <f>_xlfn.XLOOKUP(E56,[1]!Bookings[Booking Name],[1]!Bookings[Building])</f>
        <v>Tower A</v>
      </c>
      <c r="K56" s="2" t="str">
        <f>_xlfn.XLOOKUP(E56,[1]!Bookings[Booking Name],[1]!Bookings[Bedrooms])</f>
        <v>1 Bedroom</v>
      </c>
      <c r="L56" s="2" t="str">
        <f>_xlfn.XLOOKUP(E56,[1]!Bookings[Booking Name],[1]!Bookings[Unit No.])</f>
        <v>A1622</v>
      </c>
      <c r="M56" s="36" t="str">
        <f>_xlfn.XLOOKUP(E56,[1]!Bookings[Booking Name],[1]!Bookings[Inventory Unit Status])</f>
        <v>Blocked</v>
      </c>
      <c r="N56" s="2" t="str">
        <f>_xlfn.XLOOKUP(E56,[1]!Bookings[Booking Name],[1]!Bookings[Booking Status])</f>
        <v>Rejected</v>
      </c>
      <c r="O56" s="52" t="str">
        <f>_xlfn.XLOOKUP(E56,[1]!Bookings[Booking Name],[1]!Bookings[Customer Name])</f>
        <v>Magdi H F Al Hassi</v>
      </c>
      <c r="P56" s="2" t="str">
        <f>_xlfn.XLOOKUP(E56,[1]!Bookings[Booking Name],[1]!Bookings[Nationality])</f>
        <v>Libya</v>
      </c>
      <c r="Q56" s="4">
        <f>_xlfn.XLOOKUP(E56,[1]!Bookings[Booking Name],[1]!Bookings[Discount Amount])</f>
        <v>-47634</v>
      </c>
      <c r="R56" s="27">
        <f>_xlfn.XLOOKUP(E56,[1]!Bookings[Booking Name],[1]!Bookings[Discount Percentage])</f>
        <v>-3.4000000000000002E-2</v>
      </c>
      <c r="S56" s="4">
        <f>_xlfn.XLOOKUP(E56,[1]!Bookings[Booking Name],[1]!Bookings[Final Sale Value After Discount])</f>
        <v>1448634</v>
      </c>
      <c r="T56" s="4">
        <f>_xlfn.XLOOKUP(E56,[1]!Bookings[Booking Name],[1]!Bookings[Inv Final Sale Value])</f>
        <v>1401000</v>
      </c>
      <c r="U56" s="34" t="str">
        <f>_xlfn.XLOOKUP(E56,[1]!Bookings[Booking Name],[1]!Bookings[Sales])</f>
        <v>Amal El Gendy</v>
      </c>
      <c r="V56" s="2" t="str">
        <f>_xlfn.XLOOKUP(E56,[1]!Bookings[Booking Name],[1]!Bookings[Agency Name])</f>
        <v>F B B REAL ESTATE BROKERAGE LLC.</v>
      </c>
      <c r="W56" s="2" t="str">
        <f>_xlfn.XLOOKUP(E56,[1]!Bookings[Booking Name],[1]!Bookings[Booking ID])</f>
        <v>a03J6000009oRWK</v>
      </c>
      <c r="X56" s="2" t="str">
        <f>_xlfn.XLOOKUP(E56,[1]!Bookings[Booking Name],[1]!Bookings[Oracle Id])</f>
        <v>-</v>
      </c>
      <c r="Y56" s="70" t="s">
        <v>209</v>
      </c>
      <c r="Z56" s="90">
        <v>20000</v>
      </c>
      <c r="AA56" s="6">
        <v>1.3806109755811338E-2</v>
      </c>
      <c r="AB56" s="81" t="s">
        <v>242</v>
      </c>
      <c r="AC56" s="60" t="s">
        <v>93</v>
      </c>
      <c r="AD56" s="14" t="s">
        <v>364</v>
      </c>
      <c r="AE56" s="60" t="s">
        <v>93</v>
      </c>
      <c r="AF56" s="81" t="s">
        <v>139</v>
      </c>
    </row>
    <row r="57" spans="2:32" ht="50.25" customHeight="1" x14ac:dyDescent="0.3">
      <c r="B57" s="80" t="s">
        <v>223</v>
      </c>
      <c r="C57" s="2">
        <v>46009</v>
      </c>
      <c r="D57" s="2">
        <f>_xlfn.XLOOKUP(E57,[1]!Bookings[Booking Name],[1]!Bookings[Rejected Date])</f>
        <v>46031</v>
      </c>
      <c r="E57" s="78" t="s">
        <v>235</v>
      </c>
      <c r="F57" s="76" t="str">
        <f>_xlfn.XLOOKUP(E57,[1]!Bookings[Booking Name],[1]!Bookings[Booking Status])</f>
        <v>Rejected</v>
      </c>
      <c r="G57" s="2">
        <f>_xlfn.XLOOKUP(E57,[1]!Bookings[Booking Name],[1]!Bookings[Booking Date])</f>
        <v>45939</v>
      </c>
      <c r="H57" s="3">
        <f>_xlfn.XLOOKUP(E57,[1]!Bookings[Booking Name],[1]!Bookings[Booking Aging])</f>
        <v>120</v>
      </c>
      <c r="I57" s="2" t="str">
        <f>_xlfn.XLOOKUP(E57,[1]!Bookings[Booking Name],[1]!Bookings[Project Name])</f>
        <v>Laguna Residence</v>
      </c>
      <c r="J57" s="2" t="str">
        <f>_xlfn.XLOOKUP(E57,[1]!Bookings[Booking Name],[1]!Bookings[Building])</f>
        <v>Tower B</v>
      </c>
      <c r="K57" s="2" t="str">
        <f>_xlfn.XLOOKUP(E57,[1]!Bookings[Booking Name],[1]!Bookings[Bedrooms])</f>
        <v>Studio</v>
      </c>
      <c r="L57" s="2" t="str">
        <f>_xlfn.XLOOKUP(E57,[1]!Bookings[Booking Name],[1]!Bookings[Unit No.])</f>
        <v>B2303</v>
      </c>
      <c r="M57" s="36" t="str">
        <f>_xlfn.XLOOKUP(E57,[1]!Bookings[Booking Name],[1]!Bookings[Inventory Unit Status])</f>
        <v>Available</v>
      </c>
      <c r="N57" s="2" t="str">
        <f>_xlfn.XLOOKUP(E57,[1]!Bookings[Booking Name],[1]!Bookings[Booking Status])</f>
        <v>Rejected</v>
      </c>
      <c r="O57" s="52" t="str">
        <f>_xlfn.XLOOKUP(E57,[1]!Bookings[Booking Name],[1]!Bookings[Customer Name])</f>
        <v>Michael Talarico</v>
      </c>
      <c r="P57" s="2" t="str">
        <f>_xlfn.XLOOKUP(E57,[1]!Bookings[Booking Name],[1]!Bookings[Nationality])</f>
        <v>Australia</v>
      </c>
      <c r="Q57" s="4">
        <f>_xlfn.XLOOKUP(E57,[1]!Bookings[Booking Name],[1]!Bookings[Discount Amount])</f>
        <v>43800</v>
      </c>
      <c r="R57" s="27">
        <f>_xlfn.XLOOKUP(E57,[1]!Bookings[Booking Name],[1]!Bookings[Discount Percentage])</f>
        <v>0.05</v>
      </c>
      <c r="S57" s="4">
        <f>_xlfn.XLOOKUP(E57,[1]!Bookings[Booking Name],[1]!Bookings[Final Sale Value After Discount])</f>
        <v>832200</v>
      </c>
      <c r="T57" s="4">
        <f>_xlfn.XLOOKUP(E57,[1]!Bookings[Booking Name],[1]!Bookings[Inv Final Sale Value])</f>
        <v>876000</v>
      </c>
      <c r="U57" s="34" t="str">
        <f>_xlfn.XLOOKUP(E57,[1]!Bookings[Booking Name],[1]!Bookings[Sales])</f>
        <v>Fadwa Belkaid</v>
      </c>
      <c r="V57" s="2" t="str">
        <f>_xlfn.XLOOKUP(E57,[1]!Bookings[Booking Name],[1]!Bookings[Agency Name])</f>
        <v>SEVEN CENTURY REAL ESTATE BROKERS L.L.C</v>
      </c>
      <c r="W57" s="2" t="str">
        <f>_xlfn.XLOOKUP(E57,[1]!Bookings[Booking Name],[1]!Bookings[Booking ID])</f>
        <v>a03J600000BuBcq</v>
      </c>
      <c r="X57" s="2" t="str">
        <f>_xlfn.XLOOKUP(E57,[1]!Bookings[Booking Name],[1]!Bookings[Oracle Id])</f>
        <v>-</v>
      </c>
      <c r="Y57" s="70" t="s">
        <v>209</v>
      </c>
      <c r="Z57" s="90">
        <v>8450</v>
      </c>
      <c r="AA57" s="6">
        <v>1.015380918048546E-2</v>
      </c>
      <c r="AB57" s="81" t="s">
        <v>26</v>
      </c>
      <c r="AC57" s="60" t="s">
        <v>93</v>
      </c>
      <c r="AD57" s="14" t="s">
        <v>365</v>
      </c>
      <c r="AE57" s="60" t="s">
        <v>93</v>
      </c>
      <c r="AF57" s="81" t="s">
        <v>241</v>
      </c>
    </row>
    <row r="58" spans="2:32" ht="50.25" customHeight="1" x14ac:dyDescent="0.3">
      <c r="B58" s="80" t="s">
        <v>223</v>
      </c>
      <c r="C58" s="2">
        <v>46009</v>
      </c>
      <c r="D58" s="2">
        <f>_xlfn.XLOOKUP(E58,[1]!Bookings[Booking Name],[1]!Bookings[Rejected Date])</f>
        <v>46031</v>
      </c>
      <c r="E58" s="78" t="s">
        <v>234</v>
      </c>
      <c r="F58" s="76" t="str">
        <f>_xlfn.XLOOKUP(E58,[1]!Bookings[Booking Name],[1]!Bookings[Booking Status])</f>
        <v>Rejected</v>
      </c>
      <c r="G58" s="2">
        <f>_xlfn.XLOOKUP(E58,[1]!Bookings[Booking Name],[1]!Bookings[Booking Date])</f>
        <v>45933</v>
      </c>
      <c r="H58" s="3">
        <f>_xlfn.XLOOKUP(E58,[1]!Bookings[Booking Name],[1]!Bookings[Booking Aging])</f>
        <v>126</v>
      </c>
      <c r="I58" s="2" t="str">
        <f>_xlfn.XLOOKUP(E58,[1]!Bookings[Booking Name],[1]!Bookings[Project Name])</f>
        <v>Laguna Residence</v>
      </c>
      <c r="J58" s="2" t="str">
        <f>_xlfn.XLOOKUP(E58,[1]!Bookings[Booking Name],[1]!Bookings[Building])</f>
        <v>Tower B</v>
      </c>
      <c r="K58" s="2" t="str">
        <f>_xlfn.XLOOKUP(E58,[1]!Bookings[Booking Name],[1]!Bookings[Bedrooms])</f>
        <v>Studio</v>
      </c>
      <c r="L58" s="2" t="str">
        <f>_xlfn.XLOOKUP(E58,[1]!Bookings[Booking Name],[1]!Bookings[Unit No.])</f>
        <v>B3303</v>
      </c>
      <c r="M58" s="36" t="str">
        <f>_xlfn.XLOOKUP(E58,[1]!Bookings[Booking Name],[1]!Bookings[Inventory Unit Status])</f>
        <v>Blocked</v>
      </c>
      <c r="N58" s="2" t="str">
        <f>_xlfn.XLOOKUP(E58,[1]!Bookings[Booking Name],[1]!Bookings[Booking Status])</f>
        <v>Rejected</v>
      </c>
      <c r="O58" s="52" t="str">
        <f>_xlfn.XLOOKUP(E58,[1]!Bookings[Booking Name],[1]!Bookings[Customer Name])</f>
        <v>Blake Taylor Talarico</v>
      </c>
      <c r="P58" s="2" t="str">
        <f>_xlfn.XLOOKUP(E58,[1]!Bookings[Booking Name],[1]!Bookings[Nationality])</f>
        <v>Australia</v>
      </c>
      <c r="Q58" s="4">
        <f>_xlfn.XLOOKUP(E58,[1]!Bookings[Booking Name],[1]!Bookings[Discount Amount])</f>
        <v>48300</v>
      </c>
      <c r="R58" s="27">
        <f>_xlfn.XLOOKUP(E58,[1]!Bookings[Booking Name],[1]!Bookings[Discount Percentage])</f>
        <v>0.05</v>
      </c>
      <c r="S58" s="4">
        <f>_xlfn.XLOOKUP(E58,[1]!Bookings[Booking Name],[1]!Bookings[Final Sale Value After Discount])</f>
        <v>917700</v>
      </c>
      <c r="T58" s="4">
        <f>_xlfn.XLOOKUP(E58,[1]!Bookings[Booking Name],[1]!Bookings[Inv Final Sale Value])</f>
        <v>966000</v>
      </c>
      <c r="U58" s="34" t="str">
        <f>_xlfn.XLOOKUP(E58,[1]!Bookings[Booking Name],[1]!Bookings[Sales])</f>
        <v>Fadwa Belkaid</v>
      </c>
      <c r="V58" s="2" t="str">
        <f>_xlfn.XLOOKUP(E58,[1]!Bookings[Booking Name],[1]!Bookings[Agency Name])</f>
        <v>SEVEN CENTURY REAL ESTATE BROKERS L.L.C</v>
      </c>
      <c r="W58" s="2" t="str">
        <f>_xlfn.XLOOKUP(E58,[1]!Bookings[Booking Name],[1]!Bookings[Booking ID])</f>
        <v>a03J600000BtrEr</v>
      </c>
      <c r="X58" s="2" t="str">
        <f>_xlfn.XLOOKUP(E58,[1]!Bookings[Booking Name],[1]!Bookings[Oracle Id])</f>
        <v>-</v>
      </c>
      <c r="Y58" s="70" t="s">
        <v>209</v>
      </c>
      <c r="Z58" s="90">
        <v>8450</v>
      </c>
      <c r="AA58" s="6">
        <v>9.2078021139806038E-3</v>
      </c>
      <c r="AB58" s="81" t="s">
        <v>31</v>
      </c>
      <c r="AC58" s="60" t="s">
        <v>93</v>
      </c>
      <c r="AD58" s="14" t="s">
        <v>366</v>
      </c>
      <c r="AE58" s="60" t="s">
        <v>93</v>
      </c>
      <c r="AF58" s="81" t="s">
        <v>241</v>
      </c>
    </row>
    <row r="59" spans="2:32" ht="50.25" customHeight="1" x14ac:dyDescent="0.3">
      <c r="B59" s="80" t="s">
        <v>223</v>
      </c>
      <c r="C59" s="2">
        <v>46006</v>
      </c>
      <c r="D59" s="2">
        <f>_xlfn.XLOOKUP(E59,[1]!Bookings[Booking Name],[1]!Bookings[Rejected Date])</f>
        <v>46031</v>
      </c>
      <c r="E59" s="80" t="s">
        <v>233</v>
      </c>
      <c r="F59" s="76" t="str">
        <f>_xlfn.XLOOKUP(E59,[1]!Bookings[Booking Name],[1]!Bookings[Booking Status])</f>
        <v>Rejected</v>
      </c>
      <c r="G59" s="2">
        <f>_xlfn.XLOOKUP(E59,[1]!Bookings[Booking Name],[1]!Bookings[Booking Date])</f>
        <v>45896</v>
      </c>
      <c r="H59" s="3">
        <f>_xlfn.XLOOKUP(E59,[1]!Bookings[Booking Name],[1]!Bookings[Booking Aging])</f>
        <v>163</v>
      </c>
      <c r="I59" s="2" t="str">
        <f>_xlfn.XLOOKUP(E59,[1]!Bookings[Booking Name],[1]!Bookings[Project Name])</f>
        <v>Laguna Residence</v>
      </c>
      <c r="J59" s="2" t="str">
        <f>_xlfn.XLOOKUP(E59,[1]!Bookings[Booking Name],[1]!Bookings[Building])</f>
        <v>Tower A</v>
      </c>
      <c r="K59" s="2" t="str">
        <f>_xlfn.XLOOKUP(E59,[1]!Bookings[Booking Name],[1]!Bookings[Bedrooms])</f>
        <v>Studio</v>
      </c>
      <c r="L59" s="2" t="str">
        <f>_xlfn.XLOOKUP(E59,[1]!Bookings[Booking Name],[1]!Bookings[Unit No.])</f>
        <v>A2913</v>
      </c>
      <c r="M59" s="36" t="str">
        <f>_xlfn.XLOOKUP(E59,[1]!Bookings[Booking Name],[1]!Bookings[Inventory Unit Status])</f>
        <v>Booked</v>
      </c>
      <c r="N59" s="2" t="str">
        <f>_xlfn.XLOOKUP(E59,[1]!Bookings[Booking Name],[1]!Bookings[Booking Status])</f>
        <v>Rejected</v>
      </c>
      <c r="O59" s="52" t="str">
        <f>_xlfn.XLOOKUP(E59,[1]!Bookings[Booking Name],[1]!Bookings[Customer Name])</f>
        <v>Saleha Mubarak Murshed Ali Almarar</v>
      </c>
      <c r="P59" s="2" t="str">
        <f>_xlfn.XLOOKUP(E59,[1]!Bookings[Booking Name],[1]!Bookings[Nationality])</f>
        <v>United Arab Emirates</v>
      </c>
      <c r="Q59" s="4">
        <f>_xlfn.XLOOKUP(E59,[1]!Bookings[Booking Name],[1]!Bookings[Discount Amount])</f>
        <v>0</v>
      </c>
      <c r="R59" s="27">
        <f>_xlfn.XLOOKUP(E59,[1]!Bookings[Booking Name],[1]!Bookings[Discount Percentage])</f>
        <v>0</v>
      </c>
      <c r="S59" s="4">
        <f>_xlfn.XLOOKUP(E59,[1]!Bookings[Booking Name],[1]!Bookings[Final Sale Value After Discount])</f>
        <v>805000</v>
      </c>
      <c r="T59" s="4">
        <f>_xlfn.XLOOKUP(E59,[1]!Bookings[Booking Name],[1]!Bookings[Inv Final Sale Value])</f>
        <v>805000</v>
      </c>
      <c r="U59" s="34" t="str">
        <f>_xlfn.XLOOKUP(E59,[1]!Bookings[Booking Name],[1]!Bookings[Sales])</f>
        <v>Mohamed El Shimy</v>
      </c>
      <c r="V59" s="2" t="str">
        <f>_xlfn.XLOOKUP(E59,[1]!Bookings[Booking Name],[1]!Bookings[Agency Name])</f>
        <v>Eleva Properties LLC</v>
      </c>
      <c r="W59" s="2" t="str">
        <f>_xlfn.XLOOKUP(E59,[1]!Bookings[Booking Name],[1]!Bookings[Booking ID])</f>
        <v>a03J600000BrdNX</v>
      </c>
      <c r="X59" s="2" t="str">
        <f>_xlfn.XLOOKUP(E59,[1]!Bookings[Booking Name],[1]!Bookings[Oracle Id])</f>
        <v>-</v>
      </c>
      <c r="Y59" s="70" t="s">
        <v>209</v>
      </c>
      <c r="Z59" s="90">
        <v>5000</v>
      </c>
      <c r="AA59" s="6">
        <v>6.2111801242236021E-3</v>
      </c>
      <c r="AB59" s="81" t="s">
        <v>26</v>
      </c>
      <c r="AC59" s="104" t="s">
        <v>289</v>
      </c>
      <c r="AD59" s="14" t="s">
        <v>367</v>
      </c>
      <c r="AE59" s="104" t="s">
        <v>289</v>
      </c>
      <c r="AF59" s="95" t="s">
        <v>277</v>
      </c>
    </row>
    <row r="60" spans="2:32" ht="50.25" customHeight="1" x14ac:dyDescent="0.3">
      <c r="B60" s="80" t="s">
        <v>223</v>
      </c>
      <c r="C60" s="2">
        <v>46006</v>
      </c>
      <c r="D60" s="2">
        <f>_xlfn.XLOOKUP(E60,[1]!Bookings[Booking Name],[1]!Bookings[Rejected Date])</f>
        <v>46031</v>
      </c>
      <c r="E60" s="80" t="s">
        <v>232</v>
      </c>
      <c r="F60" s="76" t="str">
        <f>_xlfn.XLOOKUP(E60,[1]!Bookings[Booking Name],[1]!Bookings[Booking Status])</f>
        <v>Rejected</v>
      </c>
      <c r="G60" s="2">
        <f>_xlfn.XLOOKUP(E60,[1]!Bookings[Booking Name],[1]!Bookings[Booking Date])</f>
        <v>45896</v>
      </c>
      <c r="H60" s="3">
        <f>_xlfn.XLOOKUP(E60,[1]!Bookings[Booking Name],[1]!Bookings[Booking Aging])</f>
        <v>163</v>
      </c>
      <c r="I60" s="2" t="str">
        <f>_xlfn.XLOOKUP(E60,[1]!Bookings[Booking Name],[1]!Bookings[Project Name])</f>
        <v>Laguna Residence</v>
      </c>
      <c r="J60" s="2" t="str">
        <f>_xlfn.XLOOKUP(E60,[1]!Bookings[Booking Name],[1]!Bookings[Building])</f>
        <v>Tower A</v>
      </c>
      <c r="K60" s="2" t="str">
        <f>_xlfn.XLOOKUP(E60,[1]!Bookings[Booking Name],[1]!Bookings[Bedrooms])</f>
        <v>Studio</v>
      </c>
      <c r="L60" s="2" t="str">
        <f>_xlfn.XLOOKUP(E60,[1]!Bookings[Booking Name],[1]!Bookings[Unit No.])</f>
        <v>A3013</v>
      </c>
      <c r="M60" s="36" t="str">
        <f>_xlfn.XLOOKUP(E60,[1]!Bookings[Booking Name],[1]!Bookings[Inventory Unit Status])</f>
        <v>Booked</v>
      </c>
      <c r="N60" s="2" t="str">
        <f>_xlfn.XLOOKUP(E60,[1]!Bookings[Booking Name],[1]!Bookings[Booking Status])</f>
        <v>Rejected</v>
      </c>
      <c r="O60" s="52" t="str">
        <f>_xlfn.XLOOKUP(E60,[1]!Bookings[Booking Name],[1]!Bookings[Customer Name])</f>
        <v>Jaber Ali Salmeen Ali Almazrouei</v>
      </c>
      <c r="P60" s="2" t="str">
        <f>_xlfn.XLOOKUP(E60,[1]!Bookings[Booking Name],[1]!Bookings[Nationality])</f>
        <v>United Arab Emirates</v>
      </c>
      <c r="Q60" s="4">
        <f>_xlfn.XLOOKUP(E60,[1]!Bookings[Booking Name],[1]!Bookings[Discount Amount])</f>
        <v>0</v>
      </c>
      <c r="R60" s="27">
        <f>_xlfn.XLOOKUP(E60,[1]!Bookings[Booking Name],[1]!Bookings[Discount Percentage])</f>
        <v>0</v>
      </c>
      <c r="S60" s="4">
        <f>_xlfn.XLOOKUP(E60,[1]!Bookings[Booking Name],[1]!Bookings[Final Sale Value After Discount])</f>
        <v>806000</v>
      </c>
      <c r="T60" s="4">
        <f>_xlfn.XLOOKUP(E60,[1]!Bookings[Booking Name],[1]!Bookings[Inv Final Sale Value])</f>
        <v>806000</v>
      </c>
      <c r="U60" s="34" t="str">
        <f>_xlfn.XLOOKUP(E60,[1]!Bookings[Booking Name],[1]!Bookings[Sales])</f>
        <v>Mohamed El Shimy</v>
      </c>
      <c r="V60" s="2" t="str">
        <f>_xlfn.XLOOKUP(E60,[1]!Bookings[Booking Name],[1]!Bookings[Agency Name])</f>
        <v>Eleva Properties LLC</v>
      </c>
      <c r="W60" s="2" t="str">
        <f>_xlfn.XLOOKUP(E60,[1]!Bookings[Booking Name],[1]!Bookings[Booking ID])</f>
        <v>a03J600000BrdNr</v>
      </c>
      <c r="X60" s="2" t="str">
        <f>_xlfn.XLOOKUP(E60,[1]!Bookings[Booking Name],[1]!Bookings[Oracle Id])</f>
        <v>-</v>
      </c>
      <c r="Y60" s="70" t="s">
        <v>209</v>
      </c>
      <c r="Z60" s="90">
        <v>5000</v>
      </c>
      <c r="AA60" s="6">
        <v>6.2034739454094297E-3</v>
      </c>
      <c r="AB60" s="81" t="s">
        <v>26</v>
      </c>
      <c r="AC60" s="104" t="s">
        <v>289</v>
      </c>
      <c r="AD60" s="14" t="s">
        <v>368</v>
      </c>
      <c r="AE60" s="104" t="s">
        <v>289</v>
      </c>
      <c r="AF60" s="95" t="s">
        <v>277</v>
      </c>
    </row>
    <row r="61" spans="2:32" ht="50.25" customHeight="1" x14ac:dyDescent="0.3">
      <c r="B61" s="74" t="s">
        <v>223</v>
      </c>
      <c r="C61" s="2">
        <v>46003</v>
      </c>
      <c r="D61" s="2">
        <f>_xlfn.XLOOKUP(E61,[1]!Bookings[Booking Name],[1]!Bookings[Rejected Date])</f>
        <v>46013</v>
      </c>
      <c r="E61" s="74" t="s">
        <v>226</v>
      </c>
      <c r="F61" s="76" t="str">
        <f>_xlfn.XLOOKUP(E61,[1]!Bookings[Booking Name],[1]!Bookings[Booking Status])</f>
        <v>Rejected</v>
      </c>
      <c r="G61" s="2">
        <f>_xlfn.XLOOKUP(E61,[1]!Bookings[Booking Name],[1]!Bookings[Booking Date])</f>
        <v>45960</v>
      </c>
      <c r="H61" s="3">
        <f>_xlfn.XLOOKUP(E61,[1]!Bookings[Booking Name],[1]!Bookings[Booking Aging])</f>
        <v>99</v>
      </c>
      <c r="I61" s="2" t="str">
        <f>_xlfn.XLOOKUP(E61,[1]!Bookings[Booking Name],[1]!Bookings[Project Name])</f>
        <v>Laguna Residence</v>
      </c>
      <c r="J61" s="2" t="str">
        <f>_xlfn.XLOOKUP(E61,[1]!Bookings[Booking Name],[1]!Bookings[Building])</f>
        <v>Tower A</v>
      </c>
      <c r="K61" s="2" t="str">
        <f>_xlfn.XLOOKUP(E61,[1]!Bookings[Booking Name],[1]!Bookings[Bedrooms])</f>
        <v>Studio</v>
      </c>
      <c r="L61" s="2" t="str">
        <f>_xlfn.XLOOKUP(E61,[1]!Bookings[Booking Name],[1]!Bookings[Unit No.])</f>
        <v>A1611</v>
      </c>
      <c r="M61" s="36" t="str">
        <f>_xlfn.XLOOKUP(E61,[1]!Bookings[Booking Name],[1]!Bookings[Inventory Unit Status])</f>
        <v>SPA Executed</v>
      </c>
      <c r="N61" s="2" t="str">
        <f>_xlfn.XLOOKUP(E61,[1]!Bookings[Booking Name],[1]!Bookings[Booking Status])</f>
        <v>Rejected</v>
      </c>
      <c r="O61" s="52" t="str">
        <f>_xlfn.XLOOKUP(E61,[1]!Bookings[Booking Name],[1]!Bookings[Customer Name])</f>
        <v>Su Mon Phyo</v>
      </c>
      <c r="P61" s="2" t="str">
        <f>_xlfn.XLOOKUP(E61,[1]!Bookings[Booking Name],[1]!Bookings[Nationality])</f>
        <v>Myanmar (formerly Burma)</v>
      </c>
      <c r="Q61" s="4">
        <f>_xlfn.XLOOKUP(E61,[1]!Bookings[Booking Name],[1]!Bookings[Discount Amount])</f>
        <v>39700</v>
      </c>
      <c r="R61" s="27">
        <f>_xlfn.XLOOKUP(E61,[1]!Bookings[Booking Name],[1]!Bookings[Discount Percentage])</f>
        <v>0.05</v>
      </c>
      <c r="S61" s="4">
        <f>_xlfn.XLOOKUP(E61,[1]!Bookings[Booking Name],[1]!Bookings[Final Sale Value After Discount])</f>
        <v>754300</v>
      </c>
      <c r="T61" s="4">
        <f>_xlfn.XLOOKUP(E61,[1]!Bookings[Booking Name],[1]!Bookings[Inv Final Sale Value])</f>
        <v>794000</v>
      </c>
      <c r="U61" s="34" t="str">
        <f>_xlfn.XLOOKUP(E61,[1]!Bookings[Booking Name],[1]!Bookings[Sales])</f>
        <v>Yang XI</v>
      </c>
      <c r="V61" s="2" t="str">
        <f>_xlfn.XLOOKUP(E61,[1]!Bookings[Booking Name],[1]!Bookings[Agency Name])</f>
        <v>TRILUXE LIVING PROPERTIES LLC</v>
      </c>
      <c r="W61" s="2" t="str">
        <f>_xlfn.XLOOKUP(E61,[1]!Bookings[Booking Name],[1]!Bookings[Booking ID])</f>
        <v>a03J600000FmRFL</v>
      </c>
      <c r="X61" s="2" t="str">
        <f>_xlfn.XLOOKUP(E61,[1]!Bookings[Booking Name],[1]!Bookings[Oracle Id])</f>
        <v>-</v>
      </c>
      <c r="Y61" s="70" t="s">
        <v>209</v>
      </c>
      <c r="Z61" s="90">
        <v>10000</v>
      </c>
      <c r="AA61" s="6">
        <v>1.3257324671881215E-2</v>
      </c>
      <c r="AB61" s="75" t="s">
        <v>31</v>
      </c>
      <c r="AC61" s="60" t="s">
        <v>93</v>
      </c>
      <c r="AD61" s="14" t="s">
        <v>369</v>
      </c>
      <c r="AE61" s="60" t="s">
        <v>93</v>
      </c>
      <c r="AF61" s="67" t="s">
        <v>139</v>
      </c>
    </row>
    <row r="62" spans="2:32" ht="50.25" customHeight="1" x14ac:dyDescent="0.3">
      <c r="B62" s="72" t="s">
        <v>223</v>
      </c>
      <c r="C62" s="2">
        <v>45994</v>
      </c>
      <c r="D62" s="2">
        <f>_xlfn.XLOOKUP(E62,[1]!Bookings[Booking Name],[1]!Bookings[Rejected Date])</f>
        <v>46001</v>
      </c>
      <c r="E62" s="72" t="s">
        <v>225</v>
      </c>
      <c r="F62" s="76" t="str">
        <f>_xlfn.XLOOKUP(E62,[1]!Bookings[Booking Name],[1]!Bookings[Booking Status])</f>
        <v>Rejected</v>
      </c>
      <c r="G62" s="2">
        <f>_xlfn.XLOOKUP(E62,[1]!Bookings[Booking Name],[1]!Bookings[Booking Date])</f>
        <v>45970</v>
      </c>
      <c r="H62" s="3">
        <f>_xlfn.XLOOKUP(E62,[1]!Bookings[Booking Name],[1]!Bookings[Booking Aging])</f>
        <v>89</v>
      </c>
      <c r="I62" s="2" t="str">
        <f>_xlfn.XLOOKUP(E62,[1]!Bookings[Booking Name],[1]!Bookings[Project Name])</f>
        <v>Laguna Residence</v>
      </c>
      <c r="J62" s="2" t="str">
        <f>_xlfn.XLOOKUP(E62,[1]!Bookings[Booking Name],[1]!Bookings[Building])</f>
        <v>Tower B</v>
      </c>
      <c r="K62" s="2" t="str">
        <f>_xlfn.XLOOKUP(E62,[1]!Bookings[Booking Name],[1]!Bookings[Bedrooms])</f>
        <v>Studio</v>
      </c>
      <c r="L62" s="2" t="str">
        <f>_xlfn.XLOOKUP(E62,[1]!Bookings[Booking Name],[1]!Bookings[Unit No.])</f>
        <v>B1807</v>
      </c>
      <c r="M62" s="36" t="str">
        <f>_xlfn.XLOOKUP(E62,[1]!Bookings[Booking Name],[1]!Bookings[Inventory Unit Status])</f>
        <v>Blocked</v>
      </c>
      <c r="N62" s="2" t="str">
        <f>_xlfn.XLOOKUP(E62,[1]!Bookings[Booking Name],[1]!Bookings[Booking Status])</f>
        <v>Rejected</v>
      </c>
      <c r="O62" s="52" t="str">
        <f>_xlfn.XLOOKUP(E62,[1]!Bookings[Booking Name],[1]!Bookings[Customer Name])</f>
        <v>Riad El Kaddouri</v>
      </c>
      <c r="P62" s="2" t="str">
        <f>_xlfn.XLOOKUP(E62,[1]!Bookings[Booking Name],[1]!Bookings[Nationality])</f>
        <v>Netherlands</v>
      </c>
      <c r="Q62" s="4">
        <f>_xlfn.XLOOKUP(E62,[1]!Bookings[Booking Name],[1]!Bookings[Discount Amount])</f>
        <v>47420</v>
      </c>
      <c r="R62" s="27">
        <f>_xlfn.XLOOKUP(E62,[1]!Bookings[Booking Name],[1]!Bookings[Discount Percentage])</f>
        <v>5.0770877944325485E-2</v>
      </c>
      <c r="S62" s="4">
        <f>_xlfn.XLOOKUP(E62,[1]!Bookings[Booking Name],[1]!Bookings[Final Sale Value After Discount])</f>
        <v>886580</v>
      </c>
      <c r="T62" s="4">
        <f>_xlfn.XLOOKUP(E62,[1]!Bookings[Booking Name],[1]!Bookings[Inv Final Sale Value])</f>
        <v>934000</v>
      </c>
      <c r="U62" s="34" t="str">
        <f>_xlfn.XLOOKUP(E62,[1]!Bookings[Booking Name],[1]!Bookings[Sales])</f>
        <v>Joudy Shaker</v>
      </c>
      <c r="V62" s="2" t="str">
        <f>_xlfn.XLOOKUP(E62,[1]!Bookings[Booking Name],[1]!Bookings[Agency Name])</f>
        <v>GLOBEX REAL ESTATE L L C</v>
      </c>
      <c r="W62" s="2" t="str">
        <f>_xlfn.XLOOKUP(E62,[1]!Bookings[Booking Name],[1]!Bookings[Booking ID])</f>
        <v>a03NM00000MY1oE</v>
      </c>
      <c r="X62" s="2" t="str">
        <f>_xlfn.XLOOKUP(E62,[1]!Bookings[Booking Name],[1]!Bookings[Oracle Id])</f>
        <v>-</v>
      </c>
      <c r="Y62" s="70" t="s">
        <v>209</v>
      </c>
      <c r="Z62" s="90">
        <v>3000</v>
      </c>
      <c r="AA62" s="6">
        <v>3.383789392948183E-3</v>
      </c>
      <c r="AB62" s="73" t="s">
        <v>37</v>
      </c>
      <c r="AC62" s="12" t="s">
        <v>167</v>
      </c>
      <c r="AD62" s="106" t="s">
        <v>370</v>
      </c>
      <c r="AE62" s="60" t="s">
        <v>32</v>
      </c>
      <c r="AF62" s="41" t="s">
        <v>114</v>
      </c>
    </row>
    <row r="63" spans="2:32" ht="50.25" customHeight="1" x14ac:dyDescent="0.3">
      <c r="B63" s="72" t="s">
        <v>223</v>
      </c>
      <c r="C63" s="2">
        <v>45994</v>
      </c>
      <c r="D63" s="2">
        <f>_xlfn.XLOOKUP(E63,[1]!Bookings[Booking Name],[1]!Bookings[Rejected Date])</f>
        <v>45995</v>
      </c>
      <c r="E63" s="72" t="s">
        <v>218</v>
      </c>
      <c r="F63" s="76" t="str">
        <f>_xlfn.XLOOKUP(E63,[1]!Bookings[Booking Name],[1]!Bookings[Booking Status])</f>
        <v>Rejected</v>
      </c>
      <c r="G63" s="2">
        <f>_xlfn.XLOOKUP(E63,[1]!Bookings[Booking Name],[1]!Bookings[Booking Date])</f>
        <v>45973</v>
      </c>
      <c r="H63" s="3">
        <f>_xlfn.XLOOKUP(E63,[1]!Bookings[Booking Name],[1]!Bookings[Booking Aging])</f>
        <v>86</v>
      </c>
      <c r="I63" s="2" t="str">
        <f>_xlfn.XLOOKUP(E63,[1]!Bookings[Booking Name],[1]!Bookings[Project Name])</f>
        <v>Do New Cairo</v>
      </c>
      <c r="J63" s="2" t="str">
        <f>_xlfn.XLOOKUP(E63,[1]!Bookings[Booking Name],[1]!Bookings[Building])</f>
        <v>Hotel Apartments</v>
      </c>
      <c r="K63" s="2" t="str">
        <f>_xlfn.XLOOKUP(E63,[1]!Bookings[Booking Name],[1]!Bookings[Bedrooms])</f>
        <v>Studio</v>
      </c>
      <c r="L63" s="2" t="str">
        <f>_xlfn.XLOOKUP(E63,[1]!Bookings[Booking Name],[1]!Bookings[Unit No.])</f>
        <v>DNC-HA-207</v>
      </c>
      <c r="M63" s="36" t="str">
        <f>_xlfn.XLOOKUP(E63,[1]!Bookings[Booking Name],[1]!Bookings[Inventory Unit Status])</f>
        <v>Blocked</v>
      </c>
      <c r="N63" s="2" t="str">
        <f>_xlfn.XLOOKUP(E63,[1]!Bookings[Booking Name],[1]!Bookings[Booking Status])</f>
        <v>Rejected</v>
      </c>
      <c r="O63" s="52" t="str">
        <f>_xlfn.XLOOKUP(E63,[1]!Bookings[Booking Name],[1]!Bookings[Customer Name])</f>
        <v>Ahmed Mohamed said zakria</v>
      </c>
      <c r="P63" s="2" t="str">
        <f>_xlfn.XLOOKUP(E63,[1]!Bookings[Booking Name],[1]!Bookings[Nationality])</f>
        <v>Syria</v>
      </c>
      <c r="Q63" s="4">
        <f>_xlfn.XLOOKUP(E63,[1]!Bookings[Booking Name],[1]!Bookings[Discount Amount])</f>
        <v>1598750</v>
      </c>
      <c r="R63" s="27">
        <f>_xlfn.XLOOKUP(E63,[1]!Bookings[Booking Name],[1]!Bookings[Discount Percentage])</f>
        <v>0.11618822674418605</v>
      </c>
      <c r="S63" s="4">
        <f>_xlfn.XLOOKUP(E63,[1]!Bookings[Booking Name],[1]!Bookings[Final Sale Value After Discount])</f>
        <v>12161250</v>
      </c>
      <c r="T63" s="4">
        <f>_xlfn.XLOOKUP(E63,[1]!Bookings[Booking Name],[1]!Bookings[Inv Final Sale Value])</f>
        <v>13760000</v>
      </c>
      <c r="U63" s="34" t="str">
        <f>_xlfn.XLOOKUP(E63,[1]!Bookings[Booking Name],[1]!Bookings[Sales])</f>
        <v>Omar Magdy</v>
      </c>
      <c r="V63" s="2" t="str">
        <f>_xlfn.XLOOKUP(E63,[1]!Bookings[Booking Name],[1]!Bookings[Agency Name])</f>
        <v/>
      </c>
      <c r="W63" s="2" t="str">
        <f>_xlfn.XLOOKUP(E63,[1]!Bookings[Booking Name],[1]!Bookings[Booking ID])</f>
        <v>a03NM00000Moq0S</v>
      </c>
      <c r="X63" s="2" t="str">
        <f>_xlfn.XLOOKUP(E63,[1]!Bookings[Booking Name],[1]!Bookings[Oracle Id])</f>
        <v>-</v>
      </c>
      <c r="Y63" s="70" t="s">
        <v>209</v>
      </c>
      <c r="Z63" s="65" t="s">
        <v>25</v>
      </c>
      <c r="AA63" s="6">
        <v>0</v>
      </c>
      <c r="AB63" s="65" t="s">
        <v>26</v>
      </c>
      <c r="AC63" s="12" t="s">
        <v>220</v>
      </c>
      <c r="AD63" s="106" t="s">
        <v>371</v>
      </c>
      <c r="AE63" s="69" t="s">
        <v>221</v>
      </c>
      <c r="AF63" s="69" t="s">
        <v>221</v>
      </c>
    </row>
    <row r="64" spans="2:32" ht="50.25" customHeight="1" x14ac:dyDescent="0.3">
      <c r="B64" s="2" t="s">
        <v>165</v>
      </c>
      <c r="C64" s="2">
        <v>45991</v>
      </c>
      <c r="D64" s="2">
        <f>_xlfn.XLOOKUP(E64,[1]!Bookings[Booking Name],[1]!Bookings[Rejected Date])</f>
        <v>45995</v>
      </c>
      <c r="E64" s="68" t="s">
        <v>219</v>
      </c>
      <c r="F64" s="76" t="str">
        <f>_xlfn.XLOOKUP(E64,[1]!Bookings[Booking Name],[1]!Bookings[Booking Status])</f>
        <v>Rejected</v>
      </c>
      <c r="G64" s="2">
        <f>_xlfn.XLOOKUP(E64,[1]!Bookings[Booking Name],[1]!Bookings[Booking Date])</f>
        <v>45973</v>
      </c>
      <c r="H64" s="3">
        <f>_xlfn.XLOOKUP(E64,[1]!Bookings[Booking Name],[1]!Bookings[Booking Aging])</f>
        <v>86</v>
      </c>
      <c r="I64" s="2" t="str">
        <f>_xlfn.XLOOKUP(E64,[1]!Bookings[Booking Name],[1]!Bookings[Project Name])</f>
        <v>Do New Cairo</v>
      </c>
      <c r="J64" s="2" t="str">
        <f>_xlfn.XLOOKUP(E64,[1]!Bookings[Booking Name],[1]!Bookings[Building])</f>
        <v>Offices</v>
      </c>
      <c r="K64" s="2" t="str">
        <f>_xlfn.XLOOKUP(E64,[1]!Bookings[Booking Name],[1]!Bookings[Bedrooms])</f>
        <v>-</v>
      </c>
      <c r="L64" s="2" t="str">
        <f>_xlfn.XLOOKUP(E64,[1]!Bookings[Booking Name],[1]!Bookings[Unit No.])</f>
        <v>DNC-O3-111</v>
      </c>
      <c r="M64" s="36" t="str">
        <f>_xlfn.XLOOKUP(E64,[1]!Bookings[Booking Name],[1]!Bookings[Inventory Unit Status])</f>
        <v>Blocked</v>
      </c>
      <c r="N64" s="2" t="str">
        <f>_xlfn.XLOOKUP(E64,[1]!Bookings[Booking Name],[1]!Bookings[Booking Status])</f>
        <v>Rejected</v>
      </c>
      <c r="O64" s="52" t="str">
        <f>_xlfn.XLOOKUP(E64,[1]!Bookings[Booking Name],[1]!Bookings[Customer Name])</f>
        <v>Ali ali nasr nouh</v>
      </c>
      <c r="P64" s="2" t="str">
        <f>_xlfn.XLOOKUP(E64,[1]!Bookings[Booking Name],[1]!Bookings[Nationality])</f>
        <v>-</v>
      </c>
      <c r="Q64" s="4">
        <f>_xlfn.XLOOKUP(E64,[1]!Bookings[Booking Name],[1]!Bookings[Discount Amount])</f>
        <v>0</v>
      </c>
      <c r="R64" s="27">
        <f>_xlfn.XLOOKUP(E64,[1]!Bookings[Booking Name],[1]!Bookings[Discount Percentage])</f>
        <v>0</v>
      </c>
      <c r="S64" s="4">
        <f>_xlfn.XLOOKUP(E64,[1]!Bookings[Booking Name],[1]!Bookings[Final Sale Value After Discount])</f>
        <v>20728125</v>
      </c>
      <c r="T64" s="4">
        <f>_xlfn.XLOOKUP(E64,[1]!Bookings[Booking Name],[1]!Bookings[Inv Final Sale Value])</f>
        <v>20728125</v>
      </c>
      <c r="U64" s="34" t="str">
        <f>_xlfn.XLOOKUP(E64,[1]!Bookings[Booking Name],[1]!Bookings[Sales])</f>
        <v>Rowan Abbady</v>
      </c>
      <c r="V64" s="2" t="str">
        <f>_xlfn.XLOOKUP(E64,[1]!Bookings[Booking Name],[1]!Bookings[Agency Name])</f>
        <v/>
      </c>
      <c r="W64" s="2" t="str">
        <f>_xlfn.XLOOKUP(E64,[1]!Bookings[Booking Name],[1]!Bookings[Booking ID])</f>
        <v>a03NM00000Mpzj9</v>
      </c>
      <c r="X64" s="2" t="str">
        <f>_xlfn.XLOOKUP(E64,[1]!Bookings[Booking Name],[1]!Bookings[Oracle Id])</f>
        <v>-</v>
      </c>
      <c r="Y64" s="70" t="s">
        <v>209</v>
      </c>
      <c r="Z64" s="65" t="s">
        <v>25</v>
      </c>
      <c r="AA64" s="6">
        <v>0</v>
      </c>
      <c r="AB64" s="65" t="s">
        <v>26</v>
      </c>
      <c r="AC64" s="12" t="s">
        <v>220</v>
      </c>
      <c r="AD64" s="106" t="s">
        <v>372</v>
      </c>
      <c r="AE64" s="69" t="s">
        <v>221</v>
      </c>
      <c r="AF64" s="69" t="s">
        <v>221</v>
      </c>
    </row>
    <row r="65" spans="2:32" ht="50.25" customHeight="1" x14ac:dyDescent="0.3">
      <c r="B65" s="2" t="s">
        <v>165</v>
      </c>
      <c r="C65" s="2">
        <v>45991</v>
      </c>
      <c r="D65" s="2">
        <f>_xlfn.XLOOKUP(E65,[1]!Bookings[Booking Name],[1]!Bookings[Rejected Date])</f>
        <v>45994</v>
      </c>
      <c r="E65" s="71" t="s">
        <v>217</v>
      </c>
      <c r="F65" s="76" t="str">
        <f>_xlfn.XLOOKUP(E65,[1]!Bookings[Booking Name],[1]!Bookings[Booking Status])</f>
        <v>Rejected</v>
      </c>
      <c r="G65" s="2">
        <f>_xlfn.XLOOKUP(E65,[1]!Bookings[Booking Name],[1]!Bookings[Booking Date])</f>
        <v>45973</v>
      </c>
      <c r="H65" s="3">
        <f>_xlfn.XLOOKUP(E65,[1]!Bookings[Booking Name],[1]!Bookings[Booking Aging])</f>
        <v>86</v>
      </c>
      <c r="I65" s="2" t="str">
        <f>_xlfn.XLOOKUP(E65,[1]!Bookings[Booking Name],[1]!Bookings[Project Name])</f>
        <v>Do New Cairo</v>
      </c>
      <c r="J65" s="2" t="str">
        <f>_xlfn.XLOOKUP(E65,[1]!Bookings[Booking Name],[1]!Bookings[Building])</f>
        <v>Hotel Apartments</v>
      </c>
      <c r="K65" s="2" t="str">
        <f>_xlfn.XLOOKUP(E65,[1]!Bookings[Booking Name],[1]!Bookings[Bedrooms])</f>
        <v>1 BR</v>
      </c>
      <c r="L65" s="2" t="str">
        <f>_xlfn.XLOOKUP(E65,[1]!Bookings[Booking Name],[1]!Bookings[Unit No.])</f>
        <v>DNC-HA-219</v>
      </c>
      <c r="M65" s="36" t="str">
        <f>_xlfn.XLOOKUP(E65,[1]!Bookings[Booking Name],[1]!Bookings[Inventory Unit Status])</f>
        <v>Booked</v>
      </c>
      <c r="N65" s="2" t="str">
        <f>_xlfn.XLOOKUP(E65,[1]!Bookings[Booking Name],[1]!Bookings[Booking Status])</f>
        <v>Rejected</v>
      </c>
      <c r="O65" s="52" t="str">
        <f>_xlfn.XLOOKUP(E65,[1]!Bookings[Booking Name],[1]!Bookings[Customer Name])</f>
        <v>Tawfik Salah Eldin Ahmed Diab</v>
      </c>
      <c r="P65" s="2" t="str">
        <f>_xlfn.XLOOKUP(E65,[1]!Bookings[Booking Name],[1]!Bookings[Nationality])</f>
        <v>Egypt</v>
      </c>
      <c r="Q65" s="4">
        <f>_xlfn.XLOOKUP(E65,[1]!Bookings[Booking Name],[1]!Bookings[Discount Amount])</f>
        <v>0</v>
      </c>
      <c r="R65" s="27">
        <f>_xlfn.XLOOKUP(E65,[1]!Bookings[Booking Name],[1]!Bookings[Discount Percentage])</f>
        <v>0</v>
      </c>
      <c r="S65" s="4">
        <f>_xlfn.XLOOKUP(E65,[1]!Bookings[Booking Name],[1]!Bookings[Final Sale Value After Discount])</f>
        <v>22912500</v>
      </c>
      <c r="T65" s="4">
        <f>_xlfn.XLOOKUP(E65,[1]!Bookings[Booking Name],[1]!Bookings[Inv Final Sale Value])</f>
        <v>22912500</v>
      </c>
      <c r="U65" s="34" t="str">
        <f>_xlfn.XLOOKUP(E65,[1]!Bookings[Booking Name],[1]!Bookings[Sales])</f>
        <v>Hana Soliman</v>
      </c>
      <c r="V65" s="2" t="str">
        <f>_xlfn.XLOOKUP(E65,[1]!Bookings[Booking Name],[1]!Bookings[Agency Name])</f>
        <v/>
      </c>
      <c r="W65" s="2" t="str">
        <f>_xlfn.XLOOKUP(E65,[1]!Bookings[Booking Name],[1]!Bookings[Booking ID])</f>
        <v>a03NM00000Mqxc2</v>
      </c>
      <c r="X65" s="2" t="str">
        <f>_xlfn.XLOOKUP(E65,[1]!Bookings[Booking Name],[1]!Bookings[Oracle Id])</f>
        <v>-</v>
      </c>
      <c r="Y65" s="70" t="s">
        <v>209</v>
      </c>
      <c r="Z65" s="65" t="s">
        <v>25</v>
      </c>
      <c r="AA65" s="6">
        <v>0</v>
      </c>
      <c r="AB65" s="65" t="s">
        <v>26</v>
      </c>
      <c r="AC65" s="12" t="s">
        <v>220</v>
      </c>
      <c r="AD65" s="106" t="s">
        <v>373</v>
      </c>
      <c r="AE65" s="69" t="s">
        <v>221</v>
      </c>
      <c r="AF65" s="69" t="s">
        <v>221</v>
      </c>
    </row>
    <row r="66" spans="2:32" ht="50.25" customHeight="1" x14ac:dyDescent="0.3">
      <c r="B66" s="2" t="s">
        <v>165</v>
      </c>
      <c r="C66" s="2">
        <v>45991</v>
      </c>
      <c r="D66" s="2">
        <f>_xlfn.XLOOKUP(E66,[1]!Bookings[Booking Name],[1]!Bookings[Rejected Date])</f>
        <v>45994</v>
      </c>
      <c r="E66" s="68" t="s">
        <v>216</v>
      </c>
      <c r="F66" s="76" t="str">
        <f>_xlfn.XLOOKUP(E66,[1]!Bookings[Booking Name],[1]!Bookings[Booking Status])</f>
        <v>Rejected</v>
      </c>
      <c r="G66" s="2">
        <f>_xlfn.XLOOKUP(E66,[1]!Bookings[Booking Name],[1]!Bookings[Booking Date])</f>
        <v>45973</v>
      </c>
      <c r="H66" s="3">
        <f>_xlfn.XLOOKUP(E66,[1]!Bookings[Booking Name],[1]!Bookings[Booking Aging])</f>
        <v>86</v>
      </c>
      <c r="I66" s="2" t="str">
        <f>_xlfn.XLOOKUP(E66,[1]!Bookings[Booking Name],[1]!Bookings[Project Name])</f>
        <v>Do New Cairo</v>
      </c>
      <c r="J66" s="2" t="str">
        <f>_xlfn.XLOOKUP(E66,[1]!Bookings[Booking Name],[1]!Bookings[Building])</f>
        <v>Hotel Apartments</v>
      </c>
      <c r="K66" s="2" t="str">
        <f>_xlfn.XLOOKUP(E66,[1]!Bookings[Booking Name],[1]!Bookings[Bedrooms])</f>
        <v>1 BR</v>
      </c>
      <c r="L66" s="2" t="str">
        <f>_xlfn.XLOOKUP(E66,[1]!Bookings[Booking Name],[1]!Bookings[Unit No.])</f>
        <v>DNC-HA-420</v>
      </c>
      <c r="M66" s="36" t="str">
        <f>_xlfn.XLOOKUP(E66,[1]!Bookings[Booking Name],[1]!Bookings[Inventory Unit Status])</f>
        <v>Blocked</v>
      </c>
      <c r="N66" s="2" t="str">
        <f>_xlfn.XLOOKUP(E66,[1]!Bookings[Booking Name],[1]!Bookings[Booking Status])</f>
        <v>Rejected</v>
      </c>
      <c r="O66" s="52" t="str">
        <f>_xlfn.XLOOKUP(E66,[1]!Bookings[Booking Name],[1]!Bookings[Customer Name])</f>
        <v>Ali ali nasr nouh</v>
      </c>
      <c r="P66" s="2" t="str">
        <f>_xlfn.XLOOKUP(E66,[1]!Bookings[Booking Name],[1]!Bookings[Nationality])</f>
        <v>-</v>
      </c>
      <c r="Q66" s="4">
        <f>_xlfn.XLOOKUP(E66,[1]!Bookings[Booking Name],[1]!Bookings[Discount Amount])</f>
        <v>0</v>
      </c>
      <c r="R66" s="27">
        <f>_xlfn.XLOOKUP(E66,[1]!Bookings[Booking Name],[1]!Bookings[Discount Percentage])</f>
        <v>0</v>
      </c>
      <c r="S66" s="4">
        <f>_xlfn.XLOOKUP(E66,[1]!Bookings[Booking Name],[1]!Bookings[Final Sale Value After Discount])</f>
        <v>23887500</v>
      </c>
      <c r="T66" s="4">
        <f>_xlfn.XLOOKUP(E66,[1]!Bookings[Booking Name],[1]!Bookings[Inv Final Sale Value])</f>
        <v>23887500</v>
      </c>
      <c r="U66" s="34" t="str">
        <f>_xlfn.XLOOKUP(E66,[1]!Bookings[Booking Name],[1]!Bookings[Sales])</f>
        <v>Rowan Abbady</v>
      </c>
      <c r="V66" s="2" t="str">
        <f>_xlfn.XLOOKUP(E66,[1]!Bookings[Booking Name],[1]!Bookings[Agency Name])</f>
        <v/>
      </c>
      <c r="W66" s="2" t="str">
        <f>_xlfn.XLOOKUP(E66,[1]!Bookings[Booking Name],[1]!Bookings[Booking ID])</f>
        <v>a03NM00000MpXlJ</v>
      </c>
      <c r="X66" s="2" t="str">
        <f>_xlfn.XLOOKUP(E66,[1]!Bookings[Booking Name],[1]!Bookings[Oracle Id])</f>
        <v>-</v>
      </c>
      <c r="Y66" s="70" t="s">
        <v>209</v>
      </c>
      <c r="Z66" s="65" t="s">
        <v>25</v>
      </c>
      <c r="AA66" s="6">
        <v>0</v>
      </c>
      <c r="AB66" s="65" t="s">
        <v>26</v>
      </c>
      <c r="AC66" s="12" t="s">
        <v>220</v>
      </c>
      <c r="AD66" s="106" t="s">
        <v>374</v>
      </c>
      <c r="AE66" s="69" t="s">
        <v>221</v>
      </c>
      <c r="AF66" s="69" t="s">
        <v>221</v>
      </c>
    </row>
    <row r="67" spans="2:32" ht="50.25" customHeight="1" x14ac:dyDescent="0.3">
      <c r="B67" s="2" t="s">
        <v>165</v>
      </c>
      <c r="C67" s="2">
        <v>45989</v>
      </c>
      <c r="D67" s="2">
        <f>_xlfn.XLOOKUP(E67,[1]!Bookings[Booking Name],[1]!Bookings[Rejected Date])</f>
        <v>45995</v>
      </c>
      <c r="E67" s="66" t="s">
        <v>214</v>
      </c>
      <c r="F67" s="76" t="str">
        <f>_xlfn.XLOOKUP(E67,[1]!Bookings[Booking Name],[1]!Bookings[Booking Status])</f>
        <v>Rejected</v>
      </c>
      <c r="G67" s="2">
        <f>_xlfn.XLOOKUP(E67,[1]!Bookings[Booking Name],[1]!Bookings[Booking Date])</f>
        <v>45904</v>
      </c>
      <c r="H67" s="3">
        <f>_xlfn.XLOOKUP(E67,[1]!Bookings[Booking Name],[1]!Bookings[Booking Aging])</f>
        <v>155</v>
      </c>
      <c r="I67" s="2" t="str">
        <f>_xlfn.XLOOKUP(E67,[1]!Bookings[Booking Name],[1]!Bookings[Project Name])</f>
        <v>Laguna Residence</v>
      </c>
      <c r="J67" s="2" t="str">
        <f>_xlfn.XLOOKUP(E67,[1]!Bookings[Booking Name],[1]!Bookings[Building])</f>
        <v>Tower B</v>
      </c>
      <c r="K67" s="2" t="str">
        <f>_xlfn.XLOOKUP(E67,[1]!Bookings[Booking Name],[1]!Bookings[Bedrooms])</f>
        <v>Studio</v>
      </c>
      <c r="L67" s="2" t="str">
        <f>_xlfn.XLOOKUP(E67,[1]!Bookings[Booking Name],[1]!Bookings[Unit No.])</f>
        <v>B3012</v>
      </c>
      <c r="M67" s="36" t="str">
        <f>_xlfn.XLOOKUP(E67,[1]!Bookings[Booking Name],[1]!Bookings[Inventory Unit Status])</f>
        <v>Available</v>
      </c>
      <c r="N67" s="2" t="str">
        <f>_xlfn.XLOOKUP(E67,[1]!Bookings[Booking Name],[1]!Bookings[Booking Status])</f>
        <v>Rejected</v>
      </c>
      <c r="O67" s="52" t="str">
        <f>_xlfn.XLOOKUP(E67,[1]!Bookings[Booking Name],[1]!Bookings[Customer Name])</f>
        <v>Mohammed Fardin Khan</v>
      </c>
      <c r="P67" s="2" t="str">
        <f>_xlfn.XLOOKUP(E67,[1]!Bookings[Booking Name],[1]!Bookings[Nationality])</f>
        <v>United States of America</v>
      </c>
      <c r="Q67" s="4">
        <f>_xlfn.XLOOKUP(E67,[1]!Bookings[Booking Name],[1]!Bookings[Discount Amount])</f>
        <v>44450</v>
      </c>
      <c r="R67" s="27">
        <f>_xlfn.XLOOKUP(E67,[1]!Bookings[Booking Name],[1]!Bookings[Discount Percentage])</f>
        <v>0.05</v>
      </c>
      <c r="S67" s="4">
        <f>_xlfn.XLOOKUP(E67,[1]!Bookings[Booking Name],[1]!Bookings[Final Sale Value After Discount])</f>
        <v>844550</v>
      </c>
      <c r="T67" s="4">
        <f>_xlfn.XLOOKUP(E67,[1]!Bookings[Booking Name],[1]!Bookings[Inv Final Sale Value])</f>
        <v>889000</v>
      </c>
      <c r="U67" s="34" t="str">
        <f>_xlfn.XLOOKUP(E67,[1]!Bookings[Booking Name],[1]!Bookings[Sales])</f>
        <v>Ramy Abdelsalam</v>
      </c>
      <c r="V67" s="2" t="str">
        <f>_xlfn.XLOOKUP(E67,[1]!Bookings[Booking Name],[1]!Bookings[Agency Name])</f>
        <v>Sevenx Properties LLC</v>
      </c>
      <c r="W67" s="2" t="str">
        <f>_xlfn.XLOOKUP(E67,[1]!Bookings[Booking Name],[1]!Bookings[Booking ID])</f>
        <v>a03J600000Bs7e5</v>
      </c>
      <c r="X67" s="2" t="str">
        <f>_xlfn.XLOOKUP(E67,[1]!Bookings[Booking Name],[1]!Bookings[Oracle Id])</f>
        <v>-</v>
      </c>
      <c r="Y67" s="70" t="s">
        <v>209</v>
      </c>
      <c r="Z67" s="90">
        <v>60000</v>
      </c>
      <c r="AA67" s="6">
        <v>7.1043751110058617E-2</v>
      </c>
      <c r="AB67" s="67" t="s">
        <v>26</v>
      </c>
      <c r="AC67" s="60" t="s">
        <v>93</v>
      </c>
      <c r="AD67" s="14" t="s">
        <v>375</v>
      </c>
      <c r="AE67" s="67" t="s">
        <v>93</v>
      </c>
      <c r="AF67" s="67" t="s">
        <v>139</v>
      </c>
    </row>
    <row r="68" spans="2:32" ht="50.25" customHeight="1" x14ac:dyDescent="0.3">
      <c r="B68" s="2" t="s">
        <v>165</v>
      </c>
      <c r="C68" s="2">
        <v>45989</v>
      </c>
      <c r="D68" s="2">
        <f>_xlfn.XLOOKUP(E68,[1]!Bookings[Booking Name],[1]!Bookings[Rejected Date])</f>
        <v>45995</v>
      </c>
      <c r="E68" s="66" t="s">
        <v>215</v>
      </c>
      <c r="F68" s="76" t="str">
        <f>_xlfn.XLOOKUP(E68,[1]!Bookings[Booking Name],[1]!Bookings[Booking Status])</f>
        <v>Rejected</v>
      </c>
      <c r="G68" s="2">
        <f>_xlfn.XLOOKUP(E68,[1]!Bookings[Booking Name],[1]!Bookings[Booking Date])</f>
        <v>45924</v>
      </c>
      <c r="H68" s="3">
        <f>_xlfn.XLOOKUP(E68,[1]!Bookings[Booking Name],[1]!Bookings[Booking Aging])</f>
        <v>135</v>
      </c>
      <c r="I68" s="2" t="str">
        <f>_xlfn.XLOOKUP(E68,[1]!Bookings[Booking Name],[1]!Bookings[Project Name])</f>
        <v>Laguna Residence</v>
      </c>
      <c r="J68" s="2" t="str">
        <f>_xlfn.XLOOKUP(E68,[1]!Bookings[Booking Name],[1]!Bookings[Building])</f>
        <v>Tower A</v>
      </c>
      <c r="K68" s="2" t="str">
        <f>_xlfn.XLOOKUP(E68,[1]!Bookings[Booking Name],[1]!Bookings[Bedrooms])</f>
        <v>2 Bedroom</v>
      </c>
      <c r="L68" s="2" t="str">
        <f>_xlfn.XLOOKUP(E68,[1]!Bookings[Booking Name],[1]!Bookings[Unit No.])</f>
        <v>A2305</v>
      </c>
      <c r="M68" s="36" t="str">
        <f>_xlfn.XLOOKUP(E68,[1]!Bookings[Booking Name],[1]!Bookings[Inventory Unit Status])</f>
        <v>SPA Executed</v>
      </c>
      <c r="N68" s="2" t="str">
        <f>_xlfn.XLOOKUP(E68,[1]!Bookings[Booking Name],[1]!Bookings[Booking Status])</f>
        <v>Rejected</v>
      </c>
      <c r="O68" s="52" t="str">
        <f>_xlfn.XLOOKUP(E68,[1]!Bookings[Booking Name],[1]!Bookings[Customer Name])</f>
        <v>Amr Mahdy Sallam Mahmoud</v>
      </c>
      <c r="P68" s="2" t="str">
        <f>_xlfn.XLOOKUP(E68,[1]!Bookings[Booking Name],[1]!Bookings[Nationality])</f>
        <v>Egypt</v>
      </c>
      <c r="Q68" s="4">
        <f>_xlfn.XLOOKUP(E68,[1]!Bookings[Booking Name],[1]!Bookings[Discount Amount])</f>
        <v>114700</v>
      </c>
      <c r="R68" s="27">
        <f>_xlfn.XLOOKUP(E68,[1]!Bookings[Booking Name],[1]!Bookings[Discount Percentage])</f>
        <v>0.05</v>
      </c>
      <c r="S68" s="4">
        <f>_xlfn.XLOOKUP(E68,[1]!Bookings[Booking Name],[1]!Bookings[Final Sale Value After Discount])</f>
        <v>2179300</v>
      </c>
      <c r="T68" s="4">
        <f>_xlfn.XLOOKUP(E68,[1]!Bookings[Booking Name],[1]!Bookings[Inv Final Sale Value])</f>
        <v>2294000</v>
      </c>
      <c r="U68" s="34" t="str">
        <f>_xlfn.XLOOKUP(E68,[1]!Bookings[Booking Name],[1]!Bookings[Sales])</f>
        <v>Feriel Dridi</v>
      </c>
      <c r="V68" s="2" t="str">
        <f>_xlfn.XLOOKUP(E68,[1]!Bookings[Booking Name],[1]!Bookings[Agency Name])</f>
        <v>Eleva Properties LLC</v>
      </c>
      <c r="W68" s="2" t="str">
        <f>_xlfn.XLOOKUP(E68,[1]!Bookings[Booking Name],[1]!Bookings[Booking ID])</f>
        <v>a03J600000BtKzJ</v>
      </c>
      <c r="X68" s="2" t="str">
        <f>_xlfn.XLOOKUP(E68,[1]!Bookings[Booking Name],[1]!Bookings[Oracle Id])</f>
        <v>-</v>
      </c>
      <c r="Y68" s="70" t="s">
        <v>209</v>
      </c>
      <c r="Z68" s="90">
        <v>20000</v>
      </c>
      <c r="AA68" s="6">
        <v>9.177258752810535E-3</v>
      </c>
      <c r="AB68" s="67" t="s">
        <v>26</v>
      </c>
      <c r="AC68" s="60" t="s">
        <v>93</v>
      </c>
      <c r="AD68" s="14" t="s">
        <v>421</v>
      </c>
      <c r="AE68" s="67" t="s">
        <v>93</v>
      </c>
      <c r="AF68" s="67" t="s">
        <v>139</v>
      </c>
    </row>
    <row r="69" spans="2:32" ht="50.25" customHeight="1" x14ac:dyDescent="0.3">
      <c r="B69" s="72" t="s">
        <v>165</v>
      </c>
      <c r="C69" s="2">
        <v>45987</v>
      </c>
      <c r="D69" s="2">
        <f>_xlfn.XLOOKUP(E69,[1]!Bookings[Booking Name],[1]!Bookings[Rejected Date])</f>
        <v>46001</v>
      </c>
      <c r="E69" s="72" t="s">
        <v>224</v>
      </c>
      <c r="F69" s="76" t="str">
        <f>_xlfn.XLOOKUP(E69,[1]!Bookings[Booking Name],[1]!Bookings[Booking Status])</f>
        <v>Rejected</v>
      </c>
      <c r="G69" s="2">
        <f>_xlfn.XLOOKUP(E69,[1]!Bookings[Booking Name],[1]!Bookings[Booking Date])</f>
        <v>45896</v>
      </c>
      <c r="H69" s="3">
        <f>_xlfn.XLOOKUP(E69,[1]!Bookings[Booking Name],[1]!Bookings[Booking Aging])</f>
        <v>163</v>
      </c>
      <c r="I69" s="2" t="str">
        <f>_xlfn.XLOOKUP(E69,[1]!Bookings[Booking Name],[1]!Bookings[Project Name])</f>
        <v>Laguna Residence</v>
      </c>
      <c r="J69" s="2" t="str">
        <f>_xlfn.XLOOKUP(E69,[1]!Bookings[Booking Name],[1]!Bookings[Building])</f>
        <v>Tower A</v>
      </c>
      <c r="K69" s="2" t="str">
        <f>_xlfn.XLOOKUP(E69,[1]!Bookings[Booking Name],[1]!Bookings[Bedrooms])</f>
        <v>Studio</v>
      </c>
      <c r="L69" s="2" t="str">
        <f>_xlfn.XLOOKUP(E69,[1]!Bookings[Booking Name],[1]!Bookings[Unit No.])</f>
        <v>A2713</v>
      </c>
      <c r="M69" s="36" t="str">
        <f>_xlfn.XLOOKUP(E69,[1]!Bookings[Booking Name],[1]!Bookings[Inventory Unit Status])</f>
        <v>Booked</v>
      </c>
      <c r="N69" s="2" t="str">
        <f>_xlfn.XLOOKUP(E69,[1]!Bookings[Booking Name],[1]!Bookings[Booking Status])</f>
        <v>Rejected</v>
      </c>
      <c r="O69" s="52" t="str">
        <f>_xlfn.XLOOKUP(E69,[1]!Bookings[Booking Name],[1]!Bookings[Customer Name])</f>
        <v>Meera Ali Salmeen Ali Almazrouei</v>
      </c>
      <c r="P69" s="2" t="str">
        <f>_xlfn.XLOOKUP(E69,[1]!Bookings[Booking Name],[1]!Bookings[Nationality])</f>
        <v>United Arab Emirates</v>
      </c>
      <c r="Q69" s="4">
        <f>_xlfn.XLOOKUP(E69,[1]!Bookings[Booking Name],[1]!Bookings[Discount Amount])</f>
        <v>0</v>
      </c>
      <c r="R69" s="27">
        <f>_xlfn.XLOOKUP(E69,[1]!Bookings[Booking Name],[1]!Bookings[Discount Percentage])</f>
        <v>0</v>
      </c>
      <c r="S69" s="4">
        <f>_xlfn.XLOOKUP(E69,[1]!Bookings[Booking Name],[1]!Bookings[Final Sale Value After Discount])</f>
        <v>801000</v>
      </c>
      <c r="T69" s="4">
        <f>_xlfn.XLOOKUP(E69,[1]!Bookings[Booking Name],[1]!Bookings[Inv Final Sale Value])</f>
        <v>801000</v>
      </c>
      <c r="U69" s="34" t="str">
        <f>_xlfn.XLOOKUP(E69,[1]!Bookings[Booking Name],[1]!Bookings[Sales])</f>
        <v>Mohamed El Shimy</v>
      </c>
      <c r="V69" s="2" t="str">
        <f>_xlfn.XLOOKUP(E69,[1]!Bookings[Booking Name],[1]!Bookings[Agency Name])</f>
        <v>Eleva Properties LLC</v>
      </c>
      <c r="W69" s="2" t="str">
        <f>_xlfn.XLOOKUP(E69,[1]!Bookings[Booking Name],[1]!Bookings[Booking ID])</f>
        <v>a03J600000BrdNh</v>
      </c>
      <c r="X69" s="2" t="str">
        <f>_xlfn.XLOOKUP(E69,[1]!Bookings[Booking Name],[1]!Bookings[Oracle Id])</f>
        <v>-</v>
      </c>
      <c r="Y69" s="70" t="s">
        <v>209</v>
      </c>
      <c r="Z69" s="90">
        <v>10000</v>
      </c>
      <c r="AA69" s="6">
        <v>1.2484394506866416E-2</v>
      </c>
      <c r="AB69" s="73" t="s">
        <v>31</v>
      </c>
      <c r="AC69" s="60" t="s">
        <v>93</v>
      </c>
      <c r="AD69" s="14" t="s">
        <v>420</v>
      </c>
      <c r="AE69" s="60" t="s">
        <v>93</v>
      </c>
      <c r="AF69" s="28" t="s">
        <v>96</v>
      </c>
    </row>
    <row r="70" spans="2:32" ht="50.25" customHeight="1" x14ac:dyDescent="0.3">
      <c r="B70" s="2" t="s">
        <v>165</v>
      </c>
      <c r="C70" s="2">
        <v>45986</v>
      </c>
      <c r="D70" s="2">
        <f>_xlfn.XLOOKUP(E70,[1]!Bookings[Booking Name],[1]!Bookings[Rejected Date])</f>
        <v>45987</v>
      </c>
      <c r="E70" s="64" t="s">
        <v>211</v>
      </c>
      <c r="F70" s="76" t="str">
        <f>_xlfn.XLOOKUP(E70,[1]!Bookings[Booking Name],[1]!Bookings[Booking Status])</f>
        <v>Rejected</v>
      </c>
      <c r="G70" s="2">
        <f>_xlfn.XLOOKUP(E70,[1]!Bookings[Booking Name],[1]!Bookings[Booking Date])</f>
        <v>45972</v>
      </c>
      <c r="H70" s="3">
        <f>_xlfn.XLOOKUP(E70,[1]!Bookings[Booking Name],[1]!Bookings[Booking Aging])</f>
        <v>87</v>
      </c>
      <c r="I70" s="2" t="str">
        <f>_xlfn.XLOOKUP(E70,[1]!Bookings[Booking Name],[1]!Bookings[Project Name])</f>
        <v>Do Dubai Island</v>
      </c>
      <c r="J70" s="2" t="str">
        <f>_xlfn.XLOOKUP(E70,[1]!Bookings[Booking Name],[1]!Bookings[Building])</f>
        <v>Tower 1</v>
      </c>
      <c r="K70" s="2" t="str">
        <f>_xlfn.XLOOKUP(E70,[1]!Bookings[Booking Name],[1]!Bookings[Bedrooms])</f>
        <v>1 Bedroom</v>
      </c>
      <c r="L70" s="2" t="str">
        <f>_xlfn.XLOOKUP(E70,[1]!Bookings[Booking Name],[1]!Bookings[Unit No.])</f>
        <v>609</v>
      </c>
      <c r="M70" s="36" t="str">
        <f>_xlfn.XLOOKUP(E70,[1]!Bookings[Booking Name],[1]!Bookings[Inventory Unit Status])</f>
        <v>Available</v>
      </c>
      <c r="N70" s="2" t="str">
        <f>_xlfn.XLOOKUP(E70,[1]!Bookings[Booking Name],[1]!Bookings[Booking Status])</f>
        <v>Rejected</v>
      </c>
      <c r="O70" s="52" t="str">
        <f>_xlfn.XLOOKUP(E70,[1]!Bookings[Booking Name],[1]!Bookings[Customer Name])</f>
        <v>Samir Bahida</v>
      </c>
      <c r="P70" s="2" t="str">
        <f>_xlfn.XLOOKUP(E70,[1]!Bookings[Booking Name],[1]!Bookings[Nationality])</f>
        <v>Morocco</v>
      </c>
      <c r="Q70" s="4">
        <f>_xlfn.XLOOKUP(E70,[1]!Bookings[Booking Name],[1]!Bookings[Discount Amount])</f>
        <v>166280</v>
      </c>
      <c r="R70" s="27">
        <f>_xlfn.XLOOKUP(E70,[1]!Bookings[Booking Name],[1]!Bookings[Discount Percentage])</f>
        <v>6.6967378171566658E-2</v>
      </c>
      <c r="S70" s="4">
        <f>_xlfn.XLOOKUP(E70,[1]!Bookings[Booking Name],[1]!Bookings[Final Sale Value After Discount])</f>
        <v>2316720</v>
      </c>
      <c r="T70" s="4">
        <f>_xlfn.XLOOKUP(E70,[1]!Bookings[Booking Name],[1]!Bookings[Inv Final Sale Value])</f>
        <v>2483000</v>
      </c>
      <c r="U70" s="34" t="str">
        <f>_xlfn.XLOOKUP(E70,[1]!Bookings[Booking Name],[1]!Bookings[Sales])</f>
        <v>Rihab Zayani</v>
      </c>
      <c r="V70" s="2" t="str">
        <f>_xlfn.XLOOKUP(E70,[1]!Bookings[Booking Name],[1]!Bookings[Agency Name])</f>
        <v>Marrfa Discovery Real Estate L.L.C</v>
      </c>
      <c r="W70" s="2" t="str">
        <f>_xlfn.XLOOKUP(E70,[1]!Bookings[Booking Name],[1]!Bookings[Booking ID])</f>
        <v>a03NM00000Mjg07</v>
      </c>
      <c r="X70" s="2" t="str">
        <f>_xlfn.XLOOKUP(E70,[1]!Bookings[Booking Name],[1]!Bookings[Oracle Id])</f>
        <v>-</v>
      </c>
      <c r="Y70" s="70" t="s">
        <v>209</v>
      </c>
      <c r="Z70" s="65" t="s">
        <v>25</v>
      </c>
      <c r="AA70" s="6">
        <v>0</v>
      </c>
      <c r="AB70" s="65" t="s">
        <v>26</v>
      </c>
      <c r="AC70" s="60" t="s">
        <v>93</v>
      </c>
      <c r="AD70" s="14" t="s">
        <v>419</v>
      </c>
      <c r="AE70" s="60" t="s">
        <v>93</v>
      </c>
      <c r="AF70" s="28" t="s">
        <v>96</v>
      </c>
    </row>
    <row r="71" spans="2:32" ht="50.25" customHeight="1" x14ac:dyDescent="0.3">
      <c r="B71" s="2" t="s">
        <v>165</v>
      </c>
      <c r="C71" s="2">
        <v>45986</v>
      </c>
      <c r="D71" s="2">
        <f>_xlfn.XLOOKUP(E71,[1]!Bookings[Booking Name],[1]!Bookings[Rejected Date])</f>
        <v>45987</v>
      </c>
      <c r="E71" s="64" t="s">
        <v>210</v>
      </c>
      <c r="F71" s="76" t="str">
        <f>_xlfn.XLOOKUP(E71,[1]!Bookings[Booking Name],[1]!Bookings[Booking Status])</f>
        <v>Rejected</v>
      </c>
      <c r="G71" s="2">
        <f>_xlfn.XLOOKUP(E71,[1]!Bookings[Booking Name],[1]!Bookings[Booking Date])</f>
        <v>45976</v>
      </c>
      <c r="H71" s="3">
        <f>_xlfn.XLOOKUP(E71,[1]!Bookings[Booking Name],[1]!Bookings[Booking Aging])</f>
        <v>83</v>
      </c>
      <c r="I71" s="2" t="str">
        <f>_xlfn.XLOOKUP(E71,[1]!Bookings[Booking Name],[1]!Bookings[Project Name])</f>
        <v>Do Dubai Island</v>
      </c>
      <c r="J71" s="2" t="str">
        <f>_xlfn.XLOOKUP(E71,[1]!Bookings[Booking Name],[1]!Bookings[Building])</f>
        <v>Tower 1</v>
      </c>
      <c r="K71" s="2" t="str">
        <f>_xlfn.XLOOKUP(E71,[1]!Bookings[Booking Name],[1]!Bookings[Bedrooms])</f>
        <v>1 Bedroom</v>
      </c>
      <c r="L71" s="2" t="str">
        <f>_xlfn.XLOOKUP(E71,[1]!Bookings[Booking Name],[1]!Bookings[Unit No.])</f>
        <v>409</v>
      </c>
      <c r="M71" s="36" t="str">
        <f>_xlfn.XLOOKUP(E71,[1]!Bookings[Booking Name],[1]!Bookings[Inventory Unit Status])</f>
        <v>Blocked</v>
      </c>
      <c r="N71" s="2" t="str">
        <f>_xlfn.XLOOKUP(E71,[1]!Bookings[Booking Name],[1]!Bookings[Booking Status])</f>
        <v>Rejected</v>
      </c>
      <c r="O71" s="52" t="str">
        <f>_xlfn.XLOOKUP(E71,[1]!Bookings[Booking Name],[1]!Bookings[Customer Name])</f>
        <v>Ali Lafhel</v>
      </c>
      <c r="P71" s="2" t="str">
        <f>_xlfn.XLOOKUP(E71,[1]!Bookings[Booking Name],[1]!Bookings[Nationality])</f>
        <v>Morocco</v>
      </c>
      <c r="Q71" s="4">
        <f>_xlfn.XLOOKUP(E71,[1]!Bookings[Booking Name],[1]!Bookings[Discount Amount])</f>
        <v>46580</v>
      </c>
      <c r="R71" s="27">
        <f>_xlfn.XLOOKUP(E71,[1]!Bookings[Booking Name],[1]!Bookings[Discount Percentage])</f>
        <v>0.02</v>
      </c>
      <c r="S71" s="4">
        <f>_xlfn.XLOOKUP(E71,[1]!Bookings[Booking Name],[1]!Bookings[Final Sale Value After Discount])</f>
        <v>2282420</v>
      </c>
      <c r="T71" s="4">
        <f>_xlfn.XLOOKUP(E71,[1]!Bookings[Booking Name],[1]!Bookings[Inv Final Sale Value])</f>
        <v>2329000</v>
      </c>
      <c r="U71" s="34" t="str">
        <f>_xlfn.XLOOKUP(E71,[1]!Bookings[Booking Name],[1]!Bookings[Sales])</f>
        <v>Rihab Zayani</v>
      </c>
      <c r="V71" s="2" t="str">
        <f>_xlfn.XLOOKUP(E71,[1]!Bookings[Booking Name],[1]!Bookings[Agency Name])</f>
        <v>Marrfa Discovery Real Estate L.L.C</v>
      </c>
      <c r="W71" s="2" t="str">
        <f>_xlfn.XLOOKUP(E71,[1]!Bookings[Booking Name],[1]!Bookings[Booking ID])</f>
        <v>a03NM00000N5lih</v>
      </c>
      <c r="X71" s="2" t="str">
        <f>_xlfn.XLOOKUP(E71,[1]!Bookings[Booking Name],[1]!Bookings[Oracle Id])</f>
        <v>-</v>
      </c>
      <c r="Y71" s="70" t="s">
        <v>209</v>
      </c>
      <c r="Z71" s="65" t="s">
        <v>25</v>
      </c>
      <c r="AA71" s="6">
        <v>0</v>
      </c>
      <c r="AB71" s="65" t="s">
        <v>26</v>
      </c>
      <c r="AC71" s="60" t="s">
        <v>93</v>
      </c>
      <c r="AD71" s="14" t="s">
        <v>418</v>
      </c>
      <c r="AE71" s="60" t="s">
        <v>93</v>
      </c>
      <c r="AF71" s="28" t="s">
        <v>96</v>
      </c>
    </row>
    <row r="72" spans="2:32" ht="50.25" customHeight="1" x14ac:dyDescent="0.3">
      <c r="B72" s="2" t="s">
        <v>165</v>
      </c>
      <c r="C72" s="2">
        <v>45985</v>
      </c>
      <c r="D72" s="2">
        <f>_xlfn.XLOOKUP(E72,[1]!Bookings[Booking Name],[1]!Bookings[Rejected Date])</f>
        <v>45996</v>
      </c>
      <c r="E72" s="64" t="s">
        <v>212</v>
      </c>
      <c r="F72" s="76" t="str">
        <f>_xlfn.XLOOKUP(E72,[1]!Bookings[Booking Name],[1]!Bookings[Booking Status])</f>
        <v>Rejected</v>
      </c>
      <c r="G72" s="2">
        <f>_xlfn.XLOOKUP(E72,[1]!Bookings[Booking Name],[1]!Bookings[Booking Date])</f>
        <v>45693</v>
      </c>
      <c r="H72" s="3">
        <f>_xlfn.XLOOKUP(E72,[1]!Bookings[Booking Name],[1]!Bookings[Booking Aging])</f>
        <v>366</v>
      </c>
      <c r="I72" s="2" t="str">
        <f>_xlfn.XLOOKUP(E72,[1]!Bookings[Booking Name],[1]!Bookings[Project Name])</f>
        <v>Laguna Residence</v>
      </c>
      <c r="J72" s="2" t="str">
        <f>_xlfn.XLOOKUP(E72,[1]!Bookings[Booking Name],[1]!Bookings[Building])</f>
        <v>Tower A</v>
      </c>
      <c r="K72" s="2" t="str">
        <f>_xlfn.XLOOKUP(E72,[1]!Bookings[Booking Name],[1]!Bookings[Bedrooms])</f>
        <v>Studio</v>
      </c>
      <c r="L72" s="2" t="str">
        <f>_xlfn.XLOOKUP(E72,[1]!Bookings[Booking Name],[1]!Bookings[Unit No.])</f>
        <v>A1914</v>
      </c>
      <c r="M72" s="36" t="str">
        <f>_xlfn.XLOOKUP(E72,[1]!Bookings[Booking Name],[1]!Bookings[Inventory Unit Status])</f>
        <v>Booked</v>
      </c>
      <c r="N72" s="2" t="str">
        <f>_xlfn.XLOOKUP(E72,[1]!Bookings[Booking Name],[1]!Bookings[Booking Status])</f>
        <v>Rejected</v>
      </c>
      <c r="O72" s="52" t="str">
        <f>_xlfn.XLOOKUP(E72,[1]!Bookings[Booking Name],[1]!Bookings[Customer Name])</f>
        <v>Nageswara Rao Gupta Manepalli</v>
      </c>
      <c r="P72" s="2" t="str">
        <f>_xlfn.XLOOKUP(E72,[1]!Bookings[Booking Name],[1]!Bookings[Nationality])</f>
        <v>India</v>
      </c>
      <c r="Q72" s="4">
        <f>_xlfn.XLOOKUP(E72,[1]!Bookings[Booking Name],[1]!Bookings[Discount Amount])</f>
        <v>98930</v>
      </c>
      <c r="R72" s="27">
        <f>_xlfn.XLOOKUP(E72,[1]!Bookings[Booking Name],[1]!Bookings[Discount Percentage])</f>
        <v>0.12602547770700637</v>
      </c>
      <c r="S72" s="4">
        <f>_xlfn.XLOOKUP(E72,[1]!Bookings[Booking Name],[1]!Bookings[Final Sale Value After Discount])</f>
        <v>686070</v>
      </c>
      <c r="T72" s="4">
        <f>_xlfn.XLOOKUP(E72,[1]!Bookings[Booking Name],[1]!Bookings[Inv Final Sale Value])</f>
        <v>785000</v>
      </c>
      <c r="U72" s="34" t="str">
        <f>_xlfn.XLOOKUP(E72,[1]!Bookings[Booking Name],[1]!Bookings[Sales])</f>
        <v>Khamid Marzaganov</v>
      </c>
      <c r="V72" s="2" t="str">
        <f>_xlfn.XLOOKUP(E72,[1]!Bookings[Booking Name],[1]!Bookings[Agency Name])</f>
        <v>CHALET INTERNATIONAL REAL ESTATE L.L.C</v>
      </c>
      <c r="W72" s="2" t="str">
        <f>_xlfn.XLOOKUP(E72,[1]!Bookings[Booking Name],[1]!Bookings[Booking ID])</f>
        <v>a03J60000060Aow</v>
      </c>
      <c r="X72" s="2" t="str">
        <f>_xlfn.XLOOKUP(E72,[1]!Bookings[Booking Name],[1]!Bookings[Oracle Id])</f>
        <v>19102</v>
      </c>
      <c r="Y72" s="70" t="s">
        <v>209</v>
      </c>
      <c r="Z72" s="90">
        <v>202634.84999999998</v>
      </c>
      <c r="AA72" s="6">
        <v>0.29535594035594032</v>
      </c>
      <c r="AB72" s="65" t="s">
        <v>26</v>
      </c>
      <c r="AC72" s="12" t="s">
        <v>430</v>
      </c>
      <c r="AD72" s="14" t="s">
        <v>417</v>
      </c>
      <c r="AE72" s="28" t="s">
        <v>87</v>
      </c>
      <c r="AF72" s="65" t="s">
        <v>213</v>
      </c>
    </row>
    <row r="73" spans="2:32" ht="50.25" customHeight="1" x14ac:dyDescent="0.3">
      <c r="B73" s="2" t="s">
        <v>165</v>
      </c>
      <c r="C73" s="2">
        <v>45985</v>
      </c>
      <c r="D73" s="2">
        <f>_xlfn.XLOOKUP(E73,[1]!Bookings[Booking Name],[1]!Bookings[Rejected Date])</f>
        <v>45987</v>
      </c>
      <c r="E73" s="63" t="s">
        <v>208</v>
      </c>
      <c r="F73" s="76" t="str">
        <f>_xlfn.XLOOKUP(E73,[1]!Bookings[Booking Name],[1]!Bookings[Booking Status])</f>
        <v>Rejected</v>
      </c>
      <c r="G73" s="2">
        <f>_xlfn.XLOOKUP(E73,[1]!Bookings[Booking Name],[1]!Bookings[Booking Date])</f>
        <v>45968</v>
      </c>
      <c r="H73" s="3">
        <f>_xlfn.XLOOKUP(E73,[1]!Bookings[Booking Name],[1]!Bookings[Booking Aging])</f>
        <v>91</v>
      </c>
      <c r="I73" s="2" t="str">
        <f>_xlfn.XLOOKUP(E73,[1]!Bookings[Booking Name],[1]!Bookings[Project Name])</f>
        <v>Do Dubai Island</v>
      </c>
      <c r="J73" s="2" t="str">
        <f>_xlfn.XLOOKUP(E73,[1]!Bookings[Booking Name],[1]!Bookings[Building])</f>
        <v>Tower 1</v>
      </c>
      <c r="K73" s="2" t="str">
        <f>_xlfn.XLOOKUP(E73,[1]!Bookings[Booking Name],[1]!Bookings[Bedrooms])</f>
        <v>1 Bedroom</v>
      </c>
      <c r="L73" s="2" t="str">
        <f>_xlfn.XLOOKUP(E73,[1]!Bookings[Booking Name],[1]!Bookings[Unit No.])</f>
        <v>404</v>
      </c>
      <c r="M73" s="36" t="str">
        <f>_xlfn.XLOOKUP(E73,[1]!Bookings[Booking Name],[1]!Bookings[Inventory Unit Status])</f>
        <v>Booked</v>
      </c>
      <c r="N73" s="2" t="str">
        <f>_xlfn.XLOOKUP(E73,[1]!Bookings[Booking Name],[1]!Bookings[Booking Status])</f>
        <v>Rejected</v>
      </c>
      <c r="O73" s="52" t="str">
        <f>_xlfn.XLOOKUP(E73,[1]!Bookings[Booking Name],[1]!Bookings[Customer Name])</f>
        <v>Lady Johanna Morales Torres</v>
      </c>
      <c r="P73" s="2" t="str">
        <f>_xlfn.XLOOKUP(E73,[1]!Bookings[Booking Name],[1]!Bookings[Nationality])</f>
        <v>Colombia</v>
      </c>
      <c r="Q73" s="4">
        <f>_xlfn.XLOOKUP(E73,[1]!Bookings[Booking Name],[1]!Bookings[Discount Amount])</f>
        <v>0</v>
      </c>
      <c r="R73" s="27">
        <f>_xlfn.XLOOKUP(E73,[1]!Bookings[Booking Name],[1]!Bookings[Discount Percentage])</f>
        <v>0</v>
      </c>
      <c r="S73" s="4">
        <f>_xlfn.XLOOKUP(E73,[1]!Bookings[Booking Name],[1]!Bookings[Final Sale Value After Discount])</f>
        <v>2664000</v>
      </c>
      <c r="T73" s="4">
        <f>_xlfn.XLOOKUP(E73,[1]!Bookings[Booking Name],[1]!Bookings[Inv Final Sale Value])</f>
        <v>2664000</v>
      </c>
      <c r="U73" s="34" t="str">
        <f>_xlfn.XLOOKUP(E73,[1]!Bookings[Booking Name],[1]!Bookings[Sales])</f>
        <v>Alona Lurdes</v>
      </c>
      <c r="V73" s="2" t="str">
        <f>_xlfn.XLOOKUP(E73,[1]!Bookings[Booking Name],[1]!Bookings[Agency Name])</f>
        <v>PROVIDENT REAL ESTATE BROKER L.L.C</v>
      </c>
      <c r="W73" s="2" t="str">
        <f>_xlfn.XLOOKUP(E73,[1]!Bookings[Booking Name],[1]!Bookings[Booking ID])</f>
        <v>a03NM00000MRfSF</v>
      </c>
      <c r="X73" s="2" t="str">
        <f>_xlfn.XLOOKUP(E73,[1]!Bookings[Booking Name],[1]!Bookings[Oracle Id])</f>
        <v>-</v>
      </c>
      <c r="Y73" s="70" t="s">
        <v>209</v>
      </c>
      <c r="Z73" s="18" t="s">
        <v>25</v>
      </c>
      <c r="AA73" s="6">
        <v>0</v>
      </c>
      <c r="AB73" s="60" t="s">
        <v>26</v>
      </c>
      <c r="AC73" s="60" t="s">
        <v>93</v>
      </c>
      <c r="AD73" s="14" t="s">
        <v>416</v>
      </c>
      <c r="AE73" s="60" t="s">
        <v>93</v>
      </c>
      <c r="AF73" s="28" t="s">
        <v>96</v>
      </c>
    </row>
    <row r="74" spans="2:32" ht="50.25" customHeight="1" x14ac:dyDescent="0.3">
      <c r="B74" s="2" t="s">
        <v>165</v>
      </c>
      <c r="C74" s="2">
        <v>45980</v>
      </c>
      <c r="D74" s="2">
        <f>_xlfn.XLOOKUP(E74,[1]!Bookings[Booking Name],[1]!Bookings[Rejected Date])</f>
        <v>45981</v>
      </c>
      <c r="E74" s="61" t="s">
        <v>207</v>
      </c>
      <c r="F74" s="76" t="str">
        <f>_xlfn.XLOOKUP(E74,[1]!Bookings[Booking Name],[1]!Bookings[Booking Status])</f>
        <v>Rejected</v>
      </c>
      <c r="G74" s="2">
        <f>_xlfn.XLOOKUP(E74,[1]!Bookings[Booking Name],[1]!Bookings[Booking Date])</f>
        <v>45925</v>
      </c>
      <c r="H74" s="3">
        <f>_xlfn.XLOOKUP(E74,[1]!Bookings[Booking Name],[1]!Bookings[Booking Aging])</f>
        <v>134</v>
      </c>
      <c r="I74" s="2" t="str">
        <f>_xlfn.XLOOKUP(E74,[1]!Bookings[Booking Name],[1]!Bookings[Project Name])</f>
        <v>Laguna Residence</v>
      </c>
      <c r="J74" s="2" t="str">
        <f>_xlfn.XLOOKUP(E74,[1]!Bookings[Booking Name],[1]!Bookings[Building])</f>
        <v>Tower A</v>
      </c>
      <c r="K74" s="2" t="str">
        <f>_xlfn.XLOOKUP(E74,[1]!Bookings[Booking Name],[1]!Bookings[Bedrooms])</f>
        <v>2 Bedroom</v>
      </c>
      <c r="L74" s="2" t="str">
        <f>_xlfn.XLOOKUP(E74,[1]!Bookings[Booking Name],[1]!Bookings[Unit No.])</f>
        <v>A4205</v>
      </c>
      <c r="M74" s="36" t="str">
        <f>_xlfn.XLOOKUP(E74,[1]!Bookings[Booking Name],[1]!Bookings[Inventory Unit Status])</f>
        <v>Blocked</v>
      </c>
      <c r="N74" s="2" t="str">
        <f>_xlfn.XLOOKUP(E74,[1]!Bookings[Booking Name],[1]!Bookings[Booking Status])</f>
        <v>Rejected</v>
      </c>
      <c r="O74" s="52" t="str">
        <f>_xlfn.XLOOKUP(E74,[1]!Bookings[Booking Name],[1]!Bookings[Customer Name])</f>
        <v>Amer Darweesh Ali Almoseimi</v>
      </c>
      <c r="P74" s="2" t="str">
        <f>_xlfn.XLOOKUP(E74,[1]!Bookings[Booking Name],[1]!Bookings[Nationality])</f>
        <v>Jordan</v>
      </c>
      <c r="Q74" s="4">
        <f>_xlfn.XLOOKUP(E74,[1]!Bookings[Booking Name],[1]!Bookings[Discount Amount])</f>
        <v>98600</v>
      </c>
      <c r="R74" s="27">
        <f>_xlfn.XLOOKUP(E74,[1]!Bookings[Booking Name],[1]!Bookings[Discount Percentage])</f>
        <v>3.8217054263565892E-2</v>
      </c>
      <c r="S74" s="4">
        <f>_xlfn.XLOOKUP(E74,[1]!Bookings[Booking Name],[1]!Bookings[Final Sale Value After Discount])</f>
        <v>2481400</v>
      </c>
      <c r="T74" s="4">
        <f>_xlfn.XLOOKUP(E74,[1]!Bookings[Booking Name],[1]!Bookings[Inv Final Sale Value])</f>
        <v>2580000</v>
      </c>
      <c r="U74" s="34" t="str">
        <f>_xlfn.XLOOKUP(E74,[1]!Bookings[Booking Name],[1]!Bookings[Sales])</f>
        <v>Mohamed El Shimy</v>
      </c>
      <c r="V74" s="2" t="str">
        <f>_xlfn.XLOOKUP(E74,[1]!Bookings[Booking Name],[1]!Bookings[Agency Name])</f>
        <v>CHALET INTERNATIONAL REAL ESTATE L.L.C</v>
      </c>
      <c r="W74" s="2" t="str">
        <f>_xlfn.XLOOKUP(E74,[1]!Bookings[Booking Name],[1]!Bookings[Booking ID])</f>
        <v>a03J600000BtSUB</v>
      </c>
      <c r="X74" s="2" t="str">
        <f>_xlfn.XLOOKUP(E74,[1]!Bookings[Booking Name],[1]!Bookings[Oracle Id])</f>
        <v>-</v>
      </c>
      <c r="Y74" s="70" t="s">
        <v>209</v>
      </c>
      <c r="Z74" s="90">
        <v>25000</v>
      </c>
      <c r="AA74" s="6">
        <v>1.0074957685177723E-2</v>
      </c>
      <c r="AB74" s="62" t="s">
        <v>31</v>
      </c>
      <c r="AC74" s="60" t="s">
        <v>93</v>
      </c>
      <c r="AD74" s="14" t="s">
        <v>415</v>
      </c>
      <c r="AE74" s="60" t="s">
        <v>93</v>
      </c>
      <c r="AF74" s="28" t="s">
        <v>96</v>
      </c>
    </row>
    <row r="75" spans="2:32" ht="50.25" customHeight="1" x14ac:dyDescent="0.3">
      <c r="B75" s="2" t="s">
        <v>165</v>
      </c>
      <c r="C75" s="2">
        <v>45980</v>
      </c>
      <c r="D75" s="2">
        <f>_xlfn.XLOOKUP(E75,[1]!Bookings[Booking Name],[1]!Bookings[Rejected Date])</f>
        <v>45981</v>
      </c>
      <c r="E75" s="61" t="s">
        <v>206</v>
      </c>
      <c r="F75" s="76" t="str">
        <f>_xlfn.XLOOKUP(E75,[1]!Bookings[Booking Name],[1]!Bookings[Booking Status])</f>
        <v>Rejected</v>
      </c>
      <c r="G75" s="2">
        <f>_xlfn.XLOOKUP(E75,[1]!Bookings[Booking Name],[1]!Bookings[Booking Date])</f>
        <v>45924</v>
      </c>
      <c r="H75" s="3">
        <f>_xlfn.XLOOKUP(E75,[1]!Bookings[Booking Name],[1]!Bookings[Booking Aging])</f>
        <v>135</v>
      </c>
      <c r="I75" s="2" t="str">
        <f>_xlfn.XLOOKUP(E75,[1]!Bookings[Booking Name],[1]!Bookings[Project Name])</f>
        <v>Laguna Residence</v>
      </c>
      <c r="J75" s="2" t="str">
        <f>_xlfn.XLOOKUP(E75,[1]!Bookings[Booking Name],[1]!Bookings[Building])</f>
        <v>Tower A</v>
      </c>
      <c r="K75" s="2" t="str">
        <f>_xlfn.XLOOKUP(E75,[1]!Bookings[Booking Name],[1]!Bookings[Bedrooms])</f>
        <v>Studio</v>
      </c>
      <c r="L75" s="2" t="str">
        <f>_xlfn.XLOOKUP(E75,[1]!Bookings[Booking Name],[1]!Bookings[Unit No.])</f>
        <v>A1014</v>
      </c>
      <c r="M75" s="36" t="str">
        <f>_xlfn.XLOOKUP(E75,[1]!Bookings[Booking Name],[1]!Bookings[Inventory Unit Status])</f>
        <v>Blocked</v>
      </c>
      <c r="N75" s="2" t="str">
        <f>_xlfn.XLOOKUP(E75,[1]!Bookings[Booking Name],[1]!Bookings[Booking Status])</f>
        <v>Rejected</v>
      </c>
      <c r="O75" s="52" t="str">
        <f>_xlfn.XLOOKUP(E75,[1]!Bookings[Booking Name],[1]!Bookings[Customer Name])</f>
        <v>Ayesha Ibrahim Obaid Ismail Alhamsha</v>
      </c>
      <c r="P75" s="2" t="str">
        <f>_xlfn.XLOOKUP(E75,[1]!Bookings[Booking Name],[1]!Bookings[Nationality])</f>
        <v>United Arab Emirates</v>
      </c>
      <c r="Q75" s="4">
        <f>_xlfn.XLOOKUP(E75,[1]!Bookings[Booking Name],[1]!Bookings[Discount Amount])</f>
        <v>26000</v>
      </c>
      <c r="R75" s="27">
        <f>_xlfn.XLOOKUP(E75,[1]!Bookings[Booking Name],[1]!Bookings[Discount Percentage])</f>
        <v>3.2459425717852687E-2</v>
      </c>
      <c r="S75" s="4">
        <f>_xlfn.XLOOKUP(E75,[1]!Bookings[Booking Name],[1]!Bookings[Final Sale Value After Discount])</f>
        <v>774999.99977400003</v>
      </c>
      <c r="T75" s="4">
        <f>_xlfn.XLOOKUP(E75,[1]!Bookings[Booking Name],[1]!Bookings[Inv Final Sale Value])</f>
        <v>801000</v>
      </c>
      <c r="U75" s="34" t="str">
        <f>_xlfn.XLOOKUP(E75,[1]!Bookings[Booking Name],[1]!Bookings[Sales])</f>
        <v>Mohamed El Shimy</v>
      </c>
      <c r="V75" s="2" t="str">
        <f>_xlfn.XLOOKUP(E75,[1]!Bookings[Booking Name],[1]!Bookings[Agency Name])</f>
        <v>CHALET INTERNATIONAL REAL ESTATE L.L.C</v>
      </c>
      <c r="W75" s="2" t="str">
        <f>_xlfn.XLOOKUP(E75,[1]!Bookings[Booking Name],[1]!Bookings[Booking ID])</f>
        <v>a03J600000BtKfI</v>
      </c>
      <c r="X75" s="2" t="str">
        <f>_xlfn.XLOOKUP(E75,[1]!Bookings[Booking Name],[1]!Bookings[Oracle Id])</f>
        <v>-</v>
      </c>
      <c r="Y75" s="70" t="s">
        <v>209</v>
      </c>
      <c r="Z75" s="90">
        <v>20000</v>
      </c>
      <c r="AA75" s="6">
        <v>2.580645162042872E-2</v>
      </c>
      <c r="AB75" s="62" t="s">
        <v>31</v>
      </c>
      <c r="AC75" s="60" t="s">
        <v>93</v>
      </c>
      <c r="AD75" s="14" t="s">
        <v>414</v>
      </c>
      <c r="AE75" s="60" t="s">
        <v>93</v>
      </c>
      <c r="AF75" s="28" t="s">
        <v>96</v>
      </c>
    </row>
    <row r="76" spans="2:32" ht="50.25" customHeight="1" x14ac:dyDescent="0.3">
      <c r="B76" s="2" t="s">
        <v>165</v>
      </c>
      <c r="C76" s="59">
        <v>45980</v>
      </c>
      <c r="D76" s="2">
        <f>_xlfn.XLOOKUP(E76,[1]!Bookings[Booking Name],[1]!Bookings[Rejected Date])</f>
        <v>45981</v>
      </c>
      <c r="E76" s="59" t="s">
        <v>205</v>
      </c>
      <c r="F76" s="76" t="str">
        <f>_xlfn.XLOOKUP(E76,[1]!Bookings[Booking Name],[1]!Bookings[Booking Status])</f>
        <v>Rejected</v>
      </c>
      <c r="G76" s="2">
        <f>_xlfn.XLOOKUP(E76,[1]!Bookings[Booking Name],[1]!Bookings[Booking Date])</f>
        <v>45912</v>
      </c>
      <c r="H76" s="3">
        <f>_xlfn.XLOOKUP(E76,[1]!Bookings[Booking Name],[1]!Bookings[Booking Aging])</f>
        <v>147</v>
      </c>
      <c r="I76" s="2" t="str">
        <f>_xlfn.XLOOKUP(E76,[1]!Bookings[Booking Name],[1]!Bookings[Project Name])</f>
        <v>Laguna Residence</v>
      </c>
      <c r="J76" s="2" t="str">
        <f>_xlfn.XLOOKUP(E76,[1]!Bookings[Booking Name],[1]!Bookings[Building])</f>
        <v>Tower B</v>
      </c>
      <c r="K76" s="2" t="str">
        <f>_xlfn.XLOOKUP(E76,[1]!Bookings[Booking Name],[1]!Bookings[Bedrooms])</f>
        <v>Studio</v>
      </c>
      <c r="L76" s="2" t="str">
        <f>_xlfn.XLOOKUP(E76,[1]!Bookings[Booking Name],[1]!Bookings[Unit No.])</f>
        <v>B2812</v>
      </c>
      <c r="M76" s="36" t="str">
        <f>_xlfn.XLOOKUP(E76,[1]!Bookings[Booking Name],[1]!Bookings[Inventory Unit Status])</f>
        <v>Available</v>
      </c>
      <c r="N76" s="2" t="str">
        <f>_xlfn.XLOOKUP(E76,[1]!Bookings[Booking Name],[1]!Bookings[Booking Status])</f>
        <v>Rejected</v>
      </c>
      <c r="O76" s="52" t="str">
        <f>_xlfn.XLOOKUP(E76,[1]!Bookings[Booking Name],[1]!Bookings[Customer Name])</f>
        <v>Michael Adom Adomako</v>
      </c>
      <c r="P76" s="2" t="str">
        <f>_xlfn.XLOOKUP(E76,[1]!Bookings[Booking Name],[1]!Bookings[Nationality])</f>
        <v>Ghana</v>
      </c>
      <c r="Q76" s="4">
        <f>_xlfn.XLOOKUP(E76,[1]!Bookings[Booking Name],[1]!Bookings[Discount Amount])</f>
        <v>17520</v>
      </c>
      <c r="R76" s="27">
        <f>_xlfn.XLOOKUP(E76,[1]!Bookings[Booking Name],[1]!Bookings[Discount Percentage])</f>
        <v>0.02</v>
      </c>
      <c r="S76" s="4">
        <f>_xlfn.XLOOKUP(E76,[1]!Bookings[Booking Name],[1]!Bookings[Final Sale Value After Discount])</f>
        <v>858480</v>
      </c>
      <c r="T76" s="4">
        <f>_xlfn.XLOOKUP(E76,[1]!Bookings[Booking Name],[1]!Bookings[Inv Final Sale Value])</f>
        <v>876000</v>
      </c>
      <c r="U76" s="34" t="str">
        <f>_xlfn.XLOOKUP(E76,[1]!Bookings[Booking Name],[1]!Bookings[Sales])</f>
        <v>Mohamed El Shimy</v>
      </c>
      <c r="V76" s="2" t="str">
        <f>_xlfn.XLOOKUP(E76,[1]!Bookings[Booking Name],[1]!Bookings[Agency Name])</f>
        <v>PREMIA LIVINGS REAL ESTATE L.L.C</v>
      </c>
      <c r="W76" s="2" t="str">
        <f>_xlfn.XLOOKUP(E76,[1]!Bookings[Booking Name],[1]!Bookings[Booking ID])</f>
        <v>a03J600000BsZtT</v>
      </c>
      <c r="X76" s="2" t="str">
        <f>_xlfn.XLOOKUP(E76,[1]!Bookings[Booking Name],[1]!Bookings[Oracle Id])</f>
        <v>-</v>
      </c>
      <c r="Y76" s="70" t="s">
        <v>209</v>
      </c>
      <c r="Z76" s="90">
        <v>1500</v>
      </c>
      <c r="AA76" s="6">
        <v>1.7472742521666201E-3</v>
      </c>
      <c r="AB76" s="60" t="s">
        <v>31</v>
      </c>
      <c r="AC76" s="60" t="s">
        <v>93</v>
      </c>
      <c r="AD76" s="14" t="s">
        <v>413</v>
      </c>
      <c r="AE76" s="60" t="s">
        <v>93</v>
      </c>
      <c r="AF76" s="28" t="s">
        <v>96</v>
      </c>
    </row>
    <row r="77" spans="2:32" ht="50.25" customHeight="1" x14ac:dyDescent="0.3">
      <c r="B77" s="59" t="s">
        <v>165</v>
      </c>
      <c r="C77" s="2">
        <v>45980</v>
      </c>
      <c r="D77" s="2">
        <f>_xlfn.XLOOKUP(E77,[1]!Bookings[Booking Name],[1]!Bookings[Rejected Date])</f>
        <v>45981</v>
      </c>
      <c r="E77" s="59" t="s">
        <v>204</v>
      </c>
      <c r="F77" s="76" t="str">
        <f>_xlfn.XLOOKUP(E77,[1]!Bookings[Booking Name],[1]!Bookings[Booking Status])</f>
        <v>Rejected</v>
      </c>
      <c r="G77" s="2">
        <f>_xlfn.XLOOKUP(E77,[1]!Bookings[Booking Name],[1]!Bookings[Booking Date])</f>
        <v>45930</v>
      </c>
      <c r="H77" s="3">
        <f>_xlfn.XLOOKUP(E77,[1]!Bookings[Booking Name],[1]!Bookings[Booking Aging])</f>
        <v>129</v>
      </c>
      <c r="I77" s="2" t="str">
        <f>_xlfn.XLOOKUP(E77,[1]!Bookings[Booking Name],[1]!Bookings[Project Name])</f>
        <v>Laguna Residence</v>
      </c>
      <c r="J77" s="2" t="str">
        <f>_xlfn.XLOOKUP(E77,[1]!Bookings[Booking Name],[1]!Bookings[Building])</f>
        <v>Tower A</v>
      </c>
      <c r="K77" s="2" t="str">
        <f>_xlfn.XLOOKUP(E77,[1]!Bookings[Booking Name],[1]!Bookings[Bedrooms])</f>
        <v>1 Bedroom</v>
      </c>
      <c r="L77" s="2" t="str">
        <f>_xlfn.XLOOKUP(E77,[1]!Bookings[Booking Name],[1]!Bookings[Unit No.])</f>
        <v>A2807</v>
      </c>
      <c r="M77" s="36" t="str">
        <f>_xlfn.XLOOKUP(E77,[1]!Bookings[Booking Name],[1]!Bookings[Inventory Unit Status])</f>
        <v>Blocked</v>
      </c>
      <c r="N77" s="2" t="str">
        <f>_xlfn.XLOOKUP(E77,[1]!Bookings[Booking Name],[1]!Bookings[Booking Status])</f>
        <v>Rejected</v>
      </c>
      <c r="O77" s="52" t="str">
        <f>_xlfn.XLOOKUP(E77,[1]!Bookings[Booking Name],[1]!Bookings[Customer Name])</f>
        <v>Chapol Molla Ali Ahamed Molla</v>
      </c>
      <c r="P77" s="2" t="str">
        <f>_xlfn.XLOOKUP(E77,[1]!Bookings[Booking Name],[1]!Bookings[Nationality])</f>
        <v>Bangladesh</v>
      </c>
      <c r="Q77" s="4">
        <f>_xlfn.XLOOKUP(E77,[1]!Bookings[Booking Name],[1]!Bookings[Discount Amount])</f>
        <v>48283.199999999997</v>
      </c>
      <c r="R77" s="27">
        <f>_xlfn.XLOOKUP(E77,[1]!Bookings[Booking Name],[1]!Bookings[Discount Percentage])</f>
        <v>3.3599999999999998E-2</v>
      </c>
      <c r="S77" s="4">
        <f>_xlfn.XLOOKUP(E77,[1]!Bookings[Booking Name],[1]!Bookings[Final Sale Value After Discount])</f>
        <v>1388716.8</v>
      </c>
      <c r="T77" s="4">
        <f>_xlfn.XLOOKUP(E77,[1]!Bookings[Booking Name],[1]!Bookings[Inv Final Sale Value])</f>
        <v>1437000</v>
      </c>
      <c r="U77" s="34" t="str">
        <f>_xlfn.XLOOKUP(E77,[1]!Bookings[Booking Name],[1]!Bookings[Sales])</f>
        <v>Mohamed El Shimy</v>
      </c>
      <c r="V77" s="2" t="str">
        <f>_xlfn.XLOOKUP(E77,[1]!Bookings[Booking Name],[1]!Bookings[Agency Name])</f>
        <v>PREMIA LIVINGS REAL ESTATE L.L.C</v>
      </c>
      <c r="W77" s="2" t="str">
        <f>_xlfn.XLOOKUP(E77,[1]!Bookings[Booking Name],[1]!Bookings[Booking ID])</f>
        <v>a03J600000BteaL</v>
      </c>
      <c r="X77" s="2" t="str">
        <f>_xlfn.XLOOKUP(E77,[1]!Bookings[Booking Name],[1]!Bookings[Oracle Id])</f>
        <v>-</v>
      </c>
      <c r="Y77" s="70" t="s">
        <v>209</v>
      </c>
      <c r="Z77" s="90">
        <v>5000</v>
      </c>
      <c r="AA77" s="6">
        <v>3.6004461096747729E-3</v>
      </c>
      <c r="AB77" s="60" t="s">
        <v>31</v>
      </c>
      <c r="AC77" s="60" t="s">
        <v>93</v>
      </c>
      <c r="AD77" s="14" t="s">
        <v>412</v>
      </c>
      <c r="AE77" s="60" t="s">
        <v>93</v>
      </c>
      <c r="AF77" s="28" t="s">
        <v>96</v>
      </c>
    </row>
    <row r="78" spans="2:32" ht="50.25" customHeight="1" x14ac:dyDescent="0.3">
      <c r="B78" s="59" t="s">
        <v>165</v>
      </c>
      <c r="C78" s="2">
        <v>45980</v>
      </c>
      <c r="D78" s="2">
        <f>_xlfn.XLOOKUP(E78,[1]!Bookings[Booking Name],[1]!Bookings[Rejected Date])</f>
        <v>45981</v>
      </c>
      <c r="E78" s="59" t="s">
        <v>203</v>
      </c>
      <c r="F78" s="76" t="str">
        <f>_xlfn.XLOOKUP(E78,[1]!Bookings[Booking Name],[1]!Bookings[Booking Status])</f>
        <v>Rejected</v>
      </c>
      <c r="G78" s="2">
        <f>_xlfn.XLOOKUP(E78,[1]!Bookings[Booking Name],[1]!Bookings[Booking Date])</f>
        <v>45936</v>
      </c>
      <c r="H78" s="3">
        <f>_xlfn.XLOOKUP(E78,[1]!Bookings[Booking Name],[1]!Bookings[Booking Aging])</f>
        <v>123</v>
      </c>
      <c r="I78" s="2" t="str">
        <f>_xlfn.XLOOKUP(E78,[1]!Bookings[Booking Name],[1]!Bookings[Project Name])</f>
        <v>Laguna Residence</v>
      </c>
      <c r="J78" s="2" t="str">
        <f>_xlfn.XLOOKUP(E78,[1]!Bookings[Booking Name],[1]!Bookings[Building])</f>
        <v>Tower B</v>
      </c>
      <c r="K78" s="2" t="str">
        <f>_xlfn.XLOOKUP(E78,[1]!Bookings[Booking Name],[1]!Bookings[Bedrooms])</f>
        <v>Studio</v>
      </c>
      <c r="L78" s="2" t="str">
        <f>_xlfn.XLOOKUP(E78,[1]!Bookings[Booking Name],[1]!Bookings[Unit No.])</f>
        <v>B1219</v>
      </c>
      <c r="M78" s="36" t="str">
        <f>_xlfn.XLOOKUP(E78,[1]!Bookings[Booking Name],[1]!Bookings[Inventory Unit Status])</f>
        <v>Booked</v>
      </c>
      <c r="N78" s="2" t="str">
        <f>_xlfn.XLOOKUP(E78,[1]!Bookings[Booking Name],[1]!Bookings[Booking Status])</f>
        <v>Rejected</v>
      </c>
      <c r="O78" s="52" t="str">
        <f>_xlfn.XLOOKUP(E78,[1]!Bookings[Booking Name],[1]!Bookings[Customer Name])</f>
        <v>Ansam Adnan Sadiq</v>
      </c>
      <c r="P78" s="2" t="str">
        <f>_xlfn.XLOOKUP(E78,[1]!Bookings[Booking Name],[1]!Bookings[Nationality])</f>
        <v>Iraq</v>
      </c>
      <c r="Q78" s="4">
        <f>_xlfn.XLOOKUP(E78,[1]!Bookings[Booking Name],[1]!Bookings[Discount Amount])</f>
        <v>32000</v>
      </c>
      <c r="R78" s="27">
        <f>_xlfn.XLOOKUP(E78,[1]!Bookings[Booking Name],[1]!Bookings[Discount Percentage])</f>
        <v>3.9119804400977995E-2</v>
      </c>
      <c r="S78" s="4">
        <f>_xlfn.XLOOKUP(E78,[1]!Bookings[Booking Name],[1]!Bookings[Final Sale Value After Discount])</f>
        <v>786000</v>
      </c>
      <c r="T78" s="4">
        <f>_xlfn.XLOOKUP(E78,[1]!Bookings[Booking Name],[1]!Bookings[Inv Final Sale Value])</f>
        <v>818000</v>
      </c>
      <c r="U78" s="34" t="str">
        <f>_xlfn.XLOOKUP(E78,[1]!Bookings[Booking Name],[1]!Bookings[Sales])</f>
        <v>Mohamed El Shimy</v>
      </c>
      <c r="V78" s="2" t="str">
        <f>_xlfn.XLOOKUP(E78,[1]!Bookings[Booking Name],[1]!Bookings[Agency Name])</f>
        <v>Eleva Properties LLC</v>
      </c>
      <c r="W78" s="2" t="str">
        <f>_xlfn.XLOOKUP(E78,[1]!Bookings[Booking Name],[1]!Bookings[Booking ID])</f>
        <v>a03J600000BtyRL</v>
      </c>
      <c r="X78" s="2" t="str">
        <f>_xlfn.XLOOKUP(E78,[1]!Bookings[Booking Name],[1]!Bookings[Oracle Id])</f>
        <v>-</v>
      </c>
      <c r="Y78" s="70" t="s">
        <v>209</v>
      </c>
      <c r="Z78" s="90">
        <v>20000</v>
      </c>
      <c r="AA78" s="6">
        <v>2.5445292620865138E-2</v>
      </c>
      <c r="AB78" s="60" t="s">
        <v>31</v>
      </c>
      <c r="AC78" s="60" t="s">
        <v>93</v>
      </c>
      <c r="AD78" s="14" t="s">
        <v>411</v>
      </c>
      <c r="AE78" s="60" t="s">
        <v>93</v>
      </c>
      <c r="AF78" s="28" t="s">
        <v>96</v>
      </c>
    </row>
    <row r="79" spans="2:32" ht="50.25" customHeight="1" x14ac:dyDescent="0.3">
      <c r="B79" s="59" t="s">
        <v>165</v>
      </c>
      <c r="C79" s="2">
        <v>45980</v>
      </c>
      <c r="D79" s="2">
        <f>_xlfn.XLOOKUP(E79,[1]!Bookings[Booking Name],[1]!Bookings[Rejected Date])</f>
        <v>45982</v>
      </c>
      <c r="E79" s="59" t="s">
        <v>202</v>
      </c>
      <c r="F79" s="76" t="str">
        <f>_xlfn.XLOOKUP(E79,[1]!Bookings[Booking Name],[1]!Bookings[Booking Status])</f>
        <v>Rejected</v>
      </c>
      <c r="G79" s="2">
        <f>_xlfn.XLOOKUP(E79,[1]!Bookings[Booking Name],[1]!Bookings[Booking Date])</f>
        <v>45762</v>
      </c>
      <c r="H79" s="3">
        <f>_xlfn.XLOOKUP(E79,[1]!Bookings[Booking Name],[1]!Bookings[Booking Aging])</f>
        <v>297</v>
      </c>
      <c r="I79" s="2" t="str">
        <f>_xlfn.XLOOKUP(E79,[1]!Bookings[Booking Name],[1]!Bookings[Project Name])</f>
        <v>Laguna Residence</v>
      </c>
      <c r="J79" s="2" t="str">
        <f>_xlfn.XLOOKUP(E79,[1]!Bookings[Booking Name],[1]!Bookings[Building])</f>
        <v>Tower B</v>
      </c>
      <c r="K79" s="2" t="str">
        <f>_xlfn.XLOOKUP(E79,[1]!Bookings[Booking Name],[1]!Bookings[Bedrooms])</f>
        <v>1 Bedroom</v>
      </c>
      <c r="L79" s="2" t="str">
        <f>_xlfn.XLOOKUP(E79,[1]!Bookings[Booking Name],[1]!Bookings[Unit No.])</f>
        <v>B402</v>
      </c>
      <c r="M79" s="36" t="str">
        <f>_xlfn.XLOOKUP(E79,[1]!Bookings[Booking Name],[1]!Bookings[Inventory Unit Status])</f>
        <v>Blocked</v>
      </c>
      <c r="N79" s="2" t="str">
        <f>_xlfn.XLOOKUP(E79,[1]!Bookings[Booking Name],[1]!Bookings[Booking Status])</f>
        <v>Rejected</v>
      </c>
      <c r="O79" s="52" t="str">
        <f>_xlfn.XLOOKUP(E79,[1]!Bookings[Booking Name],[1]!Bookings[Customer Name])</f>
        <v>Madyan Maher Jameel Rishan</v>
      </c>
      <c r="P79" s="2" t="str">
        <f>_xlfn.XLOOKUP(E79,[1]!Bookings[Booking Name],[1]!Bookings[Nationality])</f>
        <v>Iraq</v>
      </c>
      <c r="Q79" s="4">
        <f>_xlfn.XLOOKUP(E79,[1]!Bookings[Booking Name],[1]!Bookings[Discount Amount])</f>
        <v>82750</v>
      </c>
      <c r="R79" s="27">
        <f>_xlfn.XLOOKUP(E79,[1]!Bookings[Booking Name],[1]!Bookings[Discount Percentage])</f>
        <v>6.5883757961783446E-2</v>
      </c>
      <c r="S79" s="4">
        <f>_xlfn.XLOOKUP(E79,[1]!Bookings[Booking Name],[1]!Bookings[Final Sale Value After Discount])</f>
        <v>1173250</v>
      </c>
      <c r="T79" s="4">
        <f>_xlfn.XLOOKUP(E79,[1]!Bookings[Booking Name],[1]!Bookings[Inv Final Sale Value])</f>
        <v>1256000</v>
      </c>
      <c r="U79" s="34" t="str">
        <f>_xlfn.XLOOKUP(E79,[1]!Bookings[Booking Name],[1]!Bookings[Sales])</f>
        <v>Midia Sedighi</v>
      </c>
      <c r="V79" s="2" t="str">
        <f>_xlfn.XLOOKUP(E79,[1]!Bookings[Booking Name],[1]!Bookings[Agency Name])</f>
        <v>NESTSEEKERS REAL ESTATE L.L.C</v>
      </c>
      <c r="W79" s="2" t="str">
        <f>_xlfn.XLOOKUP(E79,[1]!Bookings[Booking Name],[1]!Bookings[Booking ID])</f>
        <v>a03J60000081ULp</v>
      </c>
      <c r="X79" s="2" t="str">
        <f>_xlfn.XLOOKUP(E79,[1]!Bookings[Booking Name],[1]!Bookings[Oracle Id])</f>
        <v>-</v>
      </c>
      <c r="Y79" s="70">
        <v>6000</v>
      </c>
      <c r="Z79" s="90">
        <v>154120</v>
      </c>
      <c r="AA79" s="6">
        <v>0.13136160238653313</v>
      </c>
      <c r="AB79" s="60" t="s">
        <v>31</v>
      </c>
      <c r="AC79" s="60" t="s">
        <v>93</v>
      </c>
      <c r="AD79" s="14" t="s">
        <v>410</v>
      </c>
      <c r="AE79" s="60" t="s">
        <v>93</v>
      </c>
      <c r="AF79" s="28" t="s">
        <v>96</v>
      </c>
    </row>
    <row r="80" spans="2:32" ht="50.25" customHeight="1" x14ac:dyDescent="0.3">
      <c r="B80" s="59" t="s">
        <v>165</v>
      </c>
      <c r="C80" s="2">
        <v>45980</v>
      </c>
      <c r="D80" s="2">
        <f>_xlfn.XLOOKUP(E80,[1]!Bookings[Booking Name],[1]!Bookings[Rejected Date])</f>
        <v>45981</v>
      </c>
      <c r="E80" s="59" t="s">
        <v>201</v>
      </c>
      <c r="F80" s="76" t="str">
        <f>_xlfn.XLOOKUP(E80,[1]!Bookings[Booking Name],[1]!Bookings[Booking Status])</f>
        <v>Rejected</v>
      </c>
      <c r="G80" s="2">
        <f>_xlfn.XLOOKUP(E80,[1]!Bookings[Booking Name],[1]!Bookings[Booking Date])</f>
        <v>45919</v>
      </c>
      <c r="H80" s="3">
        <f>_xlfn.XLOOKUP(E80,[1]!Bookings[Booking Name],[1]!Bookings[Booking Aging])</f>
        <v>140</v>
      </c>
      <c r="I80" s="2" t="str">
        <f>_xlfn.XLOOKUP(E80,[1]!Bookings[Booking Name],[1]!Bookings[Project Name])</f>
        <v>Laguna Residence</v>
      </c>
      <c r="J80" s="2" t="str">
        <f>_xlfn.XLOOKUP(E80,[1]!Bookings[Booking Name],[1]!Bookings[Building])</f>
        <v>Tower A</v>
      </c>
      <c r="K80" s="2" t="str">
        <f>_xlfn.XLOOKUP(E80,[1]!Bookings[Booking Name],[1]!Bookings[Bedrooms])</f>
        <v>Studio</v>
      </c>
      <c r="L80" s="2" t="str">
        <f>_xlfn.XLOOKUP(E80,[1]!Bookings[Booking Name],[1]!Bookings[Unit No.])</f>
        <v>A2014</v>
      </c>
      <c r="M80" s="36" t="str">
        <f>_xlfn.XLOOKUP(E80,[1]!Bookings[Booking Name],[1]!Bookings[Inventory Unit Status])</f>
        <v>SPA Executed</v>
      </c>
      <c r="N80" s="2" t="str">
        <f>_xlfn.XLOOKUP(E80,[1]!Bookings[Booking Name],[1]!Bookings[Booking Status])</f>
        <v>Rejected</v>
      </c>
      <c r="O80" s="52" t="str">
        <f>_xlfn.XLOOKUP(E80,[1]!Bookings[Booking Name],[1]!Bookings[Customer Name])</f>
        <v>Zainab Mohammed Saif Obaid</v>
      </c>
      <c r="P80" s="2" t="str">
        <f>_xlfn.XLOOKUP(E80,[1]!Bookings[Booking Name],[1]!Bookings[Nationality])</f>
        <v>United Arab Emirates</v>
      </c>
      <c r="Q80" s="4">
        <f>_xlfn.XLOOKUP(E80,[1]!Bookings[Booking Name],[1]!Bookings[Discount Amount])</f>
        <v>31960</v>
      </c>
      <c r="R80" s="27">
        <f>_xlfn.XLOOKUP(E80,[1]!Bookings[Booking Name],[1]!Bookings[Discount Percentage])</f>
        <v>0.04</v>
      </c>
      <c r="S80" s="4">
        <f>_xlfn.XLOOKUP(E80,[1]!Bookings[Booking Name],[1]!Bookings[Final Sale Value After Discount])</f>
        <v>767040.00028716063</v>
      </c>
      <c r="T80" s="4">
        <f>_xlfn.XLOOKUP(E80,[1]!Bookings[Booking Name],[1]!Bookings[Inv Final Sale Value])</f>
        <v>799000</v>
      </c>
      <c r="U80" s="34" t="str">
        <f>_xlfn.XLOOKUP(E80,[1]!Bookings[Booking Name],[1]!Bookings[Sales])</f>
        <v>Mohamed El Shimy</v>
      </c>
      <c r="V80" s="2" t="str">
        <f>_xlfn.XLOOKUP(E80,[1]!Bookings[Booking Name],[1]!Bookings[Agency Name])</f>
        <v>PREMIA LIVINGS REAL ESTATE L.L.C</v>
      </c>
      <c r="W80" s="2" t="str">
        <f>_xlfn.XLOOKUP(E80,[1]!Bookings[Booking Name],[1]!Bookings[Booking ID])</f>
        <v>a03J600000Bswpp</v>
      </c>
      <c r="X80" s="2" t="str">
        <f>_xlfn.XLOOKUP(E80,[1]!Bookings[Booking Name],[1]!Bookings[Oracle Id])</f>
        <v>-</v>
      </c>
      <c r="Y80" s="70" t="s">
        <v>209</v>
      </c>
      <c r="Z80" s="90">
        <v>25000</v>
      </c>
      <c r="AA80" s="6">
        <v>3.2592824351586128E-2</v>
      </c>
      <c r="AB80" s="60" t="s">
        <v>31</v>
      </c>
      <c r="AC80" s="28" t="s">
        <v>93</v>
      </c>
      <c r="AD80" s="14" t="s">
        <v>409</v>
      </c>
      <c r="AE80" s="60" t="s">
        <v>93</v>
      </c>
      <c r="AF80" s="28" t="s">
        <v>96</v>
      </c>
    </row>
    <row r="81" spans="2:32" ht="50.25" customHeight="1" x14ac:dyDescent="0.3">
      <c r="B81" s="59" t="s">
        <v>165</v>
      </c>
      <c r="C81" s="2">
        <v>45980</v>
      </c>
      <c r="D81" s="2">
        <f>_xlfn.XLOOKUP(E81,[1]!Bookings[Booking Name],[1]!Bookings[Rejected Date])</f>
        <v>45981</v>
      </c>
      <c r="E81" s="59" t="s">
        <v>200</v>
      </c>
      <c r="F81" s="76" t="str">
        <f>_xlfn.XLOOKUP(E81,[1]!Bookings[Booking Name],[1]!Bookings[Booking Status])</f>
        <v>Rejected</v>
      </c>
      <c r="G81" s="2">
        <f>_xlfn.XLOOKUP(E81,[1]!Bookings[Booking Name],[1]!Bookings[Booking Date])</f>
        <v>45912</v>
      </c>
      <c r="H81" s="3">
        <f>_xlfn.XLOOKUP(E81,[1]!Bookings[Booking Name],[1]!Bookings[Booking Aging])</f>
        <v>147</v>
      </c>
      <c r="I81" s="2" t="str">
        <f>_xlfn.XLOOKUP(E81,[1]!Bookings[Booking Name],[1]!Bookings[Project Name])</f>
        <v>Laguna Residence</v>
      </c>
      <c r="J81" s="2" t="str">
        <f>_xlfn.XLOOKUP(E81,[1]!Bookings[Booking Name],[1]!Bookings[Building])</f>
        <v>Tower A</v>
      </c>
      <c r="K81" s="2" t="str">
        <f>_xlfn.XLOOKUP(E81,[1]!Bookings[Booking Name],[1]!Bookings[Bedrooms])</f>
        <v>Studio</v>
      </c>
      <c r="L81" s="2" t="str">
        <f>_xlfn.XLOOKUP(E81,[1]!Bookings[Booking Name],[1]!Bookings[Unit No.])</f>
        <v>A2712</v>
      </c>
      <c r="M81" s="36" t="str">
        <f>_xlfn.XLOOKUP(E81,[1]!Bookings[Booking Name],[1]!Bookings[Inventory Unit Status])</f>
        <v>Blocked</v>
      </c>
      <c r="N81" s="2" t="str">
        <f>_xlfn.XLOOKUP(E81,[1]!Bookings[Booking Name],[1]!Bookings[Booking Status])</f>
        <v>Rejected</v>
      </c>
      <c r="O81" s="52" t="str">
        <f>_xlfn.XLOOKUP(E81,[1]!Bookings[Booking Name],[1]!Bookings[Customer Name])</f>
        <v>Michael Adom Adomako</v>
      </c>
      <c r="P81" s="2" t="str">
        <f>_xlfn.XLOOKUP(E81,[1]!Bookings[Booking Name],[1]!Bookings[Nationality])</f>
        <v>Ghana</v>
      </c>
      <c r="Q81" s="4">
        <f>_xlfn.XLOOKUP(E81,[1]!Bookings[Booking Name],[1]!Bookings[Discount Amount])</f>
        <v>16380</v>
      </c>
      <c r="R81" s="27">
        <f>_xlfn.XLOOKUP(E81,[1]!Bookings[Booking Name],[1]!Bookings[Discount Percentage])</f>
        <v>0.02</v>
      </c>
      <c r="S81" s="4">
        <f>_xlfn.XLOOKUP(E81,[1]!Bookings[Booking Name],[1]!Bookings[Final Sale Value After Discount])</f>
        <v>802620</v>
      </c>
      <c r="T81" s="4">
        <f>_xlfn.XLOOKUP(E81,[1]!Bookings[Booking Name],[1]!Bookings[Inv Final Sale Value])</f>
        <v>819000</v>
      </c>
      <c r="U81" s="34" t="str">
        <f>_xlfn.XLOOKUP(E81,[1]!Bookings[Booking Name],[1]!Bookings[Sales])</f>
        <v>Mohamed El Shimy</v>
      </c>
      <c r="V81" s="2" t="str">
        <f>_xlfn.XLOOKUP(E81,[1]!Bookings[Booking Name],[1]!Bookings[Agency Name])</f>
        <v>PREMIA LIVINGS REAL ESTATE L.L.C</v>
      </c>
      <c r="W81" s="2" t="str">
        <f>_xlfn.XLOOKUP(E81,[1]!Bookings[Booking Name],[1]!Bookings[Booking ID])</f>
        <v>a03J600000BsZxQ</v>
      </c>
      <c r="X81" s="2" t="str">
        <f>_xlfn.XLOOKUP(E81,[1]!Bookings[Booking Name],[1]!Bookings[Oracle Id])</f>
        <v>-</v>
      </c>
      <c r="Y81" s="70" t="s">
        <v>209</v>
      </c>
      <c r="Z81" s="90">
        <v>1500</v>
      </c>
      <c r="AA81" s="6">
        <v>1.868879419899828E-3</v>
      </c>
      <c r="AB81" s="60" t="s">
        <v>31</v>
      </c>
      <c r="AC81" s="28" t="s">
        <v>93</v>
      </c>
      <c r="AD81" s="14" t="s">
        <v>408</v>
      </c>
      <c r="AE81" s="60" t="s">
        <v>93</v>
      </c>
      <c r="AF81" s="28" t="s">
        <v>96</v>
      </c>
    </row>
    <row r="82" spans="2:32" ht="50.25" customHeight="1" x14ac:dyDescent="0.3">
      <c r="B82" s="59" t="s">
        <v>165</v>
      </c>
      <c r="C82" s="2">
        <v>45980</v>
      </c>
      <c r="D82" s="2">
        <f>_xlfn.XLOOKUP(E82,[1]!Bookings[Booking Name],[1]!Bookings[Rejected Date])</f>
        <v>45981</v>
      </c>
      <c r="E82" s="59" t="s">
        <v>199</v>
      </c>
      <c r="F82" s="76" t="str">
        <f>_xlfn.XLOOKUP(E82,[1]!Bookings[Booking Name],[1]!Bookings[Booking Status])</f>
        <v>Rejected</v>
      </c>
      <c r="G82" s="2">
        <f>_xlfn.XLOOKUP(E82,[1]!Bookings[Booking Name],[1]!Bookings[Booking Date])</f>
        <v>45904</v>
      </c>
      <c r="H82" s="3">
        <f>_xlfn.XLOOKUP(E82,[1]!Bookings[Booking Name],[1]!Bookings[Booking Aging])</f>
        <v>155</v>
      </c>
      <c r="I82" s="2" t="str">
        <f>_xlfn.XLOOKUP(E82,[1]!Bookings[Booking Name],[1]!Bookings[Project Name])</f>
        <v>Laguna Residence</v>
      </c>
      <c r="J82" s="2" t="str">
        <f>_xlfn.XLOOKUP(E82,[1]!Bookings[Booking Name],[1]!Bookings[Building])</f>
        <v>Tower A</v>
      </c>
      <c r="K82" s="2" t="str">
        <f>_xlfn.XLOOKUP(E82,[1]!Bookings[Booking Name],[1]!Bookings[Bedrooms])</f>
        <v>Studio</v>
      </c>
      <c r="L82" s="2" t="str">
        <f>_xlfn.XLOOKUP(E82,[1]!Bookings[Booking Name],[1]!Bookings[Unit No.])</f>
        <v>A1716</v>
      </c>
      <c r="M82" s="36" t="str">
        <f>_xlfn.XLOOKUP(E82,[1]!Bookings[Booking Name],[1]!Bookings[Inventory Unit Status])</f>
        <v>Blocked</v>
      </c>
      <c r="N82" s="2" t="str">
        <f>_xlfn.XLOOKUP(E82,[1]!Bookings[Booking Name],[1]!Bookings[Booking Status])</f>
        <v>Rejected</v>
      </c>
      <c r="O82" s="52" t="str">
        <f>_xlfn.XLOOKUP(E82,[1]!Bookings[Booking Name],[1]!Bookings[Customer Name])</f>
        <v>Farah Ahmad Saeed Khalifa Almarri</v>
      </c>
      <c r="P82" s="2" t="str">
        <f>_xlfn.XLOOKUP(E82,[1]!Bookings[Booking Name],[1]!Bookings[Nationality])</f>
        <v>United Arab Emirates</v>
      </c>
      <c r="Q82" s="4">
        <f>_xlfn.XLOOKUP(E82,[1]!Bookings[Booking Name],[1]!Bookings[Discount Amount])</f>
        <v>39600</v>
      </c>
      <c r="R82" s="27">
        <f>_xlfn.XLOOKUP(E82,[1]!Bookings[Booking Name],[1]!Bookings[Discount Percentage])</f>
        <v>0.05</v>
      </c>
      <c r="S82" s="4">
        <f>_xlfn.XLOOKUP(E82,[1]!Bookings[Booking Name],[1]!Bookings[Final Sale Value After Discount])</f>
        <v>752400</v>
      </c>
      <c r="T82" s="4">
        <f>_xlfn.XLOOKUP(E82,[1]!Bookings[Booking Name],[1]!Bookings[Inv Final Sale Value])</f>
        <v>792000</v>
      </c>
      <c r="U82" s="34" t="str">
        <f>_xlfn.XLOOKUP(E82,[1]!Bookings[Booking Name],[1]!Bookings[Sales])</f>
        <v>Mohamed El Shimy</v>
      </c>
      <c r="V82" s="2" t="str">
        <f>_xlfn.XLOOKUP(E82,[1]!Bookings[Booking Name],[1]!Bookings[Agency Name])</f>
        <v>Eleva Properties LLC</v>
      </c>
      <c r="W82" s="2" t="str">
        <f>_xlfn.XLOOKUP(E82,[1]!Bookings[Booking Name],[1]!Bookings[Booking ID])</f>
        <v>a03J600000Bs5Df</v>
      </c>
      <c r="X82" s="2" t="str">
        <f>_xlfn.XLOOKUP(E82,[1]!Bookings[Booking Name],[1]!Bookings[Oracle Id])</f>
        <v>-</v>
      </c>
      <c r="Y82" s="70" t="s">
        <v>209</v>
      </c>
      <c r="Z82" s="90">
        <v>5400</v>
      </c>
      <c r="AA82" s="6">
        <v>7.1770334928229667E-3</v>
      </c>
      <c r="AB82" s="60" t="s">
        <v>31</v>
      </c>
      <c r="AC82" s="28" t="s">
        <v>93</v>
      </c>
      <c r="AD82" s="14" t="s">
        <v>407</v>
      </c>
      <c r="AE82" s="60" t="s">
        <v>93</v>
      </c>
      <c r="AF82" s="28" t="s">
        <v>96</v>
      </c>
    </row>
    <row r="83" spans="2:32" ht="50.25" customHeight="1" x14ac:dyDescent="0.3">
      <c r="B83" s="59" t="s">
        <v>165</v>
      </c>
      <c r="C83" s="2">
        <v>45980</v>
      </c>
      <c r="D83" s="2">
        <f>_xlfn.XLOOKUP(E83,[1]!Bookings[Booking Name],[1]!Bookings[Rejected Date])</f>
        <v>45981</v>
      </c>
      <c r="E83" s="57" t="s">
        <v>189</v>
      </c>
      <c r="F83" s="76" t="str">
        <f>_xlfn.XLOOKUP(E83,[1]!Bookings[Booking Name],[1]!Bookings[Booking Status])</f>
        <v>Rejected</v>
      </c>
      <c r="G83" s="2">
        <f>_xlfn.XLOOKUP(E83,[1]!Bookings[Booking Name],[1]!Bookings[Booking Date])</f>
        <v>45972</v>
      </c>
      <c r="H83" s="3">
        <f>_xlfn.XLOOKUP(E83,[1]!Bookings[Booking Name],[1]!Bookings[Booking Aging])</f>
        <v>87</v>
      </c>
      <c r="I83" s="2" t="str">
        <f>_xlfn.XLOOKUP(E83,[1]!Bookings[Booking Name],[1]!Bookings[Project Name])</f>
        <v>Do Dubai Island</v>
      </c>
      <c r="J83" s="2" t="str">
        <f>_xlfn.XLOOKUP(E83,[1]!Bookings[Booking Name],[1]!Bookings[Building])</f>
        <v>Tower 1</v>
      </c>
      <c r="K83" s="2" t="str">
        <f>_xlfn.XLOOKUP(E83,[1]!Bookings[Booking Name],[1]!Bookings[Bedrooms])</f>
        <v>1 Bedroom</v>
      </c>
      <c r="L83" s="2" t="str">
        <f>_xlfn.XLOOKUP(E83,[1]!Bookings[Booking Name],[1]!Bookings[Unit No.])</f>
        <v>516</v>
      </c>
      <c r="M83" s="36" t="str">
        <f>_xlfn.XLOOKUP(E83,[1]!Bookings[Booking Name],[1]!Bookings[Inventory Unit Status])</f>
        <v>Blocked</v>
      </c>
      <c r="N83" s="2" t="str">
        <f>_xlfn.XLOOKUP(E83,[1]!Bookings[Booking Name],[1]!Bookings[Booking Status])</f>
        <v>Rejected</v>
      </c>
      <c r="O83" s="52" t="str">
        <f>_xlfn.XLOOKUP(E83,[1]!Bookings[Booking Name],[1]!Bookings[Customer Name])</f>
        <v>Ali Lafhel</v>
      </c>
      <c r="P83" s="2" t="str">
        <f>_xlfn.XLOOKUP(E83,[1]!Bookings[Booking Name],[1]!Bookings[Nationality])</f>
        <v>Morocco</v>
      </c>
      <c r="Q83" s="4">
        <f>_xlfn.XLOOKUP(E83,[1]!Bookings[Booking Name],[1]!Bookings[Discount Amount])</f>
        <v>0</v>
      </c>
      <c r="R83" s="27">
        <f>_xlfn.XLOOKUP(E83,[1]!Bookings[Booking Name],[1]!Bookings[Discount Percentage])</f>
        <v>0</v>
      </c>
      <c r="S83" s="4">
        <f>_xlfn.XLOOKUP(E83,[1]!Bookings[Booking Name],[1]!Bookings[Final Sale Value After Discount])</f>
        <v>2252000</v>
      </c>
      <c r="T83" s="4">
        <f>_xlfn.XLOOKUP(E83,[1]!Bookings[Booking Name],[1]!Bookings[Inv Final Sale Value])</f>
        <v>2252000</v>
      </c>
      <c r="U83" s="34" t="str">
        <f>_xlfn.XLOOKUP(E83,[1]!Bookings[Booking Name],[1]!Bookings[Sales])</f>
        <v>Rihab Zayani</v>
      </c>
      <c r="V83" s="2" t="str">
        <f>_xlfn.XLOOKUP(E83,[1]!Bookings[Booking Name],[1]!Bookings[Agency Name])</f>
        <v>Marrfa Discovery Real Estate L.L.C</v>
      </c>
      <c r="W83" s="2" t="str">
        <f>_xlfn.XLOOKUP(E83,[1]!Bookings[Booking Name],[1]!Bookings[Booking ID])</f>
        <v>a03NM00000MjL2C</v>
      </c>
      <c r="X83" s="2" t="str">
        <f>_xlfn.XLOOKUP(E83,[1]!Bookings[Booking Name],[1]!Bookings[Oracle Id])</f>
        <v>-</v>
      </c>
      <c r="Y83" s="70" t="s">
        <v>209</v>
      </c>
      <c r="Z83" s="18" t="s">
        <v>25</v>
      </c>
      <c r="AA83" s="6">
        <v>0</v>
      </c>
      <c r="AB83" s="60" t="s">
        <v>26</v>
      </c>
      <c r="AC83" s="12" t="s">
        <v>196</v>
      </c>
      <c r="AD83" s="106" t="s">
        <v>406</v>
      </c>
      <c r="AE83" s="60" t="s">
        <v>88</v>
      </c>
      <c r="AF83" s="60" t="s">
        <v>195</v>
      </c>
    </row>
    <row r="84" spans="2:32" ht="50.25" customHeight="1" x14ac:dyDescent="0.3">
      <c r="B84" s="59" t="s">
        <v>165</v>
      </c>
      <c r="C84" s="2">
        <v>45980</v>
      </c>
      <c r="D84" s="2">
        <f>_xlfn.XLOOKUP(E84,[1]!Bookings[Booking Name],[1]!Bookings[Rejected Date])</f>
        <v>45981</v>
      </c>
      <c r="E84" s="59" t="s">
        <v>188</v>
      </c>
      <c r="F84" s="76" t="str">
        <f>_xlfn.XLOOKUP(E84,[1]!Bookings[Booking Name],[1]!Bookings[Booking Status])</f>
        <v>Rejected</v>
      </c>
      <c r="G84" s="2">
        <f>_xlfn.XLOOKUP(E84,[1]!Bookings[Booking Name],[1]!Bookings[Booking Date])</f>
        <v>45961</v>
      </c>
      <c r="H84" s="3">
        <f>_xlfn.XLOOKUP(E84,[1]!Bookings[Booking Name],[1]!Bookings[Booking Aging])</f>
        <v>98</v>
      </c>
      <c r="I84" s="2" t="str">
        <f>_xlfn.XLOOKUP(E84,[1]!Bookings[Booking Name],[1]!Bookings[Project Name])</f>
        <v>Laguna Residence</v>
      </c>
      <c r="J84" s="2" t="str">
        <f>_xlfn.XLOOKUP(E84,[1]!Bookings[Booking Name],[1]!Bookings[Building])</f>
        <v>Tower B</v>
      </c>
      <c r="K84" s="2" t="str">
        <f>_xlfn.XLOOKUP(E84,[1]!Bookings[Booking Name],[1]!Bookings[Bedrooms])</f>
        <v>Studio</v>
      </c>
      <c r="L84" s="2" t="str">
        <f>_xlfn.XLOOKUP(E84,[1]!Bookings[Booking Name],[1]!Bookings[Unit No.])</f>
        <v>B614</v>
      </c>
      <c r="M84" s="36" t="str">
        <f>_xlfn.XLOOKUP(E84,[1]!Bookings[Booking Name],[1]!Bookings[Inventory Unit Status])</f>
        <v>Blocked</v>
      </c>
      <c r="N84" s="2" t="str">
        <f>_xlfn.XLOOKUP(E84,[1]!Bookings[Booking Name],[1]!Bookings[Booking Status])</f>
        <v>Rejected</v>
      </c>
      <c r="O84" s="52" t="str">
        <f>_xlfn.XLOOKUP(E84,[1]!Bookings[Booking Name],[1]!Bookings[Customer Name])</f>
        <v>Argishti Darbinyan</v>
      </c>
      <c r="P84" s="2" t="str">
        <f>_xlfn.XLOOKUP(E84,[1]!Bookings[Booking Name],[1]!Bookings[Nationality])</f>
        <v>Armenia</v>
      </c>
      <c r="Q84" s="4">
        <f>_xlfn.XLOOKUP(E84,[1]!Bookings[Booking Name],[1]!Bookings[Discount Amount])</f>
        <v>0</v>
      </c>
      <c r="R84" s="27">
        <f>_xlfn.XLOOKUP(E84,[1]!Bookings[Booking Name],[1]!Bookings[Discount Percentage])</f>
        <v>0</v>
      </c>
      <c r="S84" s="4">
        <f>_xlfn.XLOOKUP(E84,[1]!Bookings[Booking Name],[1]!Bookings[Final Sale Value After Discount])</f>
        <v>838000</v>
      </c>
      <c r="T84" s="4">
        <f>_xlfn.XLOOKUP(E84,[1]!Bookings[Booking Name],[1]!Bookings[Inv Final Sale Value])</f>
        <v>838000</v>
      </c>
      <c r="U84" s="34" t="str">
        <f>_xlfn.XLOOKUP(E84,[1]!Bookings[Booking Name],[1]!Bookings[Sales])</f>
        <v>Zarina Avdalian</v>
      </c>
      <c r="V84" s="2" t="str">
        <f>_xlfn.XLOOKUP(E84,[1]!Bookings[Booking Name],[1]!Bookings[Agency Name])</f>
        <v>ALBINA MKRTCHYAN REAL ESTATE</v>
      </c>
      <c r="W84" s="2" t="str">
        <f>_xlfn.XLOOKUP(E84,[1]!Bookings[Booking Name],[1]!Bookings[Booking ID])</f>
        <v>a03J600000FmbmR</v>
      </c>
      <c r="X84" s="2" t="str">
        <f>_xlfn.XLOOKUP(E84,[1]!Bookings[Booking Name],[1]!Bookings[Oracle Id])</f>
        <v>-</v>
      </c>
      <c r="Y84" s="70" t="s">
        <v>209</v>
      </c>
      <c r="Z84" s="18" t="s">
        <v>25</v>
      </c>
      <c r="AA84" s="6">
        <v>0</v>
      </c>
      <c r="AB84" s="60" t="s">
        <v>31</v>
      </c>
      <c r="AC84" s="12" t="s">
        <v>32</v>
      </c>
      <c r="AD84" s="106" t="s">
        <v>405</v>
      </c>
      <c r="AE84" s="60" t="s">
        <v>32</v>
      </c>
      <c r="AF84" s="60" t="s">
        <v>194</v>
      </c>
    </row>
    <row r="85" spans="2:32" ht="50.25" customHeight="1" x14ac:dyDescent="0.3">
      <c r="B85" s="59" t="s">
        <v>165</v>
      </c>
      <c r="C85" s="2">
        <v>45978</v>
      </c>
      <c r="D85" s="2">
        <f>_xlfn.XLOOKUP(E85,[1]!Bookings[Booking Name],[1]!Bookings[Rejected Date])</f>
        <v>45978</v>
      </c>
      <c r="E85" s="59" t="s">
        <v>186</v>
      </c>
      <c r="F85" s="76" t="str">
        <f>_xlfn.XLOOKUP(E85,[1]!Bookings[Booking Name],[1]!Bookings[Booking Status])</f>
        <v>Rejected</v>
      </c>
      <c r="G85" s="2">
        <f>_xlfn.XLOOKUP(E85,[1]!Bookings[Booking Name],[1]!Bookings[Booking Date])</f>
        <v>45973</v>
      </c>
      <c r="H85" s="3">
        <f>_xlfn.XLOOKUP(E85,[1]!Bookings[Booking Name],[1]!Bookings[Booking Aging])</f>
        <v>86</v>
      </c>
      <c r="I85" s="2" t="str">
        <f>_xlfn.XLOOKUP(E85,[1]!Bookings[Booking Name],[1]!Bookings[Project Name])</f>
        <v>Do New Cairo</v>
      </c>
      <c r="J85" s="2" t="str">
        <f>_xlfn.XLOOKUP(E85,[1]!Bookings[Booking Name],[1]!Bookings[Building])</f>
        <v>Hotel Apartments</v>
      </c>
      <c r="K85" s="2" t="str">
        <f>_xlfn.XLOOKUP(E85,[1]!Bookings[Booking Name],[1]!Bookings[Bedrooms])</f>
        <v>1 BR</v>
      </c>
      <c r="L85" s="2" t="str">
        <f>_xlfn.XLOOKUP(E85,[1]!Bookings[Booking Name],[1]!Bookings[Unit No.])</f>
        <v>DNC-HA-401</v>
      </c>
      <c r="M85" s="36" t="str">
        <f>_xlfn.XLOOKUP(E85,[1]!Bookings[Booking Name],[1]!Bookings[Inventory Unit Status])</f>
        <v>Booked</v>
      </c>
      <c r="N85" s="2" t="str">
        <f>_xlfn.XLOOKUP(E85,[1]!Bookings[Booking Name],[1]!Bookings[Booking Status])</f>
        <v>Rejected</v>
      </c>
      <c r="O85" s="52" t="str">
        <f>_xlfn.XLOOKUP(E85,[1]!Bookings[Booking Name],[1]!Bookings[Customer Name])</f>
        <v>hossam saeed abdel fattah</v>
      </c>
      <c r="P85" s="2" t="str">
        <f>_xlfn.XLOOKUP(E85,[1]!Bookings[Booking Name],[1]!Bookings[Nationality])</f>
        <v>-</v>
      </c>
      <c r="Q85" s="4">
        <f>_xlfn.XLOOKUP(E85,[1]!Bookings[Booking Name],[1]!Bookings[Discount Amount])</f>
        <v>0</v>
      </c>
      <c r="R85" s="27">
        <f>_xlfn.XLOOKUP(E85,[1]!Bookings[Booking Name],[1]!Bookings[Discount Percentage])</f>
        <v>0</v>
      </c>
      <c r="S85" s="4">
        <f>_xlfn.XLOOKUP(E85,[1]!Bookings[Booking Name],[1]!Bookings[Final Sale Value After Discount])</f>
        <v>25416300</v>
      </c>
      <c r="T85" s="4">
        <f>_xlfn.XLOOKUP(E85,[1]!Bookings[Booking Name],[1]!Bookings[Inv Final Sale Value])</f>
        <v>25416300</v>
      </c>
      <c r="U85" s="34" t="str">
        <f>_xlfn.XLOOKUP(E85,[1]!Bookings[Booking Name],[1]!Bookings[Sales])</f>
        <v>Ahmed Arafat</v>
      </c>
      <c r="V85" s="2" t="str">
        <f>_xlfn.XLOOKUP(E85,[1]!Bookings[Booking Name],[1]!Bookings[Agency Name])</f>
        <v/>
      </c>
      <c r="W85" s="2" t="str">
        <f>_xlfn.XLOOKUP(E85,[1]!Bookings[Booking Name],[1]!Bookings[Booking ID])</f>
        <v>a03NM00000MpNh3</v>
      </c>
      <c r="X85" s="2" t="str">
        <f>_xlfn.XLOOKUP(E85,[1]!Bookings[Booking Name],[1]!Bookings[Oracle Id])</f>
        <v>-</v>
      </c>
      <c r="Y85" s="70" t="s">
        <v>209</v>
      </c>
      <c r="Z85" s="18" t="s">
        <v>25</v>
      </c>
      <c r="AA85" s="6">
        <v>0</v>
      </c>
      <c r="AB85" s="60" t="s">
        <v>26</v>
      </c>
      <c r="AC85" s="12" t="s">
        <v>191</v>
      </c>
      <c r="AD85" s="106" t="s">
        <v>404</v>
      </c>
      <c r="AE85" s="12" t="s">
        <v>193</v>
      </c>
      <c r="AF85" s="60" t="s">
        <v>192</v>
      </c>
    </row>
    <row r="86" spans="2:32" ht="50.25" customHeight="1" x14ac:dyDescent="0.3">
      <c r="B86" s="59" t="s">
        <v>165</v>
      </c>
      <c r="C86" s="2">
        <v>45978</v>
      </c>
      <c r="D86" s="2">
        <f>_xlfn.XLOOKUP(E86,[1]!Bookings[Booking Name],[1]!Bookings[Rejected Date])</f>
        <v>45978</v>
      </c>
      <c r="E86" s="59" t="s">
        <v>187</v>
      </c>
      <c r="F86" s="76" t="str">
        <f>_xlfn.XLOOKUP(E86,[1]!Bookings[Booking Name],[1]!Bookings[Booking Status])</f>
        <v>Rejected</v>
      </c>
      <c r="G86" s="2">
        <f>_xlfn.XLOOKUP(E86,[1]!Bookings[Booking Name],[1]!Bookings[Booking Date])</f>
        <v>45973</v>
      </c>
      <c r="H86" s="3">
        <f>_xlfn.XLOOKUP(E86,[1]!Bookings[Booking Name],[1]!Bookings[Booking Aging])</f>
        <v>86</v>
      </c>
      <c r="I86" s="2" t="str">
        <f>_xlfn.XLOOKUP(E86,[1]!Bookings[Booking Name],[1]!Bookings[Project Name])</f>
        <v>Do New Cairo</v>
      </c>
      <c r="J86" s="2" t="str">
        <f>_xlfn.XLOOKUP(E86,[1]!Bookings[Booking Name],[1]!Bookings[Building])</f>
        <v>Offices</v>
      </c>
      <c r="K86" s="2" t="str">
        <f>_xlfn.XLOOKUP(E86,[1]!Bookings[Booking Name],[1]!Bookings[Bedrooms])</f>
        <v>-</v>
      </c>
      <c r="L86" s="2" t="str">
        <f>_xlfn.XLOOKUP(E86,[1]!Bookings[Booking Name],[1]!Bookings[Unit No.])</f>
        <v>DNC-O3-312</v>
      </c>
      <c r="M86" s="36" t="str">
        <f>_xlfn.XLOOKUP(E86,[1]!Bookings[Booking Name],[1]!Bookings[Inventory Unit Status])</f>
        <v>Booked</v>
      </c>
      <c r="N86" s="2" t="str">
        <f>_xlfn.XLOOKUP(E86,[1]!Bookings[Booking Name],[1]!Bookings[Booking Status])</f>
        <v>Rejected</v>
      </c>
      <c r="O86" s="52" t="str">
        <f>_xlfn.XLOOKUP(E86,[1]!Bookings[Booking Name],[1]!Bookings[Customer Name])</f>
        <v>hossam saeed abdel fattah</v>
      </c>
      <c r="P86" s="2" t="str">
        <f>_xlfn.XLOOKUP(E86,[1]!Bookings[Booking Name],[1]!Bookings[Nationality])</f>
        <v>-</v>
      </c>
      <c r="Q86" s="4">
        <f>_xlfn.XLOOKUP(E86,[1]!Bookings[Booking Name],[1]!Bookings[Discount Amount])</f>
        <v>-2736565.44</v>
      </c>
      <c r="R86" s="27">
        <f>_xlfn.XLOOKUP(E86,[1]!Bookings[Booking Name],[1]!Bookings[Discount Percentage])</f>
        <v>-4.1666666666666664E-2</v>
      </c>
      <c r="S86" s="4">
        <f>_xlfn.XLOOKUP(E86,[1]!Bookings[Booking Name],[1]!Bookings[Final Sale Value After Discount])</f>
        <v>68414136</v>
      </c>
      <c r="T86" s="4">
        <f>_xlfn.XLOOKUP(E86,[1]!Bookings[Booking Name],[1]!Bookings[Inv Final Sale Value])</f>
        <v>65677570.560000002</v>
      </c>
      <c r="U86" s="34" t="str">
        <f>_xlfn.XLOOKUP(E86,[1]!Bookings[Booking Name],[1]!Bookings[Sales])</f>
        <v>Ahmed Arafat</v>
      </c>
      <c r="V86" s="2" t="str">
        <f>_xlfn.XLOOKUP(E86,[1]!Bookings[Booking Name],[1]!Bookings[Agency Name])</f>
        <v/>
      </c>
      <c r="W86" s="2" t="str">
        <f>_xlfn.XLOOKUP(E86,[1]!Bookings[Booking Name],[1]!Bookings[Booking ID])</f>
        <v>a03NM00000MpL49</v>
      </c>
      <c r="X86" s="2" t="str">
        <f>_xlfn.XLOOKUP(E86,[1]!Bookings[Booking Name],[1]!Bookings[Oracle Id])</f>
        <v>-</v>
      </c>
      <c r="Y86" s="70" t="s">
        <v>209</v>
      </c>
      <c r="Z86" s="18" t="s">
        <v>25</v>
      </c>
      <c r="AA86" s="6">
        <v>0</v>
      </c>
      <c r="AB86" s="60" t="s">
        <v>26</v>
      </c>
      <c r="AC86" s="12" t="s">
        <v>191</v>
      </c>
      <c r="AD86" s="106" t="s">
        <v>403</v>
      </c>
      <c r="AE86" s="12" t="s">
        <v>193</v>
      </c>
      <c r="AF86" s="60" t="s">
        <v>192</v>
      </c>
    </row>
    <row r="87" spans="2:32" ht="50.25" customHeight="1" x14ac:dyDescent="0.3">
      <c r="B87" s="59" t="s">
        <v>165</v>
      </c>
      <c r="C87" s="2">
        <v>45975</v>
      </c>
      <c r="D87" s="2">
        <f>_xlfn.XLOOKUP(E87,[1]!Bookings[Booking Name],[1]!Bookings[Rejected Date])</f>
        <v>45981</v>
      </c>
      <c r="E87" s="57" t="s">
        <v>190</v>
      </c>
      <c r="F87" s="76" t="str">
        <f>_xlfn.XLOOKUP(E87,[1]!Bookings[Booking Name],[1]!Bookings[Booking Status])</f>
        <v>Rejected</v>
      </c>
      <c r="G87" s="2">
        <f>_xlfn.XLOOKUP(E87,[1]!Bookings[Booking Name],[1]!Bookings[Booking Date])</f>
        <v>45972</v>
      </c>
      <c r="H87" s="3">
        <f>_xlfn.XLOOKUP(E87,[1]!Bookings[Booking Name],[1]!Bookings[Booking Aging])</f>
        <v>87</v>
      </c>
      <c r="I87" s="2" t="str">
        <f>_xlfn.XLOOKUP(E87,[1]!Bookings[Booking Name],[1]!Bookings[Project Name])</f>
        <v>Laguna Residence</v>
      </c>
      <c r="J87" s="2" t="str">
        <f>_xlfn.XLOOKUP(E87,[1]!Bookings[Booking Name],[1]!Bookings[Building])</f>
        <v>Tower A</v>
      </c>
      <c r="K87" s="2" t="str">
        <f>_xlfn.XLOOKUP(E87,[1]!Bookings[Booking Name],[1]!Bookings[Bedrooms])</f>
        <v>Studio</v>
      </c>
      <c r="L87" s="2" t="str">
        <f>_xlfn.XLOOKUP(E87,[1]!Bookings[Booking Name],[1]!Bookings[Unit No.])</f>
        <v>A2108</v>
      </c>
      <c r="M87" s="36" t="str">
        <f>_xlfn.XLOOKUP(E87,[1]!Bookings[Booking Name],[1]!Bookings[Inventory Unit Status])</f>
        <v>Blocked</v>
      </c>
      <c r="N87" s="2" t="str">
        <f>_xlfn.XLOOKUP(E87,[1]!Bookings[Booking Name],[1]!Bookings[Booking Status])</f>
        <v>Rejected</v>
      </c>
      <c r="O87" s="52" t="str">
        <f>_xlfn.XLOOKUP(E87,[1]!Bookings[Booking Name],[1]!Bookings[Customer Name])</f>
        <v>Mohamed Abdelhakim Elsayed Mahmoud Amer</v>
      </c>
      <c r="P87" s="2" t="str">
        <f>_xlfn.XLOOKUP(E87,[1]!Bookings[Booking Name],[1]!Bookings[Nationality])</f>
        <v>Egypt</v>
      </c>
      <c r="Q87" s="4">
        <f>_xlfn.XLOOKUP(E87,[1]!Bookings[Booking Name],[1]!Bookings[Discount Amount])</f>
        <v>39950</v>
      </c>
      <c r="R87" s="27">
        <f>_xlfn.XLOOKUP(E87,[1]!Bookings[Booking Name],[1]!Bookings[Discount Percentage])</f>
        <v>0.05</v>
      </c>
      <c r="S87" s="4">
        <f>_xlfn.XLOOKUP(E87,[1]!Bookings[Booking Name],[1]!Bookings[Final Sale Value After Discount])</f>
        <v>759050</v>
      </c>
      <c r="T87" s="4">
        <f>_xlfn.XLOOKUP(E87,[1]!Bookings[Booking Name],[1]!Bookings[Inv Final Sale Value])</f>
        <v>799000</v>
      </c>
      <c r="U87" s="34" t="str">
        <f>_xlfn.XLOOKUP(E87,[1]!Bookings[Booking Name],[1]!Bookings[Sales])</f>
        <v>Osama Elsharkasy</v>
      </c>
      <c r="V87" s="2" t="str">
        <f>_xlfn.XLOOKUP(E87,[1]!Bookings[Booking Name],[1]!Bookings[Agency Name])</f>
        <v/>
      </c>
      <c r="W87" s="2" t="str">
        <f>_xlfn.XLOOKUP(E87,[1]!Bookings[Booking Name],[1]!Bookings[Booking ID])</f>
        <v>a03NM00000Mk4gg</v>
      </c>
      <c r="X87" s="2" t="str">
        <f>_xlfn.XLOOKUP(E87,[1]!Bookings[Booking Name],[1]!Bookings[Oracle Id])</f>
        <v>-</v>
      </c>
      <c r="Y87" s="70" t="s">
        <v>209</v>
      </c>
      <c r="Z87" s="90">
        <v>81900</v>
      </c>
      <c r="AA87" s="6">
        <v>0.10789803043277782</v>
      </c>
      <c r="AB87" s="60" t="s">
        <v>26</v>
      </c>
      <c r="AC87" s="12" t="s">
        <v>197</v>
      </c>
      <c r="AD87" s="106" t="s">
        <v>402</v>
      </c>
      <c r="AE87" s="60" t="s">
        <v>88</v>
      </c>
      <c r="AF87" s="60" t="s">
        <v>198</v>
      </c>
    </row>
    <row r="88" spans="2:32" ht="50.25" customHeight="1" x14ac:dyDescent="0.3">
      <c r="B88" s="57" t="s">
        <v>165</v>
      </c>
      <c r="C88" s="2">
        <v>45971</v>
      </c>
      <c r="D88" s="2">
        <f>_xlfn.XLOOKUP(E88,[1]!Bookings[Booking Name],[1]!Bookings[Rejected Date])</f>
        <v>45972</v>
      </c>
      <c r="E88" s="57" t="s">
        <v>184</v>
      </c>
      <c r="F88" s="76" t="str">
        <f>_xlfn.XLOOKUP(E88,[1]!Bookings[Booking Name],[1]!Bookings[Booking Status])</f>
        <v>Rejected</v>
      </c>
      <c r="G88" s="2">
        <f>_xlfn.XLOOKUP(E88,[1]!Bookings[Booking Name],[1]!Bookings[Booking Date])</f>
        <v>45930</v>
      </c>
      <c r="H88" s="3">
        <f>_xlfn.XLOOKUP(E88,[1]!Bookings[Booking Name],[1]!Bookings[Booking Aging])</f>
        <v>129</v>
      </c>
      <c r="I88" s="2" t="str">
        <f>_xlfn.XLOOKUP(E88,[1]!Bookings[Booking Name],[1]!Bookings[Project Name])</f>
        <v>Do Dubai Island</v>
      </c>
      <c r="J88" s="2" t="str">
        <f>_xlfn.XLOOKUP(E88,[1]!Bookings[Booking Name],[1]!Bookings[Building])</f>
        <v>Tower 1</v>
      </c>
      <c r="K88" s="2" t="str">
        <f>_xlfn.XLOOKUP(E88,[1]!Bookings[Booking Name],[1]!Bookings[Bedrooms])</f>
        <v>Studio</v>
      </c>
      <c r="L88" s="2" t="str">
        <f>_xlfn.XLOOKUP(E88,[1]!Bookings[Booking Name],[1]!Bookings[Unit No.])</f>
        <v>110</v>
      </c>
      <c r="M88" s="36" t="str">
        <f>_xlfn.XLOOKUP(E88,[1]!Bookings[Booking Name],[1]!Bookings[Inventory Unit Status])</f>
        <v>SPA Executed</v>
      </c>
      <c r="N88" s="2" t="str">
        <f>_xlfn.XLOOKUP(E88,[1]!Bookings[Booking Name],[1]!Bookings[Booking Status])</f>
        <v>Rejected</v>
      </c>
      <c r="O88" s="52" t="str">
        <f>_xlfn.XLOOKUP(E88,[1]!Bookings[Booking Name],[1]!Bookings[Customer Name])</f>
        <v>Ekaterina Shipova</v>
      </c>
      <c r="P88" s="2" t="str">
        <f>_xlfn.XLOOKUP(E88,[1]!Bookings[Booking Name],[1]!Bookings[Nationality])</f>
        <v>Russia</v>
      </c>
      <c r="Q88" s="4">
        <f>_xlfn.XLOOKUP(E88,[1]!Bookings[Booking Name],[1]!Bookings[Discount Amount])</f>
        <v>0</v>
      </c>
      <c r="R88" s="27">
        <f>_xlfn.XLOOKUP(E88,[1]!Bookings[Booking Name],[1]!Bookings[Discount Percentage])</f>
        <v>0</v>
      </c>
      <c r="S88" s="4">
        <f>_xlfn.XLOOKUP(E88,[1]!Bookings[Booking Name],[1]!Bookings[Final Sale Value After Discount])</f>
        <v>1250000</v>
      </c>
      <c r="T88" s="4">
        <f>_xlfn.XLOOKUP(E88,[1]!Bookings[Booking Name],[1]!Bookings[Inv Final Sale Value])</f>
        <v>1250000</v>
      </c>
      <c r="U88" s="34" t="str">
        <f>_xlfn.XLOOKUP(E88,[1]!Bookings[Booking Name],[1]!Bookings[Sales])</f>
        <v>Gulnoz Khodjayeva</v>
      </c>
      <c r="V88" s="2" t="str">
        <f>_xlfn.XLOOKUP(E88,[1]!Bookings[Booking Name],[1]!Bookings[Agency Name])</f>
        <v>Home Liga Real Estate</v>
      </c>
      <c r="W88" s="2" t="str">
        <f>_xlfn.XLOOKUP(E88,[1]!Bookings[Booking Name],[1]!Bookings[Booking ID])</f>
        <v>a03J600000Bth7k</v>
      </c>
      <c r="X88" s="2" t="str">
        <f>_xlfn.XLOOKUP(E88,[1]!Bookings[Booking Name],[1]!Bookings[Oracle Id])</f>
        <v>-</v>
      </c>
      <c r="Y88" s="70" t="s">
        <v>209</v>
      </c>
      <c r="Z88" s="56" t="s">
        <v>25</v>
      </c>
      <c r="AA88" s="6">
        <v>0</v>
      </c>
      <c r="AB88" s="58" t="s">
        <v>26</v>
      </c>
      <c r="AC88" s="12" t="s">
        <v>185</v>
      </c>
      <c r="AD88" s="106" t="s">
        <v>401</v>
      </c>
      <c r="AE88" s="28" t="s">
        <v>94</v>
      </c>
      <c r="AF88" s="58" t="s">
        <v>79</v>
      </c>
    </row>
    <row r="89" spans="2:32" ht="50.25" customHeight="1" x14ac:dyDescent="0.3">
      <c r="B89" s="57" t="s">
        <v>165</v>
      </c>
      <c r="C89" s="2">
        <v>45971</v>
      </c>
      <c r="D89" s="2">
        <f>_xlfn.XLOOKUP(E89,[1]!Bookings[Booking Name],[1]!Bookings[Rejected Date])</f>
        <v>45972</v>
      </c>
      <c r="E89" s="57" t="s">
        <v>183</v>
      </c>
      <c r="F89" s="76" t="str">
        <f>_xlfn.XLOOKUP(E89,[1]!Bookings[Booking Name],[1]!Bookings[Booking Status])</f>
        <v>Rejected</v>
      </c>
      <c r="G89" s="2">
        <f>_xlfn.XLOOKUP(E89,[1]!Bookings[Booking Name],[1]!Bookings[Booking Date])</f>
        <v>45961</v>
      </c>
      <c r="H89" s="3">
        <f>_xlfn.XLOOKUP(E89,[1]!Bookings[Booking Name],[1]!Bookings[Booking Aging])</f>
        <v>98</v>
      </c>
      <c r="I89" s="2" t="str">
        <f>_xlfn.XLOOKUP(E89,[1]!Bookings[Booking Name],[1]!Bookings[Project Name])</f>
        <v>Laguna Residence</v>
      </c>
      <c r="J89" s="2" t="str">
        <f>_xlfn.XLOOKUP(E89,[1]!Bookings[Booking Name],[1]!Bookings[Building])</f>
        <v>Tower B</v>
      </c>
      <c r="K89" s="2" t="str">
        <f>_xlfn.XLOOKUP(E89,[1]!Bookings[Booking Name],[1]!Bookings[Bedrooms])</f>
        <v>Studio</v>
      </c>
      <c r="L89" s="2" t="str">
        <f>_xlfn.XLOOKUP(E89,[1]!Bookings[Booking Name],[1]!Bookings[Unit No.])</f>
        <v>B714</v>
      </c>
      <c r="M89" s="36" t="str">
        <f>_xlfn.XLOOKUP(E89,[1]!Bookings[Booking Name],[1]!Bookings[Inventory Unit Status])</f>
        <v>Blocked</v>
      </c>
      <c r="N89" s="2" t="str">
        <f>_xlfn.XLOOKUP(E89,[1]!Bookings[Booking Name],[1]!Bookings[Booking Status])</f>
        <v>Rejected</v>
      </c>
      <c r="O89" s="52" t="str">
        <f>_xlfn.XLOOKUP(E89,[1]!Bookings[Booking Name],[1]!Bookings[Customer Name])</f>
        <v>Albina Mkrtchyan</v>
      </c>
      <c r="P89" s="2" t="str">
        <f>_xlfn.XLOOKUP(E89,[1]!Bookings[Booking Name],[1]!Bookings[Nationality])</f>
        <v>Armenia</v>
      </c>
      <c r="Q89" s="4">
        <f>_xlfn.XLOOKUP(E89,[1]!Bookings[Booking Name],[1]!Bookings[Discount Amount])</f>
        <v>0</v>
      </c>
      <c r="R89" s="27">
        <f>_xlfn.XLOOKUP(E89,[1]!Bookings[Booking Name],[1]!Bookings[Discount Percentage])</f>
        <v>0</v>
      </c>
      <c r="S89" s="4">
        <f>_xlfn.XLOOKUP(E89,[1]!Bookings[Booking Name],[1]!Bookings[Final Sale Value After Discount])</f>
        <v>832000</v>
      </c>
      <c r="T89" s="4">
        <f>_xlfn.XLOOKUP(E89,[1]!Bookings[Booking Name],[1]!Bookings[Inv Final Sale Value])</f>
        <v>832000</v>
      </c>
      <c r="U89" s="34" t="str">
        <f>_xlfn.XLOOKUP(E89,[1]!Bookings[Booking Name],[1]!Bookings[Sales])</f>
        <v>Zarina Avdalian</v>
      </c>
      <c r="V89" s="2" t="str">
        <f>_xlfn.XLOOKUP(E89,[1]!Bookings[Booking Name],[1]!Bookings[Agency Name])</f>
        <v>ALBINA MKRTCHYAN REAL ESTATE</v>
      </c>
      <c r="W89" s="2" t="str">
        <f>_xlfn.XLOOKUP(E89,[1]!Bookings[Booking Name],[1]!Bookings[Booking ID])</f>
        <v>a03J600000FmbGz</v>
      </c>
      <c r="X89" s="2" t="str">
        <f>_xlfn.XLOOKUP(E89,[1]!Bookings[Booking Name],[1]!Bookings[Oracle Id])</f>
        <v>-</v>
      </c>
      <c r="Y89" s="70" t="s">
        <v>209</v>
      </c>
      <c r="Z89" s="56" t="s">
        <v>25</v>
      </c>
      <c r="AA89" s="6">
        <v>0</v>
      </c>
      <c r="AB89" s="58" t="s">
        <v>26</v>
      </c>
      <c r="AC89" s="12" t="s">
        <v>32</v>
      </c>
      <c r="AD89" s="106" t="s">
        <v>400</v>
      </c>
      <c r="AE89" s="28" t="s">
        <v>32</v>
      </c>
      <c r="AF89" s="29" t="s">
        <v>97</v>
      </c>
    </row>
    <row r="90" spans="2:32" ht="50.25" customHeight="1" x14ac:dyDescent="0.3">
      <c r="B90" s="57" t="s">
        <v>165</v>
      </c>
      <c r="C90" s="2">
        <v>45971</v>
      </c>
      <c r="D90" s="2">
        <f>_xlfn.XLOOKUP(E90,[1]!Bookings[Booking Name],[1]!Bookings[Rejected Date])</f>
        <v>45972</v>
      </c>
      <c r="E90" s="57" t="s">
        <v>182</v>
      </c>
      <c r="F90" s="76" t="str">
        <f>_xlfn.XLOOKUP(E90,[1]!Bookings[Booking Name],[1]!Bookings[Booking Status])</f>
        <v>Rejected</v>
      </c>
      <c r="G90" s="2">
        <f>_xlfn.XLOOKUP(E90,[1]!Bookings[Booking Name],[1]!Bookings[Booking Date])</f>
        <v>45961</v>
      </c>
      <c r="H90" s="3">
        <f>_xlfn.XLOOKUP(E90,[1]!Bookings[Booking Name],[1]!Bookings[Booking Aging])</f>
        <v>98</v>
      </c>
      <c r="I90" s="2" t="str">
        <f>_xlfn.XLOOKUP(E90,[1]!Bookings[Booking Name],[1]!Bookings[Project Name])</f>
        <v>Laguna Residence</v>
      </c>
      <c r="J90" s="2" t="str">
        <f>_xlfn.XLOOKUP(E90,[1]!Bookings[Booking Name],[1]!Bookings[Building])</f>
        <v>Tower B</v>
      </c>
      <c r="K90" s="2" t="str">
        <f>_xlfn.XLOOKUP(E90,[1]!Bookings[Booking Name],[1]!Bookings[Bedrooms])</f>
        <v>Studio</v>
      </c>
      <c r="L90" s="2" t="str">
        <f>_xlfn.XLOOKUP(E90,[1]!Bookings[Booking Name],[1]!Bookings[Unit No.])</f>
        <v>B911</v>
      </c>
      <c r="M90" s="36" t="str">
        <f>_xlfn.XLOOKUP(E90,[1]!Bookings[Booking Name],[1]!Bookings[Inventory Unit Status])</f>
        <v>Blocked</v>
      </c>
      <c r="N90" s="2" t="str">
        <f>_xlfn.XLOOKUP(E90,[1]!Bookings[Booking Name],[1]!Bookings[Booking Status])</f>
        <v>Rejected</v>
      </c>
      <c r="O90" s="52" t="str">
        <f>_xlfn.XLOOKUP(E90,[1]!Bookings[Booking Name],[1]!Bookings[Customer Name])</f>
        <v>Gor Keshishoghlyan</v>
      </c>
      <c r="P90" s="2" t="str">
        <f>_xlfn.XLOOKUP(E90,[1]!Bookings[Booking Name],[1]!Bookings[Nationality])</f>
        <v>Armenia</v>
      </c>
      <c r="Q90" s="4">
        <f>_xlfn.XLOOKUP(E90,[1]!Bookings[Booking Name],[1]!Bookings[Discount Amount])</f>
        <v>0</v>
      </c>
      <c r="R90" s="27">
        <f>_xlfn.XLOOKUP(E90,[1]!Bookings[Booking Name],[1]!Bookings[Discount Percentage])</f>
        <v>0</v>
      </c>
      <c r="S90" s="4">
        <f>_xlfn.XLOOKUP(E90,[1]!Bookings[Booking Name],[1]!Bookings[Final Sale Value After Discount])</f>
        <v>832000</v>
      </c>
      <c r="T90" s="4">
        <f>_xlfn.XLOOKUP(E90,[1]!Bookings[Booking Name],[1]!Bookings[Inv Final Sale Value])</f>
        <v>832000</v>
      </c>
      <c r="U90" s="34" t="str">
        <f>_xlfn.XLOOKUP(E90,[1]!Bookings[Booking Name],[1]!Bookings[Sales])</f>
        <v>Zarina Avdalian</v>
      </c>
      <c r="V90" s="2" t="str">
        <f>_xlfn.XLOOKUP(E90,[1]!Bookings[Booking Name],[1]!Bookings[Agency Name])</f>
        <v>ALBINA MKRTCHYAN REAL ESTATE</v>
      </c>
      <c r="W90" s="2" t="str">
        <f>_xlfn.XLOOKUP(E90,[1]!Bookings[Booking Name],[1]!Bookings[Booking ID])</f>
        <v>a03J600000Fmam0</v>
      </c>
      <c r="X90" s="2" t="str">
        <f>_xlfn.XLOOKUP(E90,[1]!Bookings[Booking Name],[1]!Bookings[Oracle Id])</f>
        <v>-</v>
      </c>
      <c r="Y90" s="70" t="s">
        <v>209</v>
      </c>
      <c r="Z90" s="90">
        <v>9000</v>
      </c>
      <c r="AA90" s="6">
        <v>1.0817307692307692E-2</v>
      </c>
      <c r="AB90" s="58" t="s">
        <v>31</v>
      </c>
      <c r="AC90" s="12" t="s">
        <v>32</v>
      </c>
      <c r="AD90" s="106" t="s">
        <v>399</v>
      </c>
      <c r="AE90" s="28" t="s">
        <v>32</v>
      </c>
      <c r="AF90" s="29" t="s">
        <v>97</v>
      </c>
    </row>
    <row r="91" spans="2:32" ht="50.25" customHeight="1" x14ac:dyDescent="0.3">
      <c r="B91" s="55" t="s">
        <v>165</v>
      </c>
      <c r="C91" s="2">
        <v>45966</v>
      </c>
      <c r="D91" s="2">
        <f>_xlfn.XLOOKUP(E91,[1]!Bookings[Booking Name],[1]!Bookings[Rejected Date])</f>
        <v>45968</v>
      </c>
      <c r="E91" s="55" t="s">
        <v>181</v>
      </c>
      <c r="F91" s="76" t="str">
        <f>_xlfn.XLOOKUP(E91,[1]!Bookings[Booking Name],[1]!Bookings[Booking Status])</f>
        <v>Rejected</v>
      </c>
      <c r="G91" s="2">
        <f>_xlfn.XLOOKUP(E91,[1]!Bookings[Booking Name],[1]!Bookings[Booking Date])</f>
        <v>45961</v>
      </c>
      <c r="H91" s="3">
        <f>_xlfn.XLOOKUP(E91,[1]!Bookings[Booking Name],[1]!Bookings[Booking Aging])</f>
        <v>98</v>
      </c>
      <c r="I91" s="2" t="str">
        <f>_xlfn.XLOOKUP(E91,[1]!Bookings[Booking Name],[1]!Bookings[Project Name])</f>
        <v>Laguna Residence</v>
      </c>
      <c r="J91" s="2" t="str">
        <f>_xlfn.XLOOKUP(E91,[1]!Bookings[Booking Name],[1]!Bookings[Building])</f>
        <v>Tower B</v>
      </c>
      <c r="K91" s="2" t="str">
        <f>_xlfn.XLOOKUP(E91,[1]!Bookings[Booking Name],[1]!Bookings[Bedrooms])</f>
        <v>Studio</v>
      </c>
      <c r="L91" s="2" t="str">
        <f>_xlfn.XLOOKUP(E91,[1]!Bookings[Booking Name],[1]!Bookings[Unit No.])</f>
        <v>B412</v>
      </c>
      <c r="M91" s="36" t="str">
        <f>_xlfn.XLOOKUP(E91,[1]!Bookings[Booking Name],[1]!Bookings[Inventory Unit Status])</f>
        <v>Blocked</v>
      </c>
      <c r="N91" s="2" t="str">
        <f>_xlfn.XLOOKUP(E91,[1]!Bookings[Booking Name],[1]!Bookings[Booking Status])</f>
        <v>Rejected</v>
      </c>
      <c r="O91" s="52" t="str">
        <f>_xlfn.XLOOKUP(E91,[1]!Bookings[Booking Name],[1]!Bookings[Customer Name])</f>
        <v>Omar Mohamed Mohamed  Ibrahim</v>
      </c>
      <c r="P91" s="2" t="str">
        <f>_xlfn.XLOOKUP(E91,[1]!Bookings[Booking Name],[1]!Bookings[Nationality])</f>
        <v>Egypt</v>
      </c>
      <c r="Q91" s="4">
        <f>_xlfn.XLOOKUP(E91,[1]!Bookings[Booking Name],[1]!Bookings[Discount Amount])</f>
        <v>0</v>
      </c>
      <c r="R91" s="27">
        <f>_xlfn.XLOOKUP(E91,[1]!Bookings[Booking Name],[1]!Bookings[Discount Percentage])</f>
        <v>0</v>
      </c>
      <c r="S91" s="4">
        <f>_xlfn.XLOOKUP(E91,[1]!Bookings[Booking Name],[1]!Bookings[Final Sale Value After Discount])</f>
        <v>848000</v>
      </c>
      <c r="T91" s="4">
        <f>_xlfn.XLOOKUP(E91,[1]!Bookings[Booking Name],[1]!Bookings[Inv Final Sale Value])</f>
        <v>848000</v>
      </c>
      <c r="U91" s="34" t="str">
        <f>_xlfn.XLOOKUP(E91,[1]!Bookings[Booking Name],[1]!Bookings[Sales])</f>
        <v>Shady Amin</v>
      </c>
      <c r="V91" s="2" t="str">
        <f>_xlfn.XLOOKUP(E91,[1]!Bookings[Booking Name],[1]!Bookings[Agency Name])</f>
        <v/>
      </c>
      <c r="W91" s="2" t="str">
        <f>_xlfn.XLOOKUP(E91,[1]!Bookings[Booking Name],[1]!Bookings[Booking ID])</f>
        <v>a03J600000Fmbe8</v>
      </c>
      <c r="X91" s="2" t="str">
        <f>_xlfn.XLOOKUP(E91,[1]!Bookings[Booking Name],[1]!Bookings[Oracle Id])</f>
        <v>-</v>
      </c>
      <c r="Y91" s="70" t="s">
        <v>209</v>
      </c>
      <c r="Z91" s="90">
        <v>3675</v>
      </c>
      <c r="AA91" s="6">
        <v>4.3337264150943395E-3</v>
      </c>
      <c r="AB91" s="56" t="s">
        <v>37</v>
      </c>
      <c r="AC91" s="12" t="s">
        <v>133</v>
      </c>
      <c r="AD91" s="106" t="s">
        <v>398</v>
      </c>
      <c r="AE91" s="28" t="s">
        <v>32</v>
      </c>
      <c r="AF91" s="29" t="s">
        <v>97</v>
      </c>
    </row>
    <row r="92" spans="2:32" ht="50.25" customHeight="1" x14ac:dyDescent="0.3">
      <c r="B92" s="52" t="s">
        <v>172</v>
      </c>
      <c r="C92" s="2">
        <v>45965</v>
      </c>
      <c r="D92" s="2">
        <f>_xlfn.XLOOKUP(E92,[1]!Bookings[Booking Name],[1]!Bookings[Rejected Date])</f>
        <v>45968</v>
      </c>
      <c r="E92" s="52" t="s">
        <v>173</v>
      </c>
      <c r="F92" s="76" t="str">
        <f>_xlfn.XLOOKUP(E92,[1]!Bookings[Booking Name],[1]!Bookings[Booking Status])</f>
        <v>Rejected</v>
      </c>
      <c r="G92" s="2">
        <f>_xlfn.XLOOKUP(E92,[1]!Bookings[Booking Name],[1]!Bookings[Booking Date])</f>
        <v>45961</v>
      </c>
      <c r="H92" s="3">
        <f>_xlfn.XLOOKUP(E92,[1]!Bookings[Booking Name],[1]!Bookings[Booking Aging])</f>
        <v>98</v>
      </c>
      <c r="I92" s="2" t="str">
        <f>_xlfn.XLOOKUP(E92,[1]!Bookings[Booking Name],[1]!Bookings[Project Name])</f>
        <v>Laguna Residence</v>
      </c>
      <c r="J92" s="2" t="str">
        <f>_xlfn.XLOOKUP(E92,[1]!Bookings[Booking Name],[1]!Bookings[Building])</f>
        <v>Tower A</v>
      </c>
      <c r="K92" s="2" t="str">
        <f>_xlfn.XLOOKUP(E92,[1]!Bookings[Booking Name],[1]!Bookings[Bedrooms])</f>
        <v>Studio</v>
      </c>
      <c r="L92" s="2" t="str">
        <f>_xlfn.XLOOKUP(E92,[1]!Bookings[Booking Name],[1]!Bookings[Unit No.])</f>
        <v>A1619</v>
      </c>
      <c r="M92" s="36" t="str">
        <f>_xlfn.XLOOKUP(E92,[1]!Bookings[Booking Name],[1]!Bookings[Inventory Unit Status])</f>
        <v>Blocked</v>
      </c>
      <c r="N92" s="2" t="str">
        <f>_xlfn.XLOOKUP(E92,[1]!Bookings[Booking Name],[1]!Bookings[Booking Status])</f>
        <v>Rejected</v>
      </c>
      <c r="O92" s="52" t="str">
        <f>_xlfn.XLOOKUP(E92,[1]!Bookings[Booking Name],[1]!Bookings[Customer Name])</f>
        <v>Roman Alexandrovich Grichanchenko</v>
      </c>
      <c r="P92" s="2" t="str">
        <f>_xlfn.XLOOKUP(E92,[1]!Bookings[Booking Name],[1]!Bookings[Nationality])</f>
        <v>Russia</v>
      </c>
      <c r="Q92" s="4">
        <f>_xlfn.XLOOKUP(E92,[1]!Bookings[Booking Name],[1]!Bookings[Discount Amount])</f>
        <v>0</v>
      </c>
      <c r="R92" s="27">
        <f>_xlfn.XLOOKUP(E92,[1]!Bookings[Booking Name],[1]!Bookings[Discount Percentage])</f>
        <v>0</v>
      </c>
      <c r="S92" s="4">
        <f>_xlfn.XLOOKUP(E92,[1]!Bookings[Booking Name],[1]!Bookings[Final Sale Value After Discount])</f>
        <v>857000</v>
      </c>
      <c r="T92" s="4">
        <f>_xlfn.XLOOKUP(E92,[1]!Bookings[Booking Name],[1]!Bookings[Inv Final Sale Value])</f>
        <v>857000</v>
      </c>
      <c r="U92" s="34" t="str">
        <f>_xlfn.XLOOKUP(E92,[1]!Bookings[Booking Name],[1]!Bookings[Sales])</f>
        <v>Ahmed Eissa</v>
      </c>
      <c r="V92" s="2" t="str">
        <f>_xlfn.XLOOKUP(E92,[1]!Bookings[Booking Name],[1]!Bookings[Agency Name])</f>
        <v>FIDU PROPERTY REAL ESTATE BROKERAGE</v>
      </c>
      <c r="W92" s="2" t="str">
        <f>_xlfn.XLOOKUP(E92,[1]!Bookings[Booking Name],[1]!Bookings[Booking ID])</f>
        <v>a03J600000Fmbp1</v>
      </c>
      <c r="X92" s="2" t="str">
        <f>_xlfn.XLOOKUP(E92,[1]!Bookings[Booking Name],[1]!Bookings[Oracle Id])</f>
        <v>-</v>
      </c>
      <c r="Y92" s="70" t="s">
        <v>209</v>
      </c>
      <c r="Z92" s="18" t="s">
        <v>25</v>
      </c>
      <c r="AA92" s="6">
        <v>0</v>
      </c>
      <c r="AB92" s="53" t="s">
        <v>31</v>
      </c>
      <c r="AC92" s="12" t="s">
        <v>180</v>
      </c>
      <c r="AD92" s="106" t="s">
        <v>397</v>
      </c>
      <c r="AE92" s="35" t="s">
        <v>131</v>
      </c>
      <c r="AF92" s="35" t="s">
        <v>132</v>
      </c>
    </row>
    <row r="93" spans="2:32" ht="50.25" customHeight="1" x14ac:dyDescent="0.3">
      <c r="B93" s="52" t="s">
        <v>165</v>
      </c>
      <c r="C93" s="2">
        <v>45964</v>
      </c>
      <c r="D93" s="2">
        <f>_xlfn.XLOOKUP(E93,[1]!Bookings[Booking Name],[1]!Bookings[Rejected Date])</f>
        <v>45966</v>
      </c>
      <c r="E93" s="52" t="s">
        <v>174</v>
      </c>
      <c r="F93" s="76" t="str">
        <f>_xlfn.XLOOKUP(E93,[1]!Bookings[Booking Name],[1]!Bookings[Booking Status])</f>
        <v>Rejected</v>
      </c>
      <c r="G93" s="2">
        <f>_xlfn.XLOOKUP(E93,[1]!Bookings[Booking Name],[1]!Bookings[Booking Date])</f>
        <v>45964</v>
      </c>
      <c r="H93" s="3">
        <f>_xlfn.XLOOKUP(E93,[1]!Bookings[Booking Name],[1]!Bookings[Booking Aging])</f>
        <v>95</v>
      </c>
      <c r="I93" s="2" t="str">
        <f>_xlfn.XLOOKUP(E93,[1]!Bookings[Booking Name],[1]!Bookings[Project Name])</f>
        <v>Laguna Residence</v>
      </c>
      <c r="J93" s="2" t="str">
        <f>_xlfn.XLOOKUP(E93,[1]!Bookings[Booking Name],[1]!Bookings[Building])</f>
        <v>Tower B</v>
      </c>
      <c r="K93" s="2" t="str">
        <f>_xlfn.XLOOKUP(E93,[1]!Bookings[Booking Name],[1]!Bookings[Bedrooms])</f>
        <v>Studio</v>
      </c>
      <c r="L93" s="2" t="str">
        <f>_xlfn.XLOOKUP(E93,[1]!Bookings[Booking Name],[1]!Bookings[Unit No.])</f>
        <v>B1312</v>
      </c>
      <c r="M93" s="36" t="str">
        <f>_xlfn.XLOOKUP(E93,[1]!Bookings[Booking Name],[1]!Bookings[Inventory Unit Status])</f>
        <v>Booked</v>
      </c>
      <c r="N93" s="2" t="str">
        <f>_xlfn.XLOOKUP(E93,[1]!Bookings[Booking Name],[1]!Bookings[Booking Status])</f>
        <v>Rejected</v>
      </c>
      <c r="O93" s="52" t="str">
        <f>_xlfn.XLOOKUP(E93,[1]!Bookings[Booking Name],[1]!Bookings[Customer Name])</f>
        <v>Hagop Karapetjan</v>
      </c>
      <c r="P93" s="2" t="str">
        <f>_xlfn.XLOOKUP(E93,[1]!Bookings[Booking Name],[1]!Bookings[Nationality])</f>
        <v>Netherlands</v>
      </c>
      <c r="Q93" s="4">
        <f>_xlfn.XLOOKUP(E93,[1]!Bookings[Booking Name],[1]!Bookings[Discount Amount])</f>
        <v>0</v>
      </c>
      <c r="R93" s="27">
        <f>_xlfn.XLOOKUP(E93,[1]!Bookings[Booking Name],[1]!Bookings[Discount Percentage])</f>
        <v>0</v>
      </c>
      <c r="S93" s="4">
        <f>_xlfn.XLOOKUP(E93,[1]!Bookings[Booking Name],[1]!Bookings[Final Sale Value After Discount])</f>
        <v>813000</v>
      </c>
      <c r="T93" s="4">
        <f>_xlfn.XLOOKUP(E93,[1]!Bookings[Booking Name],[1]!Bookings[Inv Final Sale Value])</f>
        <v>813000</v>
      </c>
      <c r="U93" s="34" t="str">
        <f>_xlfn.XLOOKUP(E93,[1]!Bookings[Booking Name],[1]!Bookings[Sales])</f>
        <v>Jude Kwakye</v>
      </c>
      <c r="V93" s="2" t="str">
        <f>_xlfn.XLOOKUP(E93,[1]!Bookings[Booking Name],[1]!Bookings[Agency Name])</f>
        <v>EMIRALD REAL ESTATE</v>
      </c>
      <c r="W93" s="2" t="str">
        <f>_xlfn.XLOOKUP(E93,[1]!Bookings[Booking Name],[1]!Bookings[Booking ID])</f>
        <v>a03NM00000M57D1</v>
      </c>
      <c r="X93" s="2" t="str">
        <f>_xlfn.XLOOKUP(E93,[1]!Bookings[Booking Name],[1]!Bookings[Oracle Id])</f>
        <v>-</v>
      </c>
      <c r="Y93" s="70" t="s">
        <v>209</v>
      </c>
      <c r="Z93" s="90">
        <v>8948</v>
      </c>
      <c r="AA93" s="6">
        <v>1.1006150061500615E-2</v>
      </c>
      <c r="AB93" s="53" t="s">
        <v>37</v>
      </c>
      <c r="AC93" s="12" t="s">
        <v>177</v>
      </c>
      <c r="AD93" s="106" t="s">
        <v>396</v>
      </c>
      <c r="AE93" s="53" t="s">
        <v>178</v>
      </c>
      <c r="AF93" s="54" t="s">
        <v>179</v>
      </c>
    </row>
    <row r="94" spans="2:32" ht="50.25" customHeight="1" x14ac:dyDescent="0.3">
      <c r="B94" s="49" t="s">
        <v>165</v>
      </c>
      <c r="C94" s="2">
        <v>45964</v>
      </c>
      <c r="D94" s="2">
        <f>_xlfn.XLOOKUP(E94,[1]!Bookings[Booking Name],[1]!Bookings[Rejected Date])</f>
        <v>45968</v>
      </c>
      <c r="E94" s="49" t="s">
        <v>168</v>
      </c>
      <c r="F94" s="76" t="str">
        <f>_xlfn.XLOOKUP(E94,[1]!Bookings[Booking Name],[1]!Bookings[Booking Status])</f>
        <v>Rejected</v>
      </c>
      <c r="G94" s="2">
        <f>_xlfn.XLOOKUP(E94,[1]!Bookings[Booking Name],[1]!Bookings[Booking Date])</f>
        <v>45961</v>
      </c>
      <c r="H94" s="3">
        <f>_xlfn.XLOOKUP(E94,[1]!Bookings[Booking Name],[1]!Bookings[Booking Aging])</f>
        <v>98</v>
      </c>
      <c r="I94" s="2" t="str">
        <f>_xlfn.XLOOKUP(E94,[1]!Bookings[Booking Name],[1]!Bookings[Project Name])</f>
        <v>Laguna Residence</v>
      </c>
      <c r="J94" s="2" t="str">
        <f>_xlfn.XLOOKUP(E94,[1]!Bookings[Booking Name],[1]!Bookings[Building])</f>
        <v>Tower B</v>
      </c>
      <c r="K94" s="2" t="str">
        <f>_xlfn.XLOOKUP(E94,[1]!Bookings[Booking Name],[1]!Bookings[Bedrooms])</f>
        <v>Studio</v>
      </c>
      <c r="L94" s="2" t="str">
        <f>_xlfn.XLOOKUP(E94,[1]!Bookings[Booking Name],[1]!Bookings[Unit No.])</f>
        <v>B1912</v>
      </c>
      <c r="M94" s="36" t="str">
        <f>_xlfn.XLOOKUP(E94,[1]!Bookings[Booking Name],[1]!Bookings[Inventory Unit Status])</f>
        <v>Blocked</v>
      </c>
      <c r="N94" s="2" t="str">
        <f>_xlfn.XLOOKUP(E94,[1]!Bookings[Booking Name],[1]!Bookings[Booking Status])</f>
        <v>Rejected</v>
      </c>
      <c r="O94" s="52" t="str">
        <f>_xlfn.XLOOKUP(E94,[1]!Bookings[Booking Name],[1]!Bookings[Customer Name])</f>
        <v>Hagop Karapetjan</v>
      </c>
      <c r="P94" s="2" t="str">
        <f>_xlfn.XLOOKUP(E94,[1]!Bookings[Booking Name],[1]!Bookings[Nationality])</f>
        <v>Netherlands</v>
      </c>
      <c r="Q94" s="4">
        <f>_xlfn.XLOOKUP(E94,[1]!Bookings[Booking Name],[1]!Bookings[Discount Amount])</f>
        <v>0</v>
      </c>
      <c r="R94" s="27">
        <f>_xlfn.XLOOKUP(E94,[1]!Bookings[Booking Name],[1]!Bookings[Discount Percentage])</f>
        <v>0</v>
      </c>
      <c r="S94" s="4">
        <f>_xlfn.XLOOKUP(E94,[1]!Bookings[Booking Name],[1]!Bookings[Final Sale Value After Discount])</f>
        <v>873000</v>
      </c>
      <c r="T94" s="4">
        <f>_xlfn.XLOOKUP(E94,[1]!Bookings[Booking Name],[1]!Bookings[Inv Final Sale Value])</f>
        <v>873000</v>
      </c>
      <c r="U94" s="34" t="str">
        <f>_xlfn.XLOOKUP(E94,[1]!Bookings[Booking Name],[1]!Bookings[Sales])</f>
        <v>Jude Kwakye</v>
      </c>
      <c r="V94" s="2" t="str">
        <f>_xlfn.XLOOKUP(E94,[1]!Bookings[Booking Name],[1]!Bookings[Agency Name])</f>
        <v>EMIRALD REAL ESTATE</v>
      </c>
      <c r="W94" s="2" t="str">
        <f>_xlfn.XLOOKUP(E94,[1]!Bookings[Booking Name],[1]!Bookings[Booking ID])</f>
        <v>a03J600000FmbAw</v>
      </c>
      <c r="X94" s="2" t="str">
        <f>_xlfn.XLOOKUP(E94,[1]!Bookings[Booking Name],[1]!Bookings[Oracle Id])</f>
        <v>-</v>
      </c>
      <c r="Y94" s="70" t="s">
        <v>209</v>
      </c>
      <c r="Z94" s="11" t="s">
        <v>25</v>
      </c>
      <c r="AA94" s="6">
        <v>0</v>
      </c>
      <c r="AB94" s="50" t="s">
        <v>31</v>
      </c>
      <c r="AC94" s="12" t="s">
        <v>169</v>
      </c>
      <c r="AD94" s="106" t="s">
        <v>395</v>
      </c>
      <c r="AE94" s="28" t="s">
        <v>88</v>
      </c>
      <c r="AF94" s="51" t="s">
        <v>170</v>
      </c>
    </row>
    <row r="95" spans="2:32" ht="50.25" customHeight="1" x14ac:dyDescent="0.3">
      <c r="B95" s="47" t="s">
        <v>165</v>
      </c>
      <c r="C95" s="2">
        <v>45962</v>
      </c>
      <c r="D95" s="2">
        <f>_xlfn.XLOOKUP(E95,[1]!Bookings[Booking Name],[1]!Bookings[Rejected Date])</f>
        <v>45964</v>
      </c>
      <c r="E95" s="47" t="s">
        <v>166</v>
      </c>
      <c r="F95" s="76" t="str">
        <f>_xlfn.XLOOKUP(E95,[1]!Bookings[Booking Name],[1]!Bookings[Booking Status])</f>
        <v>Rejected</v>
      </c>
      <c r="G95" s="2">
        <f>_xlfn.XLOOKUP(E95,[1]!Bookings[Booking Name],[1]!Bookings[Booking Date])</f>
        <v>45931</v>
      </c>
      <c r="H95" s="3">
        <f>_xlfn.XLOOKUP(E95,[1]!Bookings[Booking Name],[1]!Bookings[Booking Aging])</f>
        <v>128</v>
      </c>
      <c r="I95" s="2" t="str">
        <f>_xlfn.XLOOKUP(E95,[1]!Bookings[Booking Name],[1]!Bookings[Project Name])</f>
        <v>Laguna Residence</v>
      </c>
      <c r="J95" s="2" t="str">
        <f>_xlfn.XLOOKUP(E95,[1]!Bookings[Booking Name],[1]!Bookings[Building])</f>
        <v>Tower A</v>
      </c>
      <c r="K95" s="2" t="str">
        <f>_xlfn.XLOOKUP(E95,[1]!Bookings[Booking Name],[1]!Bookings[Bedrooms])</f>
        <v>Studio</v>
      </c>
      <c r="L95" s="2" t="str">
        <f>_xlfn.XLOOKUP(E95,[1]!Bookings[Booking Name],[1]!Bookings[Unit No.])</f>
        <v>A418</v>
      </c>
      <c r="M95" s="36" t="str">
        <f>_xlfn.XLOOKUP(E95,[1]!Bookings[Booking Name],[1]!Bookings[Inventory Unit Status])</f>
        <v>SPA Executed</v>
      </c>
      <c r="N95" s="2" t="str">
        <f>_xlfn.XLOOKUP(E95,[1]!Bookings[Booking Name],[1]!Bookings[Booking Status])</f>
        <v>Rejected</v>
      </c>
      <c r="O95" s="52" t="str">
        <f>_xlfn.XLOOKUP(E95,[1]!Bookings[Booking Name],[1]!Bookings[Customer Name])</f>
        <v>Yara Mohammad Alloush</v>
      </c>
      <c r="P95" s="2" t="str">
        <f>_xlfn.XLOOKUP(E95,[1]!Bookings[Booking Name],[1]!Bookings[Nationality])</f>
        <v>Syria</v>
      </c>
      <c r="Q95" s="4">
        <f>_xlfn.XLOOKUP(E95,[1]!Bookings[Booking Name],[1]!Bookings[Discount Amount])</f>
        <v>23310</v>
      </c>
      <c r="R95" s="27">
        <f>_xlfn.XLOOKUP(E95,[1]!Bookings[Booking Name],[1]!Bookings[Discount Percentage])</f>
        <v>0.03</v>
      </c>
      <c r="S95" s="4">
        <f>_xlfn.XLOOKUP(E95,[1]!Bookings[Booking Name],[1]!Bookings[Final Sale Value After Discount])</f>
        <v>753690</v>
      </c>
      <c r="T95" s="4">
        <f>_xlfn.XLOOKUP(E95,[1]!Bookings[Booking Name],[1]!Bookings[Inv Final Sale Value])</f>
        <v>777000</v>
      </c>
      <c r="U95" s="34" t="str">
        <f>_xlfn.XLOOKUP(E95,[1]!Bookings[Booking Name],[1]!Bookings[Sales])</f>
        <v>Yara Haddad</v>
      </c>
      <c r="V95" s="2" t="str">
        <f>_xlfn.XLOOKUP(E95,[1]!Bookings[Booking Name],[1]!Bookings[Agency Name])</f>
        <v>STARS AND SANDS PROPERTIES L.L.C</v>
      </c>
      <c r="W95" s="2" t="str">
        <f>_xlfn.XLOOKUP(E95,[1]!Bookings[Booking Name],[1]!Bookings[Booking ID])</f>
        <v>a03J600000Btkky</v>
      </c>
      <c r="X95" s="2" t="str">
        <f>_xlfn.XLOOKUP(E95,[1]!Bookings[Booking Name],[1]!Bookings[Oracle Id])</f>
        <v>-</v>
      </c>
      <c r="Y95" s="70" t="s">
        <v>209</v>
      </c>
      <c r="Z95" s="90">
        <v>10000</v>
      </c>
      <c r="AA95" s="6">
        <v>1.3268054505167907E-2</v>
      </c>
      <c r="AB95" s="48" t="s">
        <v>37</v>
      </c>
      <c r="AC95" s="12" t="s">
        <v>167</v>
      </c>
      <c r="AD95" s="106" t="s">
        <v>394</v>
      </c>
      <c r="AE95" s="41" t="s">
        <v>32</v>
      </c>
      <c r="AF95" s="41" t="s">
        <v>114</v>
      </c>
    </row>
    <row r="96" spans="2:32" ht="50.25" customHeight="1" x14ac:dyDescent="0.3">
      <c r="B96" s="52" t="s">
        <v>158</v>
      </c>
      <c r="C96" s="2">
        <v>45961</v>
      </c>
      <c r="D96" s="2">
        <f>_xlfn.XLOOKUP(E96,[1]!Bookings[Booking Name],[1]!Bookings[Rejected Date])</f>
        <v>45968</v>
      </c>
      <c r="E96" s="52" t="s">
        <v>171</v>
      </c>
      <c r="F96" s="76" t="str">
        <f>_xlfn.XLOOKUP(E96,[1]!Bookings[Booking Name],[1]!Bookings[Booking Status])</f>
        <v>Rejected</v>
      </c>
      <c r="G96" s="2">
        <f>_xlfn.XLOOKUP(E96,[1]!Bookings[Booking Name],[1]!Bookings[Booking Date])</f>
        <v>45961</v>
      </c>
      <c r="H96" s="3">
        <f>_xlfn.XLOOKUP(E96,[1]!Bookings[Booking Name],[1]!Bookings[Booking Aging])</f>
        <v>98</v>
      </c>
      <c r="I96" s="2" t="str">
        <f>_xlfn.XLOOKUP(E96,[1]!Bookings[Booking Name],[1]!Bookings[Project Name])</f>
        <v>Laguna Residence</v>
      </c>
      <c r="J96" s="2" t="str">
        <f>_xlfn.XLOOKUP(E96,[1]!Bookings[Booking Name],[1]!Bookings[Building])</f>
        <v>Tower B</v>
      </c>
      <c r="K96" s="2" t="str">
        <f>_xlfn.XLOOKUP(E96,[1]!Bookings[Booking Name],[1]!Bookings[Bedrooms])</f>
        <v>Studio</v>
      </c>
      <c r="L96" s="2" t="str">
        <f>_xlfn.XLOOKUP(E96,[1]!Bookings[Booking Name],[1]!Bookings[Unit No.])</f>
        <v>B2714</v>
      </c>
      <c r="M96" s="36" t="str">
        <f>_xlfn.XLOOKUP(E96,[1]!Bookings[Booking Name],[1]!Bookings[Inventory Unit Status])</f>
        <v>Blocked</v>
      </c>
      <c r="N96" s="2" t="str">
        <f>_xlfn.XLOOKUP(E96,[1]!Bookings[Booking Name],[1]!Bookings[Booking Status])</f>
        <v>Rejected</v>
      </c>
      <c r="O96" s="52" t="str">
        <f>_xlfn.XLOOKUP(E96,[1]!Bookings[Booking Name],[1]!Bookings[Customer Name])</f>
        <v>Hagop Karapetjan</v>
      </c>
      <c r="P96" s="2" t="str">
        <f>_xlfn.XLOOKUP(E96,[1]!Bookings[Booking Name],[1]!Bookings[Nationality])</f>
        <v>Netherlands</v>
      </c>
      <c r="Q96" s="4">
        <f>_xlfn.XLOOKUP(E96,[1]!Bookings[Booking Name],[1]!Bookings[Discount Amount])</f>
        <v>0</v>
      </c>
      <c r="R96" s="27">
        <f>_xlfn.XLOOKUP(E96,[1]!Bookings[Booking Name],[1]!Bookings[Discount Percentage])</f>
        <v>0</v>
      </c>
      <c r="S96" s="4">
        <f>_xlfn.XLOOKUP(E96,[1]!Bookings[Booking Name],[1]!Bookings[Final Sale Value After Discount])</f>
        <v>894800</v>
      </c>
      <c r="T96" s="4">
        <f>_xlfn.XLOOKUP(E96,[1]!Bookings[Booking Name],[1]!Bookings[Inv Final Sale Value])</f>
        <v>894800</v>
      </c>
      <c r="U96" s="34" t="str">
        <f>_xlfn.XLOOKUP(E96,[1]!Bookings[Booking Name],[1]!Bookings[Sales])</f>
        <v>Jude Kwakye</v>
      </c>
      <c r="V96" s="2" t="str">
        <f>_xlfn.XLOOKUP(E96,[1]!Bookings[Booking Name],[1]!Bookings[Agency Name])</f>
        <v/>
      </c>
      <c r="W96" s="2" t="str">
        <f>_xlfn.XLOOKUP(E96,[1]!Bookings[Booking Name],[1]!Bookings[Booking ID])</f>
        <v>a03J600000FmaPA</v>
      </c>
      <c r="X96" s="2" t="str">
        <f>_xlfn.XLOOKUP(E96,[1]!Bookings[Booking Name],[1]!Bookings[Oracle Id])</f>
        <v>-</v>
      </c>
      <c r="Y96" s="70" t="s">
        <v>209</v>
      </c>
      <c r="Z96" s="18" t="s">
        <v>25</v>
      </c>
      <c r="AA96" s="6">
        <v>0</v>
      </c>
      <c r="AB96" s="50" t="s">
        <v>31</v>
      </c>
      <c r="AC96" s="12" t="s">
        <v>175</v>
      </c>
      <c r="AD96" s="106" t="s">
        <v>393</v>
      </c>
      <c r="AE96" s="53" t="s">
        <v>176</v>
      </c>
      <c r="AF96" s="53" t="s">
        <v>176</v>
      </c>
    </row>
    <row r="97" spans="2:32" ht="50.25" customHeight="1" x14ac:dyDescent="0.3">
      <c r="B97" s="2" t="s">
        <v>158</v>
      </c>
      <c r="C97" s="2">
        <v>45960</v>
      </c>
      <c r="D97" s="2">
        <f>_xlfn.XLOOKUP(E97,[1]!Bookings[Booking Name],[1]!Bookings[Rejected Date])</f>
        <v>45961</v>
      </c>
      <c r="E97" s="45" t="s">
        <v>162</v>
      </c>
      <c r="F97" s="76" t="str">
        <f>_xlfn.XLOOKUP(E97,[1]!Bookings[Booking Name],[1]!Bookings[Booking Status])</f>
        <v>Rejected</v>
      </c>
      <c r="G97" s="2">
        <f>_xlfn.XLOOKUP(E97,[1]!Bookings[Booking Name],[1]!Bookings[Booking Date])</f>
        <v>45954</v>
      </c>
      <c r="H97" s="3">
        <f>_xlfn.XLOOKUP(E97,[1]!Bookings[Booking Name],[1]!Bookings[Booking Aging])</f>
        <v>105</v>
      </c>
      <c r="I97" s="2" t="str">
        <f>_xlfn.XLOOKUP(E97,[1]!Bookings[Booking Name],[1]!Bookings[Project Name])</f>
        <v>Laguna Residence</v>
      </c>
      <c r="J97" s="2" t="str">
        <f>_xlfn.XLOOKUP(E97,[1]!Bookings[Booking Name],[1]!Bookings[Building])</f>
        <v>Tower B</v>
      </c>
      <c r="K97" s="2" t="str">
        <f>_xlfn.XLOOKUP(E97,[1]!Bookings[Booking Name],[1]!Bookings[Bedrooms])</f>
        <v>Studio</v>
      </c>
      <c r="L97" s="2" t="str">
        <f>_xlfn.XLOOKUP(E97,[1]!Bookings[Booking Name],[1]!Bookings[Unit No.])</f>
        <v>B1311</v>
      </c>
      <c r="M97" s="36" t="str">
        <f>_xlfn.XLOOKUP(E97,[1]!Bookings[Booking Name],[1]!Bookings[Inventory Unit Status])</f>
        <v>Blocked</v>
      </c>
      <c r="N97" s="2" t="str">
        <f>_xlfn.XLOOKUP(E97,[1]!Bookings[Booking Name],[1]!Bookings[Booking Status])</f>
        <v>Rejected</v>
      </c>
      <c r="O97" s="52" t="str">
        <f>_xlfn.XLOOKUP(E97,[1]!Bookings[Booking Name],[1]!Bookings[Customer Name])</f>
        <v>Poorva Avinash Rupawate</v>
      </c>
      <c r="P97" s="2" t="str">
        <f>_xlfn.XLOOKUP(E97,[1]!Bookings[Booking Name],[1]!Bookings[Nationality])</f>
        <v>India</v>
      </c>
      <c r="Q97" s="4">
        <f>_xlfn.XLOOKUP(E97,[1]!Bookings[Booking Name],[1]!Bookings[Discount Amount])</f>
        <v>0</v>
      </c>
      <c r="R97" s="27">
        <f>_xlfn.XLOOKUP(E97,[1]!Bookings[Booking Name],[1]!Bookings[Discount Percentage])</f>
        <v>0</v>
      </c>
      <c r="S97" s="4">
        <f>_xlfn.XLOOKUP(E97,[1]!Bookings[Booking Name],[1]!Bookings[Final Sale Value After Discount])</f>
        <v>835000</v>
      </c>
      <c r="T97" s="4">
        <f>_xlfn.XLOOKUP(E97,[1]!Bookings[Booking Name],[1]!Bookings[Inv Final Sale Value])</f>
        <v>835000</v>
      </c>
      <c r="U97" s="34" t="str">
        <f>_xlfn.XLOOKUP(E97,[1]!Bookings[Booking Name],[1]!Bookings[Sales])</f>
        <v>Jamil Ibrahim</v>
      </c>
      <c r="V97" s="2" t="str">
        <f>_xlfn.XLOOKUP(E97,[1]!Bookings[Booking Name],[1]!Bookings[Agency Name])</f>
        <v>BANKE INTERNATIONAL PROPERTIES L.L.C</v>
      </c>
      <c r="W97" s="2" t="str">
        <f>_xlfn.XLOOKUP(E97,[1]!Bookings[Booking Name],[1]!Bookings[Booking ID])</f>
        <v>a03J600000Fm7go</v>
      </c>
      <c r="X97" s="2" t="str">
        <f>_xlfn.XLOOKUP(E97,[1]!Bookings[Booking Name],[1]!Bookings[Oracle Id])</f>
        <v>-</v>
      </c>
      <c r="Y97" s="70" t="s">
        <v>209</v>
      </c>
      <c r="Z97" s="90">
        <v>16320</v>
      </c>
      <c r="AA97" s="6">
        <v>1.9544910179640718E-2</v>
      </c>
      <c r="AB97" s="46" t="s">
        <v>31</v>
      </c>
      <c r="AC97" s="12" t="s">
        <v>164</v>
      </c>
      <c r="AD97" s="106" t="s">
        <v>392</v>
      </c>
      <c r="AE97" s="46" t="s">
        <v>88</v>
      </c>
      <c r="AF97" s="46" t="s">
        <v>163</v>
      </c>
    </row>
    <row r="98" spans="2:32" ht="50.25" customHeight="1" x14ac:dyDescent="0.3">
      <c r="B98" s="2" t="s">
        <v>158</v>
      </c>
      <c r="C98" s="2">
        <v>45958</v>
      </c>
      <c r="D98" s="2">
        <f>_xlfn.XLOOKUP(E98,[1]!Bookings[Booking Name],[1]!Bookings[Rejected Date])</f>
        <v>45959</v>
      </c>
      <c r="E98" s="43" t="s">
        <v>155</v>
      </c>
      <c r="F98" s="76" t="str">
        <f>_xlfn.XLOOKUP(E98,[1]!Bookings[Booking Name],[1]!Bookings[Booking Status])</f>
        <v>Rejected</v>
      </c>
      <c r="G98" s="2">
        <f>_xlfn.XLOOKUP(E98,[1]!Bookings[Booking Name],[1]!Bookings[Booking Date])</f>
        <v>45957</v>
      </c>
      <c r="H98" s="3">
        <f>_xlfn.XLOOKUP(E98,[1]!Bookings[Booking Name],[1]!Bookings[Booking Aging])</f>
        <v>102</v>
      </c>
      <c r="I98" s="2" t="str">
        <f>_xlfn.XLOOKUP(E98,[1]!Bookings[Booking Name],[1]!Bookings[Project Name])</f>
        <v>Laguna Residence</v>
      </c>
      <c r="J98" s="2" t="str">
        <f>_xlfn.XLOOKUP(E98,[1]!Bookings[Booking Name],[1]!Bookings[Building])</f>
        <v>Tower A</v>
      </c>
      <c r="K98" s="2" t="str">
        <f>_xlfn.XLOOKUP(E98,[1]!Bookings[Booking Name],[1]!Bookings[Bedrooms])</f>
        <v>Studio</v>
      </c>
      <c r="L98" s="2" t="str">
        <f>_xlfn.XLOOKUP(E98,[1]!Bookings[Booking Name],[1]!Bookings[Unit No.])</f>
        <v>A1812</v>
      </c>
      <c r="M98" s="36" t="str">
        <f>_xlfn.XLOOKUP(E98,[1]!Bookings[Booking Name],[1]!Bookings[Inventory Unit Status])</f>
        <v>Booked</v>
      </c>
      <c r="N98" s="2" t="str">
        <f>_xlfn.XLOOKUP(E98,[1]!Bookings[Booking Name],[1]!Bookings[Booking Status])</f>
        <v>Rejected</v>
      </c>
      <c r="O98" s="52" t="str">
        <f>_xlfn.XLOOKUP(E98,[1]!Bookings[Booking Name],[1]!Bookings[Customer Name])</f>
        <v>Syeda Sadiya</v>
      </c>
      <c r="P98" s="2" t="str">
        <f>_xlfn.XLOOKUP(E98,[1]!Bookings[Booking Name],[1]!Bookings[Nationality])</f>
        <v>India</v>
      </c>
      <c r="Q98" s="4">
        <f>_xlfn.XLOOKUP(E98,[1]!Bookings[Booking Name],[1]!Bookings[Discount Amount])</f>
        <v>42000</v>
      </c>
      <c r="R98" s="27">
        <f>_xlfn.XLOOKUP(E98,[1]!Bookings[Booking Name],[1]!Bookings[Discount Percentage])</f>
        <v>4.8000000000000001E-2</v>
      </c>
      <c r="S98" s="4">
        <f>_xlfn.XLOOKUP(E98,[1]!Bookings[Booking Name],[1]!Bookings[Final Sale Value After Discount])</f>
        <v>833000</v>
      </c>
      <c r="T98" s="4">
        <f>_xlfn.XLOOKUP(E98,[1]!Bookings[Booking Name],[1]!Bookings[Inv Final Sale Value])</f>
        <v>875000</v>
      </c>
      <c r="U98" s="34" t="str">
        <f>_xlfn.XLOOKUP(E98,[1]!Bookings[Booking Name],[1]!Bookings[Sales])</f>
        <v>Aqsa Bhatti</v>
      </c>
      <c r="V98" s="2" t="str">
        <f>_xlfn.XLOOKUP(E98,[1]!Bookings[Booking Name],[1]!Bookings[Agency Name])</f>
        <v>MUHAMMAD SAEEDI REAL ESTATE MANAGEMENT SUPERVISION SERVICES L.L.C</v>
      </c>
      <c r="W98" s="2" t="str">
        <f>_xlfn.XLOOKUP(E98,[1]!Bookings[Booking Name],[1]!Bookings[Booking ID])</f>
        <v>a03J600000FmEA4</v>
      </c>
      <c r="X98" s="2" t="str">
        <f>_xlfn.XLOOKUP(E98,[1]!Bookings[Booking Name],[1]!Bookings[Oracle Id])</f>
        <v>-</v>
      </c>
      <c r="Y98" s="70" t="s">
        <v>209</v>
      </c>
      <c r="Z98" s="18" t="s">
        <v>25</v>
      </c>
      <c r="AA98" s="6">
        <v>0</v>
      </c>
      <c r="AB98" s="35" t="s">
        <v>26</v>
      </c>
      <c r="AC98" s="12" t="s">
        <v>156</v>
      </c>
      <c r="AD98" s="106" t="s">
        <v>391</v>
      </c>
      <c r="AE98" s="28" t="s">
        <v>88</v>
      </c>
      <c r="AF98" s="44" t="s">
        <v>157</v>
      </c>
    </row>
    <row r="99" spans="2:32" ht="50.25" customHeight="1" x14ac:dyDescent="0.3">
      <c r="B99" s="2" t="s">
        <v>158</v>
      </c>
      <c r="C99" s="2">
        <v>45957</v>
      </c>
      <c r="D99" s="2">
        <f>_xlfn.XLOOKUP(E99,[1]!Bookings[Booking Name],[1]!Bookings[Rejected Date])</f>
        <v>45958</v>
      </c>
      <c r="E99" s="40" t="s">
        <v>154</v>
      </c>
      <c r="F99" s="76" t="str">
        <f>_xlfn.XLOOKUP(E99,[1]!Bookings[Booking Name],[1]!Bookings[Booking Status])</f>
        <v>Rejected</v>
      </c>
      <c r="G99" s="2">
        <f>_xlfn.XLOOKUP(E99,[1]!Bookings[Booking Name],[1]!Bookings[Booking Date])</f>
        <v>45825</v>
      </c>
      <c r="H99" s="3">
        <f>_xlfn.XLOOKUP(E99,[1]!Bookings[Booking Name],[1]!Bookings[Booking Aging])</f>
        <v>234</v>
      </c>
      <c r="I99" s="2" t="str">
        <f>_xlfn.XLOOKUP(E99,[1]!Bookings[Booking Name],[1]!Bookings[Project Name])</f>
        <v>Laguna Residence</v>
      </c>
      <c r="J99" s="2" t="str">
        <f>_xlfn.XLOOKUP(E99,[1]!Bookings[Booking Name],[1]!Bookings[Building])</f>
        <v>Tower B</v>
      </c>
      <c r="K99" s="2" t="str">
        <f>_xlfn.XLOOKUP(E99,[1]!Bookings[Booking Name],[1]!Bookings[Bedrooms])</f>
        <v>1 Bedroom</v>
      </c>
      <c r="L99" s="2" t="str">
        <f>_xlfn.XLOOKUP(E99,[1]!Bookings[Booking Name],[1]!Bookings[Unit No.])</f>
        <v>B403</v>
      </c>
      <c r="M99" s="36" t="str">
        <f>_xlfn.XLOOKUP(E99,[1]!Bookings[Booking Name],[1]!Bookings[Inventory Unit Status])</f>
        <v>Booked</v>
      </c>
      <c r="N99" s="2" t="str">
        <f>_xlfn.XLOOKUP(E99,[1]!Bookings[Booking Name],[1]!Bookings[Booking Status])</f>
        <v>Rejected</v>
      </c>
      <c r="O99" s="52" t="str">
        <f>_xlfn.XLOOKUP(E99,[1]!Bookings[Booking Name],[1]!Bookings[Customer Name])</f>
        <v>Yousef Saeed Hamad Dalwan Alketbi</v>
      </c>
      <c r="P99" s="2" t="str">
        <f>_xlfn.XLOOKUP(E99,[1]!Bookings[Booking Name],[1]!Bookings[Nationality])</f>
        <v>United Arab Emirates</v>
      </c>
      <c r="Q99" s="4">
        <f>_xlfn.XLOOKUP(E99,[1]!Bookings[Booking Name],[1]!Bookings[Discount Amount])</f>
        <v>85000</v>
      </c>
      <c r="R99" s="27">
        <f>_xlfn.XLOOKUP(E99,[1]!Bookings[Booking Name],[1]!Bookings[Discount Percentage])</f>
        <v>6.5485362095531588E-2</v>
      </c>
      <c r="S99" s="4">
        <f>_xlfn.XLOOKUP(E99,[1]!Bookings[Booking Name],[1]!Bookings[Final Sale Value After Discount])</f>
        <v>1213000</v>
      </c>
      <c r="T99" s="4">
        <f>_xlfn.XLOOKUP(E99,[1]!Bookings[Booking Name],[1]!Bookings[Inv Final Sale Value])</f>
        <v>1298000</v>
      </c>
      <c r="U99" s="34" t="str">
        <f>_xlfn.XLOOKUP(E99,[1]!Bookings[Booking Name],[1]!Bookings[Sales])</f>
        <v>Feriel Dridi</v>
      </c>
      <c r="V99" s="2" t="str">
        <f>_xlfn.XLOOKUP(E99,[1]!Bookings[Booking Name],[1]!Bookings[Agency Name])</f>
        <v>Eleva Properties LLC</v>
      </c>
      <c r="W99" s="2" t="str">
        <f>_xlfn.XLOOKUP(E99,[1]!Bookings[Booking Name],[1]!Bookings[Booking ID])</f>
        <v>a03J6000009lyri</v>
      </c>
      <c r="X99" s="2" t="str">
        <f>_xlfn.XLOOKUP(E99,[1]!Bookings[Booking Name],[1]!Bookings[Oracle Id])</f>
        <v>-</v>
      </c>
      <c r="Y99" s="70" t="s">
        <v>209</v>
      </c>
      <c r="Z99" s="90">
        <v>50000</v>
      </c>
      <c r="AA99" s="6">
        <v>4.1220115416323165E-2</v>
      </c>
      <c r="AB99" s="41" t="s">
        <v>37</v>
      </c>
      <c r="AC99" s="12" t="s">
        <v>167</v>
      </c>
      <c r="AD99" s="106" t="s">
        <v>390</v>
      </c>
      <c r="AE99" s="41" t="s">
        <v>32</v>
      </c>
      <c r="AF99" s="41" t="s">
        <v>114</v>
      </c>
    </row>
    <row r="100" spans="2:32" ht="50.25" customHeight="1" x14ac:dyDescent="0.3">
      <c r="B100" s="2" t="s">
        <v>158</v>
      </c>
      <c r="C100" s="2">
        <v>45951</v>
      </c>
      <c r="D100" s="2">
        <f>_xlfn.XLOOKUP(E100,[1]!Bookings[Booking Name],[1]!Bookings[Rejected Date])</f>
        <v>45951</v>
      </c>
      <c r="E100" s="39" t="s">
        <v>153</v>
      </c>
      <c r="F100" s="76" t="str">
        <f>_xlfn.XLOOKUP(E100,[1]!Bookings[Booking Name],[1]!Bookings[Booking Status])</f>
        <v>Rejected</v>
      </c>
      <c r="G100" s="2">
        <f>_xlfn.XLOOKUP(E100,[1]!Bookings[Booking Name],[1]!Bookings[Booking Date])</f>
        <v>45930</v>
      </c>
      <c r="H100" s="3">
        <f>_xlfn.XLOOKUP(E100,[1]!Bookings[Booking Name],[1]!Bookings[Booking Aging])</f>
        <v>129</v>
      </c>
      <c r="I100" s="2" t="str">
        <f>_xlfn.XLOOKUP(E100,[1]!Bookings[Booking Name],[1]!Bookings[Project Name])</f>
        <v>Laguna Residence</v>
      </c>
      <c r="J100" s="2" t="str">
        <f>_xlfn.XLOOKUP(E100,[1]!Bookings[Booking Name],[1]!Bookings[Building])</f>
        <v>Tower B</v>
      </c>
      <c r="K100" s="2" t="str">
        <f>_xlfn.XLOOKUP(E100,[1]!Bookings[Booking Name],[1]!Bookings[Bedrooms])</f>
        <v>2 Bedroom</v>
      </c>
      <c r="L100" s="2" t="str">
        <f>_xlfn.XLOOKUP(E100,[1]!Bookings[Booking Name],[1]!Bookings[Unit No.])</f>
        <v>B1208</v>
      </c>
      <c r="M100" s="36" t="str">
        <f>_xlfn.XLOOKUP(E100,[1]!Bookings[Booking Name],[1]!Bookings[Inventory Unit Status])</f>
        <v>Booked</v>
      </c>
      <c r="N100" s="2" t="str">
        <f>_xlfn.XLOOKUP(E100,[1]!Bookings[Booking Name],[1]!Bookings[Booking Status])</f>
        <v>Rejected</v>
      </c>
      <c r="O100" s="52" t="str">
        <f>_xlfn.XLOOKUP(E100,[1]!Bookings[Booking Name],[1]!Bookings[Customer Name])</f>
        <v>Aashish Bindra</v>
      </c>
      <c r="P100" s="2" t="str">
        <f>_xlfn.XLOOKUP(E100,[1]!Bookings[Booking Name],[1]!Bookings[Nationality])</f>
        <v>India</v>
      </c>
      <c r="Q100" s="4">
        <f>_xlfn.XLOOKUP(E100,[1]!Bookings[Booking Name],[1]!Bookings[Discount Amount])</f>
        <v>0</v>
      </c>
      <c r="R100" s="27">
        <f>_xlfn.XLOOKUP(E100,[1]!Bookings[Booking Name],[1]!Bookings[Discount Percentage])</f>
        <v>0</v>
      </c>
      <c r="S100" s="4">
        <f>_xlfn.XLOOKUP(E100,[1]!Bookings[Booking Name],[1]!Bookings[Final Sale Value After Discount])</f>
        <v>1770000</v>
      </c>
      <c r="T100" s="4">
        <f>_xlfn.XLOOKUP(E100,[1]!Bookings[Booking Name],[1]!Bookings[Inv Final Sale Value])</f>
        <v>1770000</v>
      </c>
      <c r="U100" s="34" t="str">
        <f>_xlfn.XLOOKUP(E100,[1]!Bookings[Booking Name],[1]!Bookings[Sales])</f>
        <v>Sumeet Mehta</v>
      </c>
      <c r="V100" s="2" t="str">
        <f>_xlfn.XLOOKUP(E100,[1]!Bookings[Booking Name],[1]!Bookings[Agency Name])</f>
        <v>ANCHORMAN REAL ESTATE L.L.C</v>
      </c>
      <c r="W100" s="2" t="str">
        <f>_xlfn.XLOOKUP(E100,[1]!Bookings[Booking Name],[1]!Bookings[Booking ID])</f>
        <v>a03J600000Bth5b</v>
      </c>
      <c r="X100" s="2" t="str">
        <f>_xlfn.XLOOKUP(E100,[1]!Bookings[Booking Name],[1]!Bookings[Oracle Id])</f>
        <v>-</v>
      </c>
      <c r="Y100" s="70" t="s">
        <v>209</v>
      </c>
      <c r="Z100" s="18" t="s">
        <v>25</v>
      </c>
      <c r="AA100" s="6">
        <v>0</v>
      </c>
      <c r="AB100" s="35" t="s">
        <v>26</v>
      </c>
      <c r="AC100" s="28" t="s">
        <v>93</v>
      </c>
      <c r="AD100" s="14" t="s">
        <v>389</v>
      </c>
      <c r="AE100" s="28" t="s">
        <v>93</v>
      </c>
      <c r="AF100" s="28" t="s">
        <v>96</v>
      </c>
    </row>
    <row r="101" spans="2:32" ht="50.25" customHeight="1" x14ac:dyDescent="0.3">
      <c r="B101" s="2" t="s">
        <v>158</v>
      </c>
      <c r="C101" s="2">
        <v>45951</v>
      </c>
      <c r="D101" s="2">
        <f>_xlfn.XLOOKUP(E101,[1]!Bookings[Booking Name],[1]!Bookings[Rejected Date])</f>
        <v>45951</v>
      </c>
      <c r="E101" s="39" t="s">
        <v>151</v>
      </c>
      <c r="F101" s="76" t="str">
        <f>_xlfn.XLOOKUP(E101,[1]!Bookings[Booking Name],[1]!Bookings[Booking Status])</f>
        <v>Rejected</v>
      </c>
      <c r="G101" s="2">
        <f>_xlfn.XLOOKUP(E101,[1]!Bookings[Booking Name],[1]!Bookings[Booking Date])</f>
        <v>45929</v>
      </c>
      <c r="H101" s="3">
        <f>_xlfn.XLOOKUP(E101,[1]!Bookings[Booking Name],[1]!Bookings[Booking Aging])</f>
        <v>130</v>
      </c>
      <c r="I101" s="2" t="str">
        <f>_xlfn.XLOOKUP(E101,[1]!Bookings[Booking Name],[1]!Bookings[Project Name])</f>
        <v>Laguna Residence</v>
      </c>
      <c r="J101" s="2" t="str">
        <f>_xlfn.XLOOKUP(E101,[1]!Bookings[Booking Name],[1]!Bookings[Building])</f>
        <v>Tower B</v>
      </c>
      <c r="K101" s="2" t="str">
        <f>_xlfn.XLOOKUP(E101,[1]!Bookings[Booking Name],[1]!Bookings[Bedrooms])</f>
        <v>Studio</v>
      </c>
      <c r="L101" s="2" t="str">
        <f>_xlfn.XLOOKUP(E101,[1]!Bookings[Booking Name],[1]!Bookings[Unit No.])</f>
        <v>B2503</v>
      </c>
      <c r="M101" s="36" t="str">
        <f>_xlfn.XLOOKUP(E101,[1]!Bookings[Booking Name],[1]!Bookings[Inventory Unit Status])</f>
        <v>SPA Executed</v>
      </c>
      <c r="N101" s="2" t="str">
        <f>_xlfn.XLOOKUP(E101,[1]!Bookings[Booking Name],[1]!Bookings[Booking Status])</f>
        <v>Rejected</v>
      </c>
      <c r="O101" s="52" t="str">
        <f>_xlfn.XLOOKUP(E101,[1]!Bookings[Booking Name],[1]!Bookings[Customer Name])</f>
        <v>Achal Gupta</v>
      </c>
      <c r="P101" s="2" t="str">
        <f>_xlfn.XLOOKUP(E101,[1]!Bookings[Booking Name],[1]!Bookings[Nationality])</f>
        <v>India</v>
      </c>
      <c r="Q101" s="4">
        <f>_xlfn.XLOOKUP(E101,[1]!Bookings[Booking Name],[1]!Bookings[Discount Amount])</f>
        <v>44300</v>
      </c>
      <c r="R101" s="27">
        <f>_xlfn.XLOOKUP(E101,[1]!Bookings[Booking Name],[1]!Bookings[Discount Percentage])</f>
        <v>0.05</v>
      </c>
      <c r="S101" s="4">
        <f>_xlfn.XLOOKUP(E101,[1]!Bookings[Booking Name],[1]!Bookings[Final Sale Value After Discount])</f>
        <v>841700</v>
      </c>
      <c r="T101" s="4">
        <f>_xlfn.XLOOKUP(E101,[1]!Bookings[Booking Name],[1]!Bookings[Inv Final Sale Value])</f>
        <v>886000</v>
      </c>
      <c r="U101" s="34" t="str">
        <f>_xlfn.XLOOKUP(E101,[1]!Bookings[Booking Name],[1]!Bookings[Sales])</f>
        <v>Sumeet Mehta</v>
      </c>
      <c r="V101" s="2" t="str">
        <f>_xlfn.XLOOKUP(E101,[1]!Bookings[Booking Name],[1]!Bookings[Agency Name])</f>
        <v>ANCHORMAN REAL ESTATE L.L.C</v>
      </c>
      <c r="W101" s="2" t="str">
        <f>_xlfn.XLOOKUP(E101,[1]!Bookings[Booking Name],[1]!Bookings[Booking ID])</f>
        <v>a03J600000Btbev</v>
      </c>
      <c r="X101" s="2" t="str">
        <f>_xlfn.XLOOKUP(E101,[1]!Bookings[Booking Name],[1]!Bookings[Oracle Id])</f>
        <v>-</v>
      </c>
      <c r="Y101" s="70" t="s">
        <v>209</v>
      </c>
      <c r="Z101" s="18" t="s">
        <v>25</v>
      </c>
      <c r="AA101" s="6">
        <v>0</v>
      </c>
      <c r="AB101" s="35" t="s">
        <v>26</v>
      </c>
      <c r="AC101" s="28" t="s">
        <v>93</v>
      </c>
      <c r="AD101" s="14" t="s">
        <v>388</v>
      </c>
      <c r="AE101" s="28" t="s">
        <v>93</v>
      </c>
      <c r="AF101" s="28" t="s">
        <v>96</v>
      </c>
    </row>
    <row r="102" spans="2:32" ht="50.25" customHeight="1" x14ac:dyDescent="0.3">
      <c r="B102" s="2" t="s">
        <v>158</v>
      </c>
      <c r="C102" s="2">
        <v>45951</v>
      </c>
      <c r="D102" s="2">
        <f>_xlfn.XLOOKUP(E102,[1]!Bookings[Booking Name],[1]!Bookings[Rejected Date])</f>
        <v>45951</v>
      </c>
      <c r="E102" s="39" t="s">
        <v>150</v>
      </c>
      <c r="F102" s="76" t="str">
        <f>_xlfn.XLOOKUP(E102,[1]!Bookings[Booking Name],[1]!Bookings[Booking Status])</f>
        <v>Rejected</v>
      </c>
      <c r="G102" s="2">
        <f>_xlfn.XLOOKUP(E102,[1]!Bookings[Booking Name],[1]!Bookings[Booking Date])</f>
        <v>45912</v>
      </c>
      <c r="H102" s="3">
        <f>_xlfn.XLOOKUP(E102,[1]!Bookings[Booking Name],[1]!Bookings[Booking Aging])</f>
        <v>147</v>
      </c>
      <c r="I102" s="2" t="str">
        <f>_xlfn.XLOOKUP(E102,[1]!Bookings[Booking Name],[1]!Bookings[Project Name])</f>
        <v>Laguna Residence</v>
      </c>
      <c r="J102" s="2" t="str">
        <f>_xlfn.XLOOKUP(E102,[1]!Bookings[Booking Name],[1]!Bookings[Building])</f>
        <v>Tower A</v>
      </c>
      <c r="K102" s="2" t="str">
        <f>_xlfn.XLOOKUP(E102,[1]!Bookings[Booking Name],[1]!Bookings[Bedrooms])</f>
        <v>3 Bedroom</v>
      </c>
      <c r="L102" s="2" t="str">
        <f>_xlfn.XLOOKUP(E102,[1]!Bookings[Booking Name],[1]!Bookings[Unit No.])</f>
        <v>A107</v>
      </c>
      <c r="M102" s="36" t="str">
        <f>_xlfn.XLOOKUP(E102,[1]!Bookings[Booking Name],[1]!Bookings[Inventory Unit Status])</f>
        <v>Blocked</v>
      </c>
      <c r="N102" s="2" t="str">
        <f>_xlfn.XLOOKUP(E102,[1]!Bookings[Booking Name],[1]!Bookings[Booking Status])</f>
        <v>Rejected</v>
      </c>
      <c r="O102" s="52" t="str">
        <f>_xlfn.XLOOKUP(E102,[1]!Bookings[Booking Name],[1]!Bookings[Customer Name])</f>
        <v>Afrah Mohi Eldin Bilal Ali</v>
      </c>
      <c r="P102" s="2" t="str">
        <f>_xlfn.XLOOKUP(E102,[1]!Bookings[Booking Name],[1]!Bookings[Nationality])</f>
        <v>Sudan</v>
      </c>
      <c r="Q102" s="4">
        <f>_xlfn.XLOOKUP(E102,[1]!Bookings[Booking Name],[1]!Bookings[Discount Amount])</f>
        <v>260600</v>
      </c>
      <c r="R102" s="27">
        <f>_xlfn.XLOOKUP(E102,[1]!Bookings[Booking Name],[1]!Bookings[Discount Percentage])</f>
        <v>0.05</v>
      </c>
      <c r="S102" s="4">
        <f>_xlfn.XLOOKUP(E102,[1]!Bookings[Booking Name],[1]!Bookings[Final Sale Value After Discount])</f>
        <v>4951400</v>
      </c>
      <c r="T102" s="4">
        <f>_xlfn.XLOOKUP(E102,[1]!Bookings[Booking Name],[1]!Bookings[Inv Final Sale Value])</f>
        <v>5212000</v>
      </c>
      <c r="U102" s="34" t="str">
        <f>_xlfn.XLOOKUP(E102,[1]!Bookings[Booking Name],[1]!Bookings[Sales])</f>
        <v>Ahmed Eissa</v>
      </c>
      <c r="V102" s="2" t="str">
        <f>_xlfn.XLOOKUP(E102,[1]!Bookings[Booking Name],[1]!Bookings[Agency Name])</f>
        <v>STARS AND SANDS PROPERTIES L.L.C</v>
      </c>
      <c r="W102" s="2" t="str">
        <f>_xlfn.XLOOKUP(E102,[1]!Bookings[Booking Name],[1]!Bookings[Booking ID])</f>
        <v>a03J600000BsaJy</v>
      </c>
      <c r="X102" s="2" t="str">
        <f>_xlfn.XLOOKUP(E102,[1]!Bookings[Booking Name],[1]!Bookings[Oracle Id])</f>
        <v>-</v>
      </c>
      <c r="Y102" s="70" t="s">
        <v>209</v>
      </c>
      <c r="Z102" s="18" t="s">
        <v>25</v>
      </c>
      <c r="AA102" s="6">
        <v>0</v>
      </c>
      <c r="AB102" s="35" t="s">
        <v>26</v>
      </c>
      <c r="AC102" s="28" t="s">
        <v>93</v>
      </c>
      <c r="AD102" s="14" t="s">
        <v>387</v>
      </c>
      <c r="AE102" s="28" t="s">
        <v>93</v>
      </c>
      <c r="AF102" s="28" t="s">
        <v>96</v>
      </c>
    </row>
    <row r="103" spans="2:32" ht="50.25" customHeight="1" x14ac:dyDescent="0.3">
      <c r="B103" s="2" t="s">
        <v>158</v>
      </c>
      <c r="C103" s="2">
        <v>45951</v>
      </c>
      <c r="D103" s="2">
        <f>_xlfn.XLOOKUP(E103,[1]!Bookings[Booking Name],[1]!Bookings[Rejected Date])</f>
        <v>45951</v>
      </c>
      <c r="E103" s="39" t="s">
        <v>149</v>
      </c>
      <c r="F103" s="76" t="str">
        <f>_xlfn.XLOOKUP(E103,[1]!Bookings[Booking Name],[1]!Bookings[Booking Status])</f>
        <v>Rejected</v>
      </c>
      <c r="G103" s="2">
        <f>_xlfn.XLOOKUP(E103,[1]!Bookings[Booking Name],[1]!Bookings[Booking Date])</f>
        <v>45912</v>
      </c>
      <c r="H103" s="3">
        <f>_xlfn.XLOOKUP(E103,[1]!Bookings[Booking Name],[1]!Bookings[Booking Aging])</f>
        <v>147</v>
      </c>
      <c r="I103" s="2" t="str">
        <f>_xlfn.XLOOKUP(E103,[1]!Bookings[Booking Name],[1]!Bookings[Project Name])</f>
        <v>Laguna Residence</v>
      </c>
      <c r="J103" s="2" t="str">
        <f>_xlfn.XLOOKUP(E103,[1]!Bookings[Booking Name],[1]!Bookings[Building])</f>
        <v>Tower A</v>
      </c>
      <c r="K103" s="2" t="str">
        <f>_xlfn.XLOOKUP(E103,[1]!Bookings[Booking Name],[1]!Bookings[Bedrooms])</f>
        <v>2 Bedroom</v>
      </c>
      <c r="L103" s="2" t="str">
        <f>_xlfn.XLOOKUP(E103,[1]!Bookings[Booking Name],[1]!Bookings[Unit No.])</f>
        <v>A2122</v>
      </c>
      <c r="M103" s="36" t="str">
        <f>_xlfn.XLOOKUP(E103,[1]!Bookings[Booking Name],[1]!Bookings[Inventory Unit Status])</f>
        <v>Booked</v>
      </c>
      <c r="N103" s="2" t="str">
        <f>_xlfn.XLOOKUP(E103,[1]!Bookings[Booking Name],[1]!Bookings[Booking Status])</f>
        <v>Rejected</v>
      </c>
      <c r="O103" s="52" t="str">
        <f>_xlfn.XLOOKUP(E103,[1]!Bookings[Booking Name],[1]!Bookings[Customer Name])</f>
        <v>Sharbel Chehade</v>
      </c>
      <c r="P103" s="2" t="str">
        <f>_xlfn.XLOOKUP(E103,[1]!Bookings[Booking Name],[1]!Bookings[Nationality])</f>
        <v>Australia</v>
      </c>
      <c r="Q103" s="4">
        <f>_xlfn.XLOOKUP(E103,[1]!Bookings[Booking Name],[1]!Bookings[Discount Amount])</f>
        <v>132550</v>
      </c>
      <c r="R103" s="27">
        <f>_xlfn.XLOOKUP(E103,[1]!Bookings[Booking Name],[1]!Bookings[Discount Percentage])</f>
        <v>0.05</v>
      </c>
      <c r="S103" s="4">
        <f>_xlfn.XLOOKUP(E103,[1]!Bookings[Booking Name],[1]!Bookings[Final Sale Value After Discount])</f>
        <v>2518450</v>
      </c>
      <c r="T103" s="4">
        <f>_xlfn.XLOOKUP(E103,[1]!Bookings[Booking Name],[1]!Bookings[Inv Final Sale Value])</f>
        <v>2651000</v>
      </c>
      <c r="U103" s="34" t="str">
        <f>_xlfn.XLOOKUP(E103,[1]!Bookings[Booking Name],[1]!Bookings[Sales])</f>
        <v>Fadwa Belkaid</v>
      </c>
      <c r="V103" s="2" t="str">
        <f>_xlfn.XLOOKUP(E103,[1]!Bookings[Booking Name],[1]!Bookings[Agency Name])</f>
        <v>SYKON PROPERTIES L.L.C</v>
      </c>
      <c r="W103" s="2" t="str">
        <f>_xlfn.XLOOKUP(E103,[1]!Bookings[Booking Name],[1]!Bookings[Booking ID])</f>
        <v>a03J600000BsZmC</v>
      </c>
      <c r="X103" s="2" t="str">
        <f>_xlfn.XLOOKUP(E103,[1]!Bookings[Booking Name],[1]!Bookings[Oracle Id])</f>
        <v>-</v>
      </c>
      <c r="Y103" s="70" t="s">
        <v>209</v>
      </c>
      <c r="Z103" s="18" t="s">
        <v>25</v>
      </c>
      <c r="AA103" s="6">
        <v>0</v>
      </c>
      <c r="AB103" s="35" t="s">
        <v>26</v>
      </c>
      <c r="AC103" s="28" t="s">
        <v>93</v>
      </c>
      <c r="AD103" s="14" t="s">
        <v>386</v>
      </c>
      <c r="AE103" s="28" t="s">
        <v>93</v>
      </c>
      <c r="AF103" s="28" t="s">
        <v>96</v>
      </c>
    </row>
    <row r="104" spans="2:32" ht="50.25" customHeight="1" x14ac:dyDescent="0.3">
      <c r="B104" s="2" t="s">
        <v>158</v>
      </c>
      <c r="C104" s="2">
        <v>45943</v>
      </c>
      <c r="D104" s="2">
        <f>_xlfn.XLOOKUP(E104,[1]!Bookings[Booking Name],[1]!Bookings[Rejected Date])</f>
        <v>45945</v>
      </c>
      <c r="E104" s="39" t="s">
        <v>129</v>
      </c>
      <c r="F104" s="76" t="str">
        <f>_xlfn.XLOOKUP(E104,[1]!Bookings[Booking Name],[1]!Bookings[Booking Status])</f>
        <v>Rejected</v>
      </c>
      <c r="G104" s="2">
        <f>_xlfn.XLOOKUP(E104,[1]!Bookings[Booking Name],[1]!Bookings[Booking Date])</f>
        <v>45903</v>
      </c>
      <c r="H104" s="3">
        <f>_xlfn.XLOOKUP(E104,[1]!Bookings[Booking Name],[1]!Bookings[Booking Aging])</f>
        <v>156</v>
      </c>
      <c r="I104" s="2" t="str">
        <f>_xlfn.XLOOKUP(E104,[1]!Bookings[Booking Name],[1]!Bookings[Project Name])</f>
        <v>Laguna Residence</v>
      </c>
      <c r="J104" s="2" t="str">
        <f>_xlfn.XLOOKUP(E104,[1]!Bookings[Booking Name],[1]!Bookings[Building])</f>
        <v>Tower A</v>
      </c>
      <c r="K104" s="2" t="str">
        <f>_xlfn.XLOOKUP(E104,[1]!Bookings[Booking Name],[1]!Bookings[Bedrooms])</f>
        <v>2 Bedroom</v>
      </c>
      <c r="L104" s="2" t="str">
        <f>_xlfn.XLOOKUP(E104,[1]!Bookings[Booking Name],[1]!Bookings[Unit No.])</f>
        <v>A801</v>
      </c>
      <c r="M104" s="36" t="str">
        <f>_xlfn.XLOOKUP(E104,[1]!Bookings[Booking Name],[1]!Bookings[Inventory Unit Status])</f>
        <v>Blocked</v>
      </c>
      <c r="N104" s="2" t="str">
        <f>_xlfn.XLOOKUP(E104,[1]!Bookings[Booking Name],[1]!Bookings[Booking Status])</f>
        <v>Rejected</v>
      </c>
      <c r="O104" s="52" t="str">
        <f>_xlfn.XLOOKUP(E104,[1]!Bookings[Booking Name],[1]!Bookings[Customer Name])</f>
        <v>Joseph Mallekkattu</v>
      </c>
      <c r="P104" s="2" t="str">
        <f>_xlfn.XLOOKUP(E104,[1]!Bookings[Booking Name],[1]!Bookings[Nationality])</f>
        <v>India</v>
      </c>
      <c r="Q104" s="4">
        <f>_xlfn.XLOOKUP(E104,[1]!Bookings[Booking Name],[1]!Bookings[Discount Amount])</f>
        <v>0</v>
      </c>
      <c r="R104" s="27">
        <f>_xlfn.XLOOKUP(E104,[1]!Bookings[Booking Name],[1]!Bookings[Discount Percentage])</f>
        <v>0</v>
      </c>
      <c r="S104" s="4">
        <f>_xlfn.XLOOKUP(E104,[1]!Bookings[Booking Name],[1]!Bookings[Final Sale Value After Discount])</f>
        <v>2526000</v>
      </c>
      <c r="T104" s="4">
        <f>_xlfn.XLOOKUP(E104,[1]!Bookings[Booking Name],[1]!Bookings[Inv Final Sale Value])</f>
        <v>2526000</v>
      </c>
      <c r="U104" s="34" t="str">
        <f>_xlfn.XLOOKUP(E104,[1]!Bookings[Booking Name],[1]!Bookings[Sales])</f>
        <v>Yasmin Bahader</v>
      </c>
      <c r="V104" s="2" t="str">
        <f>_xlfn.XLOOKUP(E104,[1]!Bookings[Booking Name],[1]!Bookings[Agency Name])</f>
        <v>Poseidon Real Estate LLC</v>
      </c>
      <c r="W104" s="2" t="str">
        <f>_xlfn.XLOOKUP(E104,[1]!Bookings[Booking Name],[1]!Bookings[Booking ID])</f>
        <v>a03J600000Bs0mh</v>
      </c>
      <c r="X104" s="2" t="str">
        <f>_xlfn.XLOOKUP(E104,[1]!Bookings[Booking Name],[1]!Bookings[Oracle Id])</f>
        <v>-</v>
      </c>
      <c r="Y104" s="70" t="s">
        <v>209</v>
      </c>
      <c r="Z104" s="18" t="s">
        <v>25</v>
      </c>
      <c r="AA104" s="6">
        <v>0</v>
      </c>
      <c r="AB104" s="35" t="s">
        <v>26</v>
      </c>
      <c r="AC104" s="28" t="s">
        <v>93</v>
      </c>
      <c r="AD104" s="14" t="s">
        <v>385</v>
      </c>
      <c r="AE104" s="28" t="s">
        <v>93</v>
      </c>
      <c r="AF104" s="28" t="s">
        <v>96</v>
      </c>
    </row>
    <row r="105" spans="2:32" ht="50.25" customHeight="1" x14ac:dyDescent="0.3">
      <c r="B105" s="2" t="s">
        <v>158</v>
      </c>
      <c r="C105" s="2">
        <v>45943</v>
      </c>
      <c r="D105" s="2">
        <f>_xlfn.XLOOKUP(E105,[1]!Bookings[Booking Name],[1]!Bookings[Rejected Date])</f>
        <v>45945</v>
      </c>
      <c r="E105" s="39" t="s">
        <v>124</v>
      </c>
      <c r="F105" s="76" t="str">
        <f>_xlfn.XLOOKUP(E105,[1]!Bookings[Booking Name],[1]!Bookings[Booking Status])</f>
        <v>Rejected</v>
      </c>
      <c r="G105" s="2">
        <f>_xlfn.XLOOKUP(E105,[1]!Bookings[Booking Name],[1]!Bookings[Booking Date])</f>
        <v>45926</v>
      </c>
      <c r="H105" s="3">
        <f>_xlfn.XLOOKUP(E105,[1]!Bookings[Booking Name],[1]!Bookings[Booking Aging])</f>
        <v>133</v>
      </c>
      <c r="I105" s="2" t="str">
        <f>_xlfn.XLOOKUP(E105,[1]!Bookings[Booking Name],[1]!Bookings[Project Name])</f>
        <v>Laguna Residence</v>
      </c>
      <c r="J105" s="2" t="str">
        <f>_xlfn.XLOOKUP(E105,[1]!Bookings[Booking Name],[1]!Bookings[Building])</f>
        <v>Tower A</v>
      </c>
      <c r="K105" s="2" t="str">
        <f>_xlfn.XLOOKUP(E105,[1]!Bookings[Booking Name],[1]!Bookings[Bedrooms])</f>
        <v>2 Bedroom</v>
      </c>
      <c r="L105" s="2" t="str">
        <f>_xlfn.XLOOKUP(E105,[1]!Bookings[Booking Name],[1]!Bookings[Unit No.])</f>
        <v>A2618</v>
      </c>
      <c r="M105" s="36" t="str">
        <f>_xlfn.XLOOKUP(E105,[1]!Bookings[Booking Name],[1]!Bookings[Inventory Unit Status])</f>
        <v>Available</v>
      </c>
      <c r="N105" s="2" t="str">
        <f>_xlfn.XLOOKUP(E105,[1]!Bookings[Booking Name],[1]!Bookings[Booking Status])</f>
        <v>Rejected</v>
      </c>
      <c r="O105" s="52" t="str">
        <f>_xlfn.XLOOKUP(E105,[1]!Bookings[Booking Name],[1]!Bookings[Customer Name])</f>
        <v>Chidinma Joyce Odiaka</v>
      </c>
      <c r="P105" s="2" t="str">
        <f>_xlfn.XLOOKUP(E105,[1]!Bookings[Booking Name],[1]!Bookings[Nationality])</f>
        <v>Nigeria</v>
      </c>
      <c r="Q105" s="4">
        <f>_xlfn.XLOOKUP(E105,[1]!Bookings[Booking Name],[1]!Bookings[Discount Amount])</f>
        <v>0</v>
      </c>
      <c r="R105" s="27">
        <f>_xlfn.XLOOKUP(E105,[1]!Bookings[Booking Name],[1]!Bookings[Discount Percentage])</f>
        <v>0</v>
      </c>
      <c r="S105" s="4">
        <f>_xlfn.XLOOKUP(E105,[1]!Bookings[Booking Name],[1]!Bookings[Final Sale Value After Discount])</f>
        <v>2706000</v>
      </c>
      <c r="T105" s="4">
        <f>_xlfn.XLOOKUP(E105,[1]!Bookings[Booking Name],[1]!Bookings[Inv Final Sale Value])</f>
        <v>2706000</v>
      </c>
      <c r="U105" s="34" t="str">
        <f>_xlfn.XLOOKUP(E105,[1]!Bookings[Booking Name],[1]!Bookings[Sales])</f>
        <v>Hocem Amouri</v>
      </c>
      <c r="V105" s="2" t="str">
        <f>_xlfn.XLOOKUP(E105,[1]!Bookings[Booking Name],[1]!Bookings[Agency Name])</f>
        <v>SKYRAN REAL ESTATE L.L.C</v>
      </c>
      <c r="W105" s="2" t="str">
        <f>_xlfn.XLOOKUP(E105,[1]!Bookings[Booking Name],[1]!Bookings[Booking ID])</f>
        <v>a03J600000BtW0H</v>
      </c>
      <c r="X105" s="2" t="str">
        <f>_xlfn.XLOOKUP(E105,[1]!Bookings[Booking Name],[1]!Bookings[Oracle Id])</f>
        <v>-</v>
      </c>
      <c r="Y105" s="70" t="s">
        <v>209</v>
      </c>
      <c r="Z105" s="18" t="s">
        <v>25</v>
      </c>
      <c r="AA105" s="6">
        <v>0</v>
      </c>
      <c r="AB105" s="35" t="s">
        <v>26</v>
      </c>
      <c r="AC105" s="28" t="s">
        <v>93</v>
      </c>
      <c r="AD105" s="14" t="s">
        <v>384</v>
      </c>
      <c r="AE105" s="28" t="s">
        <v>93</v>
      </c>
      <c r="AF105" s="35" t="s">
        <v>139</v>
      </c>
    </row>
    <row r="106" spans="2:32" ht="50.25" customHeight="1" x14ac:dyDescent="0.3">
      <c r="B106" s="2" t="s">
        <v>158</v>
      </c>
      <c r="C106" s="2">
        <v>45943</v>
      </c>
      <c r="D106" s="2">
        <f>_xlfn.XLOOKUP(E106,[1]!Bookings[Booking Name],[1]!Bookings[Rejected Date])</f>
        <v>45945</v>
      </c>
      <c r="E106" s="39" t="s">
        <v>125</v>
      </c>
      <c r="F106" s="76" t="str">
        <f>_xlfn.XLOOKUP(E106,[1]!Bookings[Booking Name],[1]!Bookings[Booking Status])</f>
        <v>Rejected</v>
      </c>
      <c r="G106" s="2">
        <f>_xlfn.XLOOKUP(E106,[1]!Bookings[Booking Name],[1]!Bookings[Booking Date])</f>
        <v>45925</v>
      </c>
      <c r="H106" s="3">
        <f>_xlfn.XLOOKUP(E106,[1]!Bookings[Booking Name],[1]!Bookings[Booking Aging])</f>
        <v>134</v>
      </c>
      <c r="I106" s="2" t="str">
        <f>_xlfn.XLOOKUP(E106,[1]!Bookings[Booking Name],[1]!Bookings[Project Name])</f>
        <v>Laguna Residence</v>
      </c>
      <c r="J106" s="2" t="str">
        <f>_xlfn.XLOOKUP(E106,[1]!Bookings[Booking Name],[1]!Bookings[Building])</f>
        <v>Tower A</v>
      </c>
      <c r="K106" s="2" t="str">
        <f>_xlfn.XLOOKUP(E106,[1]!Bookings[Booking Name],[1]!Bookings[Bedrooms])</f>
        <v>2 Bedroom</v>
      </c>
      <c r="L106" s="2" t="str">
        <f>_xlfn.XLOOKUP(E106,[1]!Bookings[Booking Name],[1]!Bookings[Unit No.])</f>
        <v>A2718</v>
      </c>
      <c r="M106" s="36" t="str">
        <f>_xlfn.XLOOKUP(E106,[1]!Bookings[Booking Name],[1]!Bookings[Inventory Unit Status])</f>
        <v>Available</v>
      </c>
      <c r="N106" s="2" t="str">
        <f>_xlfn.XLOOKUP(E106,[1]!Bookings[Booking Name],[1]!Bookings[Booking Status])</f>
        <v>Rejected</v>
      </c>
      <c r="O106" s="52" t="str">
        <f>_xlfn.XLOOKUP(E106,[1]!Bookings[Booking Name],[1]!Bookings[Customer Name])</f>
        <v>Abubakar Salihu Sadiq</v>
      </c>
      <c r="P106" s="2" t="str">
        <f>_xlfn.XLOOKUP(E106,[1]!Bookings[Booking Name],[1]!Bookings[Nationality])</f>
        <v>Nigeria</v>
      </c>
      <c r="Q106" s="4">
        <f>_xlfn.XLOOKUP(E106,[1]!Bookings[Booking Name],[1]!Bookings[Discount Amount])</f>
        <v>0</v>
      </c>
      <c r="R106" s="27">
        <f>_xlfn.XLOOKUP(E106,[1]!Bookings[Booking Name],[1]!Bookings[Discount Percentage])</f>
        <v>0</v>
      </c>
      <c r="S106" s="4">
        <f>_xlfn.XLOOKUP(E106,[1]!Bookings[Booking Name],[1]!Bookings[Final Sale Value After Discount])</f>
        <v>2675000</v>
      </c>
      <c r="T106" s="4">
        <f>_xlfn.XLOOKUP(E106,[1]!Bookings[Booking Name],[1]!Bookings[Inv Final Sale Value])</f>
        <v>2675000</v>
      </c>
      <c r="U106" s="34" t="str">
        <f>_xlfn.XLOOKUP(E106,[1]!Bookings[Booking Name],[1]!Bookings[Sales])</f>
        <v>Hocem Amouri</v>
      </c>
      <c r="V106" s="2" t="str">
        <f>_xlfn.XLOOKUP(E106,[1]!Bookings[Booking Name],[1]!Bookings[Agency Name])</f>
        <v>SKYRAN REAL ESTATE L.L.C</v>
      </c>
      <c r="W106" s="2" t="str">
        <f>_xlfn.XLOOKUP(E106,[1]!Bookings[Booking Name],[1]!Bookings[Booking ID])</f>
        <v>a03J600000BtSoj</v>
      </c>
      <c r="X106" s="2" t="str">
        <f>_xlfn.XLOOKUP(E106,[1]!Bookings[Booking Name],[1]!Bookings[Oracle Id])</f>
        <v>-</v>
      </c>
      <c r="Y106" s="70" t="s">
        <v>209</v>
      </c>
      <c r="Z106" s="18" t="s">
        <v>25</v>
      </c>
      <c r="AA106" s="6">
        <v>0</v>
      </c>
      <c r="AB106" s="35" t="s">
        <v>26</v>
      </c>
      <c r="AC106" s="28" t="s">
        <v>93</v>
      </c>
      <c r="AD106" s="14" t="s">
        <v>383</v>
      </c>
      <c r="AE106" s="28" t="s">
        <v>93</v>
      </c>
      <c r="AF106" s="35" t="s">
        <v>139</v>
      </c>
    </row>
    <row r="107" spans="2:32" ht="50.25" customHeight="1" x14ac:dyDescent="0.3">
      <c r="B107" s="2" t="s">
        <v>158</v>
      </c>
      <c r="C107" s="2">
        <v>45943</v>
      </c>
      <c r="D107" s="2">
        <f>_xlfn.XLOOKUP(E107,[1]!Bookings[Booking Name],[1]!Bookings[Rejected Date])</f>
        <v>45945</v>
      </c>
      <c r="E107" s="39" t="s">
        <v>126</v>
      </c>
      <c r="F107" s="76" t="str">
        <f>_xlfn.XLOOKUP(E107,[1]!Bookings[Booking Name],[1]!Bookings[Booking Status])</f>
        <v>Rejected</v>
      </c>
      <c r="G107" s="2">
        <f>_xlfn.XLOOKUP(E107,[1]!Bookings[Booking Name],[1]!Bookings[Booking Date])</f>
        <v>45925</v>
      </c>
      <c r="H107" s="3">
        <f>_xlfn.XLOOKUP(E107,[1]!Bookings[Booking Name],[1]!Bookings[Booking Aging])</f>
        <v>134</v>
      </c>
      <c r="I107" s="2" t="str">
        <f>_xlfn.XLOOKUP(E107,[1]!Bookings[Booking Name],[1]!Bookings[Project Name])</f>
        <v>Laguna Residence</v>
      </c>
      <c r="J107" s="2" t="str">
        <f>_xlfn.XLOOKUP(E107,[1]!Bookings[Booking Name],[1]!Bookings[Building])</f>
        <v>Tower A</v>
      </c>
      <c r="K107" s="2" t="str">
        <f>_xlfn.XLOOKUP(E107,[1]!Bookings[Booking Name],[1]!Bookings[Bedrooms])</f>
        <v>2 Bedroom</v>
      </c>
      <c r="L107" s="2" t="str">
        <f>_xlfn.XLOOKUP(E107,[1]!Bookings[Booking Name],[1]!Bookings[Unit No.])</f>
        <v>A3118</v>
      </c>
      <c r="M107" s="36" t="str">
        <f>_xlfn.XLOOKUP(E107,[1]!Bookings[Booking Name],[1]!Bookings[Inventory Unit Status])</f>
        <v>Available</v>
      </c>
      <c r="N107" s="2" t="str">
        <f>_xlfn.XLOOKUP(E107,[1]!Bookings[Booking Name],[1]!Bookings[Booking Status])</f>
        <v>Rejected</v>
      </c>
      <c r="O107" s="52" t="str">
        <f>_xlfn.XLOOKUP(E107,[1]!Bookings[Booking Name],[1]!Bookings[Customer Name])</f>
        <v>Angela Luyanda Portia Gqirana</v>
      </c>
      <c r="P107" s="2" t="str">
        <f>_xlfn.XLOOKUP(E107,[1]!Bookings[Booking Name],[1]!Bookings[Nationality])</f>
        <v>South Africa</v>
      </c>
      <c r="Q107" s="4">
        <f>_xlfn.XLOOKUP(E107,[1]!Bookings[Booking Name],[1]!Bookings[Discount Amount])</f>
        <v>0</v>
      </c>
      <c r="R107" s="27">
        <f>_xlfn.XLOOKUP(E107,[1]!Bookings[Booking Name],[1]!Bookings[Discount Percentage])</f>
        <v>0</v>
      </c>
      <c r="S107" s="4">
        <f>_xlfn.XLOOKUP(E107,[1]!Bookings[Booking Name],[1]!Bookings[Final Sale Value After Discount])</f>
        <v>2696000</v>
      </c>
      <c r="T107" s="4">
        <f>_xlfn.XLOOKUP(E107,[1]!Bookings[Booking Name],[1]!Bookings[Inv Final Sale Value])</f>
        <v>2696000</v>
      </c>
      <c r="U107" s="34" t="str">
        <f>_xlfn.XLOOKUP(E107,[1]!Bookings[Booking Name],[1]!Bookings[Sales])</f>
        <v>Nihal Mohamed</v>
      </c>
      <c r="V107" s="2" t="str">
        <f>_xlfn.XLOOKUP(E107,[1]!Bookings[Booking Name],[1]!Bookings[Agency Name])</f>
        <v>SKYRAN REAL ESTATE L.L.C</v>
      </c>
      <c r="W107" s="2" t="str">
        <f>_xlfn.XLOOKUP(E107,[1]!Bookings[Booking Name],[1]!Bookings[Booking ID])</f>
        <v>a03J600000BtSnl</v>
      </c>
      <c r="X107" s="2" t="str">
        <f>_xlfn.XLOOKUP(E107,[1]!Bookings[Booking Name],[1]!Bookings[Oracle Id])</f>
        <v>-</v>
      </c>
      <c r="Y107" s="70" t="s">
        <v>209</v>
      </c>
      <c r="Z107" s="18" t="s">
        <v>25</v>
      </c>
      <c r="AA107" s="6">
        <v>0</v>
      </c>
      <c r="AB107" s="35" t="s">
        <v>26</v>
      </c>
      <c r="AC107" s="28" t="s">
        <v>93</v>
      </c>
      <c r="AD107" s="14" t="s">
        <v>382</v>
      </c>
      <c r="AE107" s="28" t="s">
        <v>93</v>
      </c>
      <c r="AF107" s="35" t="s">
        <v>139</v>
      </c>
    </row>
    <row r="108" spans="2:32" ht="50.25" customHeight="1" x14ac:dyDescent="0.3">
      <c r="B108" s="2" t="s">
        <v>158</v>
      </c>
      <c r="C108" s="2">
        <v>45938</v>
      </c>
      <c r="D108" s="2">
        <f>_xlfn.XLOOKUP(E108,[1]!Bookings[Booking Name],[1]!Bookings[Rejected Date])</f>
        <v>45938</v>
      </c>
      <c r="E108" s="39" t="s">
        <v>119</v>
      </c>
      <c r="F108" s="76" t="str">
        <f>_xlfn.XLOOKUP(E108,[1]!Bookings[Booking Name],[1]!Bookings[Booking Status])</f>
        <v>Rejected</v>
      </c>
      <c r="G108" s="2">
        <f>_xlfn.XLOOKUP(E108,[1]!Bookings[Booking Name],[1]!Bookings[Booking Date])</f>
        <v>45937</v>
      </c>
      <c r="H108" s="3">
        <f>_xlfn.XLOOKUP(E108,[1]!Bookings[Booking Name],[1]!Bookings[Booking Aging])</f>
        <v>122</v>
      </c>
      <c r="I108" s="2" t="str">
        <f>_xlfn.XLOOKUP(E108,[1]!Bookings[Booking Name],[1]!Bookings[Project Name])</f>
        <v>Laguna Residence</v>
      </c>
      <c r="J108" s="2" t="str">
        <f>_xlfn.XLOOKUP(E108,[1]!Bookings[Booking Name],[1]!Bookings[Building])</f>
        <v>Tower B</v>
      </c>
      <c r="K108" s="2" t="str">
        <f>_xlfn.XLOOKUP(E108,[1]!Bookings[Booking Name],[1]!Bookings[Bedrooms])</f>
        <v>Studio</v>
      </c>
      <c r="L108" s="2" t="str">
        <f>_xlfn.XLOOKUP(E108,[1]!Bookings[Booking Name],[1]!Bookings[Unit No.])</f>
        <v>B1205</v>
      </c>
      <c r="M108" s="36" t="str">
        <f>_xlfn.XLOOKUP(E108,[1]!Bookings[Booking Name],[1]!Bookings[Inventory Unit Status])</f>
        <v>SPA Executed</v>
      </c>
      <c r="N108" s="2" t="str">
        <f>_xlfn.XLOOKUP(E108,[1]!Bookings[Booking Name],[1]!Bookings[Booking Status])</f>
        <v>Rejected</v>
      </c>
      <c r="O108" s="52" t="str">
        <f>_xlfn.XLOOKUP(E108,[1]!Bookings[Booking Name],[1]!Bookings[Customer Name])</f>
        <v>Haaris Aslam Selia</v>
      </c>
      <c r="P108" s="2" t="str">
        <f>_xlfn.XLOOKUP(E108,[1]!Bookings[Booking Name],[1]!Bookings[Nationality])</f>
        <v>India</v>
      </c>
      <c r="Q108" s="4">
        <f>_xlfn.XLOOKUP(E108,[1]!Bookings[Booking Name],[1]!Bookings[Discount Amount])</f>
        <v>0</v>
      </c>
      <c r="R108" s="27">
        <f>_xlfn.XLOOKUP(E108,[1]!Bookings[Booking Name],[1]!Bookings[Discount Percentage])</f>
        <v>0</v>
      </c>
      <c r="S108" s="4">
        <f>_xlfn.XLOOKUP(E108,[1]!Bookings[Booking Name],[1]!Bookings[Final Sale Value After Discount])</f>
        <v>755000</v>
      </c>
      <c r="T108" s="4">
        <f>_xlfn.XLOOKUP(E108,[1]!Bookings[Booking Name],[1]!Bookings[Inv Final Sale Value])</f>
        <v>755000</v>
      </c>
      <c r="U108" s="34" t="str">
        <f>_xlfn.XLOOKUP(E108,[1]!Bookings[Booking Name],[1]!Bookings[Sales])</f>
        <v>Amal El Gendy</v>
      </c>
      <c r="V108" s="2" t="str">
        <f>_xlfn.XLOOKUP(E108,[1]!Bookings[Booking Name],[1]!Bookings[Agency Name])</f>
        <v>R E M REAL ESTATE BROKER OWNED BY MUNA SAYED SAEED ALHASHEMI</v>
      </c>
      <c r="W108" s="2" t="str">
        <f>_xlfn.XLOOKUP(E108,[1]!Bookings[Booking Name],[1]!Bookings[Booking ID])</f>
        <v>a03J600000Bu1f5</v>
      </c>
      <c r="X108" s="2" t="str">
        <f>_xlfn.XLOOKUP(E108,[1]!Bookings[Booking Name],[1]!Bookings[Oracle Id])</f>
        <v>-</v>
      </c>
      <c r="Y108" s="70" t="s">
        <v>209</v>
      </c>
      <c r="Z108" s="18" t="s">
        <v>25</v>
      </c>
      <c r="AA108" s="6">
        <v>0</v>
      </c>
      <c r="AB108" s="35" t="s">
        <v>26</v>
      </c>
      <c r="AC108" s="12" t="s">
        <v>130</v>
      </c>
      <c r="AD108" s="106" t="s">
        <v>381</v>
      </c>
      <c r="AE108" s="35" t="s">
        <v>131</v>
      </c>
      <c r="AF108" s="35" t="s">
        <v>132</v>
      </c>
    </row>
    <row r="109" spans="2:32" ht="50.25" customHeight="1" x14ac:dyDescent="0.3">
      <c r="B109" s="2" t="s">
        <v>158</v>
      </c>
      <c r="C109" s="2">
        <v>45937</v>
      </c>
      <c r="D109" s="2">
        <f>_xlfn.XLOOKUP(E109,[1]!Bookings[Booking Name],[1]!Bookings[Rejected Date])</f>
        <v>45939</v>
      </c>
      <c r="E109" s="39" t="s">
        <v>120</v>
      </c>
      <c r="F109" s="76" t="str">
        <f>_xlfn.XLOOKUP(E109,[1]!Bookings[Booking Name],[1]!Bookings[Booking Status])</f>
        <v>Rejected</v>
      </c>
      <c r="G109" s="2">
        <f>_xlfn.XLOOKUP(E109,[1]!Bookings[Booking Name],[1]!Bookings[Booking Date])</f>
        <v>45936</v>
      </c>
      <c r="H109" s="3">
        <f>_xlfn.XLOOKUP(E109,[1]!Bookings[Booking Name],[1]!Bookings[Booking Aging])</f>
        <v>123</v>
      </c>
      <c r="I109" s="2" t="str">
        <f>_xlfn.XLOOKUP(E109,[1]!Bookings[Booking Name],[1]!Bookings[Project Name])</f>
        <v>Laguna Residence</v>
      </c>
      <c r="J109" s="2" t="str">
        <f>_xlfn.XLOOKUP(E109,[1]!Bookings[Booking Name],[1]!Bookings[Building])</f>
        <v>Tower B</v>
      </c>
      <c r="K109" s="2" t="str">
        <f>_xlfn.XLOOKUP(E109,[1]!Bookings[Booking Name],[1]!Bookings[Bedrooms])</f>
        <v>1 Bedroom</v>
      </c>
      <c r="L109" s="2" t="str">
        <f>_xlfn.XLOOKUP(E109,[1]!Bookings[Booking Name],[1]!Bookings[Unit No.])</f>
        <v>B1103</v>
      </c>
      <c r="M109" s="36" t="str">
        <f>_xlfn.XLOOKUP(E109,[1]!Bookings[Booking Name],[1]!Bookings[Inventory Unit Status])</f>
        <v>Available</v>
      </c>
      <c r="N109" s="2" t="str">
        <f>_xlfn.XLOOKUP(E109,[1]!Bookings[Booking Name],[1]!Bookings[Booking Status])</f>
        <v>Rejected</v>
      </c>
      <c r="O109" s="52" t="str">
        <f>_xlfn.XLOOKUP(E109,[1]!Bookings[Booking Name],[1]!Bookings[Customer Name])</f>
        <v>Basel Amin Yahia</v>
      </c>
      <c r="P109" s="2" t="str">
        <f>_xlfn.XLOOKUP(E109,[1]!Bookings[Booking Name],[1]!Bookings[Nationality])</f>
        <v>Syria</v>
      </c>
      <c r="Q109" s="4">
        <f>_xlfn.XLOOKUP(E109,[1]!Bookings[Booking Name],[1]!Bookings[Discount Amount])</f>
        <v>63000</v>
      </c>
      <c r="R109" s="27">
        <f>_xlfn.XLOOKUP(E109,[1]!Bookings[Booking Name],[1]!Bookings[Discount Percentage])</f>
        <v>3.9647577092511016E-2</v>
      </c>
      <c r="S109" s="4">
        <f>_xlfn.XLOOKUP(E109,[1]!Bookings[Booking Name],[1]!Bookings[Final Sale Value After Discount])</f>
        <v>1526000</v>
      </c>
      <c r="T109" s="4">
        <f>_xlfn.XLOOKUP(E109,[1]!Bookings[Booking Name],[1]!Bookings[Inv Final Sale Value])</f>
        <v>1589000</v>
      </c>
      <c r="U109" s="34" t="str">
        <f>_xlfn.XLOOKUP(E109,[1]!Bookings[Booking Name],[1]!Bookings[Sales])</f>
        <v>Fadi Ismander</v>
      </c>
      <c r="V109" s="2" t="str">
        <f>_xlfn.XLOOKUP(E109,[1]!Bookings[Booking Name],[1]!Bookings[Agency Name])</f>
        <v>RISE PROPERTIES L.L.C</v>
      </c>
      <c r="W109" s="2" t="str">
        <f>_xlfn.XLOOKUP(E109,[1]!Bookings[Booking Name],[1]!Bookings[Booking ID])</f>
        <v>a03J600000Bty49</v>
      </c>
      <c r="X109" s="2" t="str">
        <f>_xlfn.XLOOKUP(E109,[1]!Bookings[Booking Name],[1]!Bookings[Oracle Id])</f>
        <v>-</v>
      </c>
      <c r="Y109" s="70" t="s">
        <v>209</v>
      </c>
      <c r="Z109" s="18" t="s">
        <v>25</v>
      </c>
      <c r="AA109" s="6">
        <v>0</v>
      </c>
      <c r="AB109" s="35" t="s">
        <v>26</v>
      </c>
      <c r="AC109" s="12" t="s">
        <v>32</v>
      </c>
      <c r="AD109" s="106" t="s">
        <v>380</v>
      </c>
      <c r="AE109" s="28" t="s">
        <v>32</v>
      </c>
      <c r="AF109" s="29" t="s">
        <v>97</v>
      </c>
    </row>
    <row r="110" spans="2:32" ht="50.25" customHeight="1" x14ac:dyDescent="0.3">
      <c r="B110" s="2" t="s">
        <v>158</v>
      </c>
      <c r="C110" s="2">
        <v>45936</v>
      </c>
      <c r="D110" s="2">
        <f>_xlfn.XLOOKUP(E110,[1]!Bookings[Booking Name],[1]!Bookings[Rejected Date])</f>
        <v>45939</v>
      </c>
      <c r="E110" s="39" t="s">
        <v>122</v>
      </c>
      <c r="F110" s="76" t="str">
        <f>_xlfn.XLOOKUP(E110,[1]!Bookings[Booking Name],[1]!Bookings[Booking Status])</f>
        <v>Rejected</v>
      </c>
      <c r="G110" s="2">
        <f>_xlfn.XLOOKUP(E110,[1]!Bookings[Booking Name],[1]!Bookings[Booking Date])</f>
        <v>45930</v>
      </c>
      <c r="H110" s="3">
        <f>_xlfn.XLOOKUP(E110,[1]!Bookings[Booking Name],[1]!Bookings[Booking Aging])</f>
        <v>129</v>
      </c>
      <c r="I110" s="2" t="str">
        <f>_xlfn.XLOOKUP(E110,[1]!Bookings[Booking Name],[1]!Bookings[Project Name])</f>
        <v>Do Dubai Island</v>
      </c>
      <c r="J110" s="2" t="str">
        <f>_xlfn.XLOOKUP(E110,[1]!Bookings[Booking Name],[1]!Bookings[Building])</f>
        <v>Tower 1</v>
      </c>
      <c r="K110" s="2" t="str">
        <f>_xlfn.XLOOKUP(E110,[1]!Bookings[Booking Name],[1]!Bookings[Bedrooms])</f>
        <v>1 Bedroom</v>
      </c>
      <c r="L110" s="2" t="str">
        <f>_xlfn.XLOOKUP(E110,[1]!Bookings[Booking Name],[1]!Bookings[Unit No.])</f>
        <v>316</v>
      </c>
      <c r="M110" s="36" t="str">
        <f>_xlfn.XLOOKUP(E110,[1]!Bookings[Booking Name],[1]!Bookings[Inventory Unit Status])</f>
        <v>Blocked</v>
      </c>
      <c r="N110" s="2" t="str">
        <f>_xlfn.XLOOKUP(E110,[1]!Bookings[Booking Name],[1]!Bookings[Booking Status])</f>
        <v>Rejected</v>
      </c>
      <c r="O110" s="52" t="str">
        <f>_xlfn.XLOOKUP(E110,[1]!Bookings[Booking Name],[1]!Bookings[Customer Name])</f>
        <v>Soufian Chamlal</v>
      </c>
      <c r="P110" s="2" t="str">
        <f>_xlfn.XLOOKUP(E110,[1]!Bookings[Booking Name],[1]!Bookings[Nationality])</f>
        <v>Netherlands</v>
      </c>
      <c r="Q110" s="4">
        <f>_xlfn.XLOOKUP(E110,[1]!Bookings[Booking Name],[1]!Bookings[Discount Amount])</f>
        <v>0</v>
      </c>
      <c r="R110" s="27">
        <f>_xlfn.XLOOKUP(E110,[1]!Bookings[Booking Name],[1]!Bookings[Discount Percentage])</f>
        <v>0</v>
      </c>
      <c r="S110" s="4">
        <f>_xlfn.XLOOKUP(E110,[1]!Bookings[Booking Name],[1]!Bookings[Final Sale Value After Discount])</f>
        <v>2218000</v>
      </c>
      <c r="T110" s="4">
        <f>_xlfn.XLOOKUP(E110,[1]!Bookings[Booking Name],[1]!Bookings[Inv Final Sale Value])</f>
        <v>2218000</v>
      </c>
      <c r="U110" s="34" t="str">
        <f>_xlfn.XLOOKUP(E110,[1]!Bookings[Booking Name],[1]!Bookings[Sales])</f>
        <v>Joudy Shaker</v>
      </c>
      <c r="V110" s="2" t="str">
        <f>_xlfn.XLOOKUP(E110,[1]!Bookings[Booking Name],[1]!Bookings[Agency Name])</f>
        <v>GLOBEX REAL ESTATE L L C</v>
      </c>
      <c r="W110" s="2" t="str">
        <f>_xlfn.XLOOKUP(E110,[1]!Bookings[Booking Name],[1]!Bookings[Booking ID])</f>
        <v>a03J600000BtgwE</v>
      </c>
      <c r="X110" s="2" t="str">
        <f>_xlfn.XLOOKUP(E110,[1]!Bookings[Booking Name],[1]!Bookings[Oracle Id])</f>
        <v>-</v>
      </c>
      <c r="Y110" s="70" t="s">
        <v>209</v>
      </c>
      <c r="Z110" s="18" t="s">
        <v>25</v>
      </c>
      <c r="AA110" s="6">
        <v>0</v>
      </c>
      <c r="AB110" s="35" t="s">
        <v>26</v>
      </c>
      <c r="AC110" s="12" t="s">
        <v>134</v>
      </c>
      <c r="AD110" s="106" t="s">
        <v>379</v>
      </c>
      <c r="AE110" s="28" t="s">
        <v>93</v>
      </c>
      <c r="AF110" s="35" t="s">
        <v>139</v>
      </c>
    </row>
    <row r="111" spans="2:32" ht="50.25" customHeight="1" x14ac:dyDescent="0.3">
      <c r="B111" s="2" t="s">
        <v>158</v>
      </c>
      <c r="C111" s="2">
        <v>45936</v>
      </c>
      <c r="D111" s="2">
        <f>_xlfn.XLOOKUP(E111,[1]!Bookings[Booking Name],[1]!Bookings[Rejected Date])</f>
        <v>45939</v>
      </c>
      <c r="E111" s="39" t="s">
        <v>123</v>
      </c>
      <c r="F111" s="76" t="str">
        <f>_xlfn.XLOOKUP(E111,[1]!Bookings[Booking Name],[1]!Bookings[Booking Status])</f>
        <v>Rejected</v>
      </c>
      <c r="G111" s="2">
        <f>_xlfn.XLOOKUP(E111,[1]!Bookings[Booking Name],[1]!Bookings[Booking Date])</f>
        <v>45930</v>
      </c>
      <c r="H111" s="3">
        <f>_xlfn.XLOOKUP(E111,[1]!Bookings[Booking Name],[1]!Bookings[Booking Aging])</f>
        <v>129</v>
      </c>
      <c r="I111" s="2" t="str">
        <f>_xlfn.XLOOKUP(E111,[1]!Bookings[Booking Name],[1]!Bookings[Project Name])</f>
        <v>Laguna Residence</v>
      </c>
      <c r="J111" s="2" t="str">
        <f>_xlfn.XLOOKUP(E111,[1]!Bookings[Booking Name],[1]!Bookings[Building])</f>
        <v>Tower A</v>
      </c>
      <c r="K111" s="2" t="str">
        <f>_xlfn.XLOOKUP(E111,[1]!Bookings[Booking Name],[1]!Bookings[Bedrooms])</f>
        <v>2 Bedroom</v>
      </c>
      <c r="L111" s="2" t="str">
        <f>_xlfn.XLOOKUP(E111,[1]!Bookings[Booking Name],[1]!Bookings[Unit No.])</f>
        <v>A2107</v>
      </c>
      <c r="M111" s="36" t="str">
        <f>_xlfn.XLOOKUP(E111,[1]!Bookings[Booking Name],[1]!Bookings[Inventory Unit Status])</f>
        <v>Booked</v>
      </c>
      <c r="N111" s="2" t="str">
        <f>_xlfn.XLOOKUP(E111,[1]!Bookings[Booking Name],[1]!Bookings[Booking Status])</f>
        <v>Rejected</v>
      </c>
      <c r="O111" s="52" t="str">
        <f>_xlfn.XLOOKUP(E111,[1]!Bookings[Booking Name],[1]!Bookings[Customer Name])</f>
        <v>Soufian Chamlal</v>
      </c>
      <c r="P111" s="2" t="str">
        <f>_xlfn.XLOOKUP(E111,[1]!Bookings[Booking Name],[1]!Bookings[Nationality])</f>
        <v>Netherlands</v>
      </c>
      <c r="Q111" s="4">
        <f>_xlfn.XLOOKUP(E111,[1]!Bookings[Booking Name],[1]!Bookings[Discount Amount])</f>
        <v>0</v>
      </c>
      <c r="R111" s="27">
        <f>_xlfn.XLOOKUP(E111,[1]!Bookings[Booking Name],[1]!Bookings[Discount Percentage])</f>
        <v>0</v>
      </c>
      <c r="S111" s="4">
        <f>_xlfn.XLOOKUP(E111,[1]!Bookings[Booking Name],[1]!Bookings[Final Sale Value After Discount])</f>
        <v>1917000</v>
      </c>
      <c r="T111" s="4">
        <f>_xlfn.XLOOKUP(E111,[1]!Bookings[Booking Name],[1]!Bookings[Inv Final Sale Value])</f>
        <v>1917000</v>
      </c>
      <c r="U111" s="34" t="str">
        <f>_xlfn.XLOOKUP(E111,[1]!Bookings[Booking Name],[1]!Bookings[Sales])</f>
        <v>Joudy Shaker</v>
      </c>
      <c r="V111" s="2" t="str">
        <f>_xlfn.XLOOKUP(E111,[1]!Bookings[Booking Name],[1]!Bookings[Agency Name])</f>
        <v>GLOBEX REAL ESTATE L L C</v>
      </c>
      <c r="W111" s="2" t="str">
        <f>_xlfn.XLOOKUP(E111,[1]!Bookings[Booking Name],[1]!Bookings[Booking ID])</f>
        <v>a03J600000Btgwh</v>
      </c>
      <c r="X111" s="2" t="str">
        <f>_xlfn.XLOOKUP(E111,[1]!Bookings[Booking Name],[1]!Bookings[Oracle Id])</f>
        <v>-</v>
      </c>
      <c r="Y111" s="70" t="s">
        <v>209</v>
      </c>
      <c r="Z111" s="18" t="s">
        <v>25</v>
      </c>
      <c r="AA111" s="6">
        <v>0</v>
      </c>
      <c r="AB111" s="35" t="s">
        <v>26</v>
      </c>
      <c r="AC111" s="12" t="s">
        <v>134</v>
      </c>
      <c r="AD111" s="106" t="s">
        <v>378</v>
      </c>
      <c r="AE111" s="28" t="s">
        <v>93</v>
      </c>
      <c r="AF111" s="35" t="s">
        <v>139</v>
      </c>
    </row>
    <row r="112" spans="2:32" ht="50.25" customHeight="1" x14ac:dyDescent="0.3">
      <c r="B112" s="2" t="s">
        <v>158</v>
      </c>
      <c r="C112" s="2">
        <v>45934</v>
      </c>
      <c r="D112" s="2">
        <f>_xlfn.XLOOKUP(E112,[1]!Bookings[Booking Name],[1]!Bookings[Rejected Date])</f>
        <v>45937</v>
      </c>
      <c r="E112" s="39" t="s">
        <v>127</v>
      </c>
      <c r="F112" s="76" t="str">
        <f>_xlfn.XLOOKUP(E112,[1]!Bookings[Booking Name],[1]!Bookings[Booking Status])</f>
        <v>Rejected</v>
      </c>
      <c r="G112" s="2">
        <f>_xlfn.XLOOKUP(E112,[1]!Bookings[Booking Name],[1]!Bookings[Booking Date])</f>
        <v>45919</v>
      </c>
      <c r="H112" s="3">
        <f>_xlfn.XLOOKUP(E112,[1]!Bookings[Booking Name],[1]!Bookings[Booking Aging])</f>
        <v>140</v>
      </c>
      <c r="I112" s="2" t="str">
        <f>_xlfn.XLOOKUP(E112,[1]!Bookings[Booking Name],[1]!Bookings[Project Name])</f>
        <v>Laguna Residence</v>
      </c>
      <c r="J112" s="2" t="str">
        <f>_xlfn.XLOOKUP(E112,[1]!Bookings[Booking Name],[1]!Bookings[Building])</f>
        <v>Tower A</v>
      </c>
      <c r="K112" s="2" t="str">
        <f>_xlfn.XLOOKUP(E112,[1]!Bookings[Booking Name],[1]!Bookings[Bedrooms])</f>
        <v>2 Bedroom</v>
      </c>
      <c r="L112" s="2" t="str">
        <f>_xlfn.XLOOKUP(E112,[1]!Bookings[Booking Name],[1]!Bookings[Unit No.])</f>
        <v>A4005</v>
      </c>
      <c r="M112" s="36" t="str">
        <f>_xlfn.XLOOKUP(E112,[1]!Bookings[Booking Name],[1]!Bookings[Inventory Unit Status])</f>
        <v>Blocked</v>
      </c>
      <c r="N112" s="2" t="str">
        <f>_xlfn.XLOOKUP(E112,[1]!Bookings[Booking Name],[1]!Bookings[Booking Status])</f>
        <v>Rejected</v>
      </c>
      <c r="O112" s="52" t="str">
        <f>_xlfn.XLOOKUP(E112,[1]!Bookings[Booking Name],[1]!Bookings[Customer Name])</f>
        <v>Ibrahim Caner Ozger</v>
      </c>
      <c r="P112" s="2" t="str">
        <f>_xlfn.XLOOKUP(E112,[1]!Bookings[Booking Name],[1]!Bookings[Nationality])</f>
        <v>Turkey</v>
      </c>
      <c r="Q112" s="4">
        <f>_xlfn.XLOOKUP(E112,[1]!Bookings[Booking Name],[1]!Bookings[Discount Amount])</f>
        <v>250354</v>
      </c>
      <c r="R112" s="27">
        <f>_xlfn.XLOOKUP(E112,[1]!Bookings[Booking Name],[1]!Bookings[Discount Percentage])</f>
        <v>9.4401960784313732E-2</v>
      </c>
      <c r="S112" s="4">
        <f>_xlfn.XLOOKUP(E112,[1]!Bookings[Booking Name],[1]!Bookings[Final Sale Value After Discount])</f>
        <v>2401646</v>
      </c>
      <c r="T112" s="4">
        <f>_xlfn.XLOOKUP(E112,[1]!Bookings[Booking Name],[1]!Bookings[Inv Final Sale Value])</f>
        <v>2652000</v>
      </c>
      <c r="U112" s="34" t="str">
        <f>_xlfn.XLOOKUP(E112,[1]!Bookings[Booking Name],[1]!Bookings[Sales])</f>
        <v>Mariam Shakuhi</v>
      </c>
      <c r="V112" s="2" t="str">
        <f>_xlfn.XLOOKUP(E112,[1]!Bookings[Booking Name],[1]!Bookings[Agency Name])</f>
        <v/>
      </c>
      <c r="W112" s="2" t="str">
        <f>_xlfn.XLOOKUP(E112,[1]!Bookings[Booking Name],[1]!Bookings[Booking ID])</f>
        <v>a03J600000Bsxl8</v>
      </c>
      <c r="X112" s="2" t="str">
        <f>_xlfn.XLOOKUP(E112,[1]!Bookings[Booking Name],[1]!Bookings[Oracle Id])</f>
        <v>-</v>
      </c>
      <c r="Y112" s="70" t="s">
        <v>209</v>
      </c>
      <c r="Z112" s="90">
        <v>10000</v>
      </c>
      <c r="AA112" s="6">
        <v>4.1638109862985632E-3</v>
      </c>
      <c r="AB112" s="35" t="s">
        <v>31</v>
      </c>
      <c r="AC112" s="12" t="s">
        <v>135</v>
      </c>
      <c r="AD112" s="106" t="s">
        <v>377</v>
      </c>
      <c r="AE112" s="28" t="s">
        <v>88</v>
      </c>
      <c r="AF112" s="35" t="s">
        <v>137</v>
      </c>
    </row>
    <row r="113" spans="2:32" ht="50.25" customHeight="1" x14ac:dyDescent="0.3">
      <c r="B113" s="2" t="s">
        <v>158</v>
      </c>
      <c r="C113" s="2">
        <v>45934</v>
      </c>
      <c r="D113" s="2">
        <f>_xlfn.XLOOKUP(E113,[1]!Bookings[Booking Name],[1]!Bookings[Rejected Date])</f>
        <v>45937</v>
      </c>
      <c r="E113" s="39" t="s">
        <v>128</v>
      </c>
      <c r="F113" s="76" t="str">
        <f>_xlfn.XLOOKUP(E113,[1]!Bookings[Booking Name],[1]!Bookings[Booking Status])</f>
        <v>Rejected</v>
      </c>
      <c r="G113" s="2">
        <f>_xlfn.XLOOKUP(E113,[1]!Bookings[Booking Name],[1]!Bookings[Booking Date])</f>
        <v>45919</v>
      </c>
      <c r="H113" s="3">
        <f>_xlfn.XLOOKUP(E113,[1]!Bookings[Booking Name],[1]!Bookings[Booking Aging])</f>
        <v>140</v>
      </c>
      <c r="I113" s="2" t="str">
        <f>_xlfn.XLOOKUP(E113,[1]!Bookings[Booking Name],[1]!Bookings[Project Name])</f>
        <v>Laguna Residence</v>
      </c>
      <c r="J113" s="2" t="str">
        <f>_xlfn.XLOOKUP(E113,[1]!Bookings[Booking Name],[1]!Bookings[Building])</f>
        <v>Tower A</v>
      </c>
      <c r="K113" s="2" t="str">
        <f>_xlfn.XLOOKUP(E113,[1]!Bookings[Booking Name],[1]!Bookings[Bedrooms])</f>
        <v>2 Bedroom</v>
      </c>
      <c r="L113" s="2" t="str">
        <f>_xlfn.XLOOKUP(E113,[1]!Bookings[Booking Name],[1]!Bookings[Unit No.])</f>
        <v>A4105</v>
      </c>
      <c r="M113" s="36" t="str">
        <f>_xlfn.XLOOKUP(E113,[1]!Bookings[Booking Name],[1]!Bookings[Inventory Unit Status])</f>
        <v>Blocked</v>
      </c>
      <c r="N113" s="2" t="str">
        <f>_xlfn.XLOOKUP(E113,[1]!Bookings[Booking Name],[1]!Bookings[Booking Status])</f>
        <v>Rejected</v>
      </c>
      <c r="O113" s="52" t="str">
        <f>_xlfn.XLOOKUP(E113,[1]!Bookings[Booking Name],[1]!Bookings[Customer Name])</f>
        <v>Muhammed Devvud</v>
      </c>
      <c r="P113" s="2" t="str">
        <f>_xlfn.XLOOKUP(E113,[1]!Bookings[Booking Name],[1]!Bookings[Nationality])</f>
        <v>Turkey</v>
      </c>
      <c r="Q113" s="4">
        <f>_xlfn.XLOOKUP(E113,[1]!Bookings[Booking Name],[1]!Bookings[Discount Amount])</f>
        <v>208880</v>
      </c>
      <c r="R113" s="27">
        <f>_xlfn.XLOOKUP(E113,[1]!Bookings[Booking Name],[1]!Bookings[Discount Percentage])</f>
        <v>0.08</v>
      </c>
      <c r="S113" s="4">
        <f>_xlfn.XLOOKUP(E113,[1]!Bookings[Booking Name],[1]!Bookings[Final Sale Value After Discount])</f>
        <v>2402120</v>
      </c>
      <c r="T113" s="4">
        <f>_xlfn.XLOOKUP(E113,[1]!Bookings[Booking Name],[1]!Bookings[Inv Final Sale Value])</f>
        <v>2611000</v>
      </c>
      <c r="U113" s="34" t="str">
        <f>_xlfn.XLOOKUP(E113,[1]!Bookings[Booking Name],[1]!Bookings[Sales])</f>
        <v>Mariam Shakuhi</v>
      </c>
      <c r="V113" s="2" t="str">
        <f>_xlfn.XLOOKUP(E113,[1]!Bookings[Booking Name],[1]!Bookings[Agency Name])</f>
        <v/>
      </c>
      <c r="W113" s="2" t="str">
        <f>_xlfn.XLOOKUP(E113,[1]!Bookings[Booking Name],[1]!Bookings[Booking ID])</f>
        <v>a03J600000Bsxkr</v>
      </c>
      <c r="X113" s="2" t="str">
        <f>_xlfn.XLOOKUP(E113,[1]!Bookings[Booking Name],[1]!Bookings[Oracle Id])</f>
        <v>-</v>
      </c>
      <c r="Y113" s="70" t="s">
        <v>209</v>
      </c>
      <c r="Z113" s="90">
        <v>10000</v>
      </c>
      <c r="AA113" s="6">
        <v>4.1629893593991977E-3</v>
      </c>
      <c r="AB113" s="35" t="s">
        <v>31</v>
      </c>
      <c r="AC113" s="12" t="s">
        <v>136</v>
      </c>
      <c r="AD113" s="106" t="s">
        <v>376</v>
      </c>
      <c r="AE113" s="28" t="s">
        <v>88</v>
      </c>
      <c r="AF113" s="35" t="s">
        <v>138</v>
      </c>
    </row>
    <row r="114" spans="2:32" ht="50.25" customHeight="1" x14ac:dyDescent="0.3">
      <c r="B114" s="2" t="s">
        <v>158</v>
      </c>
      <c r="C114" s="2">
        <v>45933</v>
      </c>
      <c r="D114" s="2">
        <f>_xlfn.XLOOKUP(E114,[1]!Bookings[Booking Name],[1]!Bookings[Rejected Date])</f>
        <v>45936</v>
      </c>
      <c r="E114" s="39" t="s">
        <v>121</v>
      </c>
      <c r="F114" s="76" t="str">
        <f>_xlfn.XLOOKUP(E114,[1]!Bookings[Booking Name],[1]!Bookings[Booking Status])</f>
        <v>Rejected</v>
      </c>
      <c r="G114" s="2">
        <f>_xlfn.XLOOKUP(E114,[1]!Bookings[Booking Name],[1]!Bookings[Booking Date])</f>
        <v>45933</v>
      </c>
      <c r="H114" s="3">
        <f>_xlfn.XLOOKUP(E114,[1]!Bookings[Booking Name],[1]!Bookings[Booking Aging])</f>
        <v>126</v>
      </c>
      <c r="I114" s="2" t="str">
        <f>_xlfn.XLOOKUP(E114,[1]!Bookings[Booking Name],[1]!Bookings[Project Name])</f>
        <v>Laguna Residence</v>
      </c>
      <c r="J114" s="2" t="str">
        <f>_xlfn.XLOOKUP(E114,[1]!Bookings[Booking Name],[1]!Bookings[Building])</f>
        <v>Tower B</v>
      </c>
      <c r="K114" s="2" t="str">
        <f>_xlfn.XLOOKUP(E114,[1]!Bookings[Booking Name],[1]!Bookings[Bedrooms])</f>
        <v>2 Bedroom</v>
      </c>
      <c r="L114" s="2" t="str">
        <f>_xlfn.XLOOKUP(E114,[1]!Bookings[Booking Name],[1]!Bookings[Unit No.])</f>
        <v>B2402</v>
      </c>
      <c r="M114" s="36" t="str">
        <f>_xlfn.XLOOKUP(E114,[1]!Bookings[Booking Name],[1]!Bookings[Inventory Unit Status])</f>
        <v>SPA Executed</v>
      </c>
      <c r="N114" s="2" t="str">
        <f>_xlfn.XLOOKUP(E114,[1]!Bookings[Booking Name],[1]!Bookings[Booking Status])</f>
        <v>Rejected</v>
      </c>
      <c r="O114" s="52" t="str">
        <f>_xlfn.XLOOKUP(E114,[1]!Bookings[Booking Name],[1]!Bookings[Customer Name])</f>
        <v>Rami Kamaleldin Elnour Fadul</v>
      </c>
      <c r="P114" s="2" t="str">
        <f>_xlfn.XLOOKUP(E114,[1]!Bookings[Booking Name],[1]!Bookings[Nationality])</f>
        <v>Sudan</v>
      </c>
      <c r="Q114" s="4">
        <f>_xlfn.XLOOKUP(E114,[1]!Bookings[Booking Name],[1]!Bookings[Discount Amount])</f>
        <v>0</v>
      </c>
      <c r="R114" s="27">
        <f>_xlfn.XLOOKUP(E114,[1]!Bookings[Booking Name],[1]!Bookings[Discount Percentage])</f>
        <v>0</v>
      </c>
      <c r="S114" s="4">
        <f>_xlfn.XLOOKUP(E114,[1]!Bookings[Booking Name],[1]!Bookings[Final Sale Value After Discount])</f>
        <v>2252000</v>
      </c>
      <c r="T114" s="4">
        <f>_xlfn.XLOOKUP(E114,[1]!Bookings[Booking Name],[1]!Bookings[Inv Final Sale Value])</f>
        <v>2252000</v>
      </c>
      <c r="U114" s="34" t="str">
        <f>_xlfn.XLOOKUP(E114,[1]!Bookings[Booking Name],[1]!Bookings[Sales])</f>
        <v>Mohamed El Shimy</v>
      </c>
      <c r="V114" s="2" t="str">
        <f>_xlfn.XLOOKUP(E114,[1]!Bookings[Booking Name],[1]!Bookings[Agency Name])</f>
        <v>Eleva Properties LLC</v>
      </c>
      <c r="W114" s="2" t="str">
        <f>_xlfn.XLOOKUP(E114,[1]!Bookings[Booking Name],[1]!Bookings[Booking ID])</f>
        <v>a03J600000Btrkg</v>
      </c>
      <c r="X114" s="2" t="str">
        <f>_xlfn.XLOOKUP(E114,[1]!Bookings[Booking Name],[1]!Bookings[Oracle Id])</f>
        <v>-</v>
      </c>
      <c r="Y114" s="70" t="s">
        <v>209</v>
      </c>
      <c r="Z114" s="18" t="s">
        <v>25</v>
      </c>
      <c r="AA114" s="6">
        <v>0</v>
      </c>
      <c r="AB114" s="35" t="s">
        <v>26</v>
      </c>
      <c r="AC114" s="12" t="s">
        <v>140</v>
      </c>
      <c r="AD114" s="106" t="s">
        <v>329</v>
      </c>
      <c r="AE114" s="35" t="s">
        <v>141</v>
      </c>
      <c r="AF114" s="38" t="s">
        <v>148</v>
      </c>
    </row>
    <row r="115" spans="2:32" ht="50.25" customHeight="1" x14ac:dyDescent="0.3">
      <c r="B115" s="2" t="s">
        <v>159</v>
      </c>
      <c r="C115" s="2">
        <v>45930</v>
      </c>
      <c r="D115" s="2">
        <f>_xlfn.XLOOKUP(E115,[1]!Bookings[Booking Name],[1]!Bookings[Rejected Date])</f>
        <v>45930</v>
      </c>
      <c r="E115" s="39" t="s">
        <v>91</v>
      </c>
      <c r="F115" s="76" t="str">
        <f>_xlfn.XLOOKUP(E115,[1]!Bookings[Booking Name],[1]!Bookings[Booking Status])</f>
        <v>Rejected</v>
      </c>
      <c r="G115" s="2">
        <f>_xlfn.XLOOKUP(E115,[1]!Bookings[Booking Name],[1]!Bookings[Booking Date])</f>
        <v>45897</v>
      </c>
      <c r="H115" s="3">
        <f>_xlfn.XLOOKUP(E115,[1]!Bookings[Booking Name],[1]!Bookings[Booking Aging])</f>
        <v>162</v>
      </c>
      <c r="I115" s="2" t="str">
        <f>_xlfn.XLOOKUP(E115,[1]!Bookings[Booking Name],[1]!Bookings[Project Name])</f>
        <v>Do Dubai Island</v>
      </c>
      <c r="J115" s="2" t="str">
        <f>_xlfn.XLOOKUP(E115,[1]!Bookings[Booking Name],[1]!Bookings[Building])</f>
        <v>Tower 1</v>
      </c>
      <c r="K115" s="2" t="str">
        <f>_xlfn.XLOOKUP(E115,[1]!Bookings[Booking Name],[1]!Bookings[Bedrooms])</f>
        <v>Studio</v>
      </c>
      <c r="L115" s="2" t="str">
        <f>_xlfn.XLOOKUP(E115,[1]!Bookings[Booking Name],[1]!Bookings[Unit No.])</f>
        <v>110</v>
      </c>
      <c r="M115" s="36" t="str">
        <f>_xlfn.XLOOKUP(E115,[1]!Bookings[Booking Name],[1]!Bookings[Inventory Unit Status])</f>
        <v>SPA Executed</v>
      </c>
      <c r="N115" s="2" t="str">
        <f>_xlfn.XLOOKUP(E115,[1]!Bookings[Booking Name],[1]!Bookings[Booking Status])</f>
        <v>Rejected</v>
      </c>
      <c r="O115" s="52" t="str">
        <f>_xlfn.XLOOKUP(E115,[1]!Bookings[Booking Name],[1]!Bookings[Customer Name])</f>
        <v>Stanislav Krulic</v>
      </c>
      <c r="P115" s="2" t="str">
        <f>_xlfn.XLOOKUP(E115,[1]!Bookings[Booking Name],[1]!Bookings[Nationality])</f>
        <v>Croatia</v>
      </c>
      <c r="Q115" s="4">
        <f>_xlfn.XLOOKUP(E115,[1]!Bookings[Booking Name],[1]!Bookings[Discount Amount])</f>
        <v>19000</v>
      </c>
      <c r="R115" s="27">
        <f>_xlfn.XLOOKUP(E115,[1]!Bookings[Booking Name],[1]!Bookings[Discount Percentage])</f>
        <v>1.52E-2</v>
      </c>
      <c r="S115" s="4">
        <f>_xlfn.XLOOKUP(E115,[1]!Bookings[Booking Name],[1]!Bookings[Final Sale Value After Discount])</f>
        <v>1231000</v>
      </c>
      <c r="T115" s="4">
        <f>_xlfn.XLOOKUP(E115,[1]!Bookings[Booking Name],[1]!Bookings[Inv Final Sale Value])</f>
        <v>1250000</v>
      </c>
      <c r="U115" s="34" t="str">
        <f>_xlfn.XLOOKUP(E115,[1]!Bookings[Booking Name],[1]!Bookings[Sales])</f>
        <v>Zeynep Mustekin</v>
      </c>
      <c r="V115" s="2" t="str">
        <f>_xlfn.XLOOKUP(E115,[1]!Bookings[Booking Name],[1]!Bookings[Agency Name])</f>
        <v>CAMELIA REAL ESTATE</v>
      </c>
      <c r="W115" s="2" t="str">
        <f>_xlfn.XLOOKUP(E115,[1]!Bookings[Booking Name],[1]!Bookings[Booking ID])</f>
        <v>a03J600000Brhg4</v>
      </c>
      <c r="X115" s="2" t="str">
        <f>_xlfn.XLOOKUP(E115,[1]!Bookings[Booking Name],[1]!Bookings[Oracle Id])</f>
        <v>-</v>
      </c>
      <c r="Y115" s="70" t="s">
        <v>209</v>
      </c>
      <c r="Z115" s="90">
        <v>50000</v>
      </c>
      <c r="AA115" s="6">
        <v>4.0617384240454912E-2</v>
      </c>
      <c r="AB115" s="30" t="s">
        <v>31</v>
      </c>
      <c r="AC115" s="28" t="s">
        <v>93</v>
      </c>
      <c r="AD115" s="14" t="s">
        <v>328</v>
      </c>
      <c r="AE115" s="28" t="s">
        <v>93</v>
      </c>
      <c r="AF115" s="28" t="s">
        <v>96</v>
      </c>
    </row>
    <row r="116" spans="2:32" ht="50.25" customHeight="1" x14ac:dyDescent="0.3">
      <c r="B116" s="2" t="s">
        <v>159</v>
      </c>
      <c r="C116" s="2">
        <v>45930</v>
      </c>
      <c r="D116" s="2">
        <f>_xlfn.XLOOKUP(E116,[1]!Bookings[Booking Name],[1]!Bookings[Rejected Date])</f>
        <v>45939</v>
      </c>
      <c r="E116" s="39" t="s">
        <v>84</v>
      </c>
      <c r="F116" s="76" t="str">
        <f>_xlfn.XLOOKUP(E116,[1]!Bookings[Booking Name],[1]!Bookings[Booking Status])</f>
        <v>Rejected</v>
      </c>
      <c r="G116" s="2">
        <f>_xlfn.XLOOKUP(E116,[1]!Bookings[Booking Name],[1]!Bookings[Booking Date])</f>
        <v>45909</v>
      </c>
      <c r="H116" s="3">
        <f>_xlfn.XLOOKUP(E116,[1]!Bookings[Booking Name],[1]!Bookings[Booking Aging])</f>
        <v>150</v>
      </c>
      <c r="I116" s="2" t="str">
        <f>_xlfn.XLOOKUP(E116,[1]!Bookings[Booking Name],[1]!Bookings[Project Name])</f>
        <v>Laguna Residence</v>
      </c>
      <c r="J116" s="2" t="str">
        <f>_xlfn.XLOOKUP(E116,[1]!Bookings[Booking Name],[1]!Bookings[Building])</f>
        <v>Tower A</v>
      </c>
      <c r="K116" s="2" t="str">
        <f>_xlfn.XLOOKUP(E116,[1]!Bookings[Booking Name],[1]!Bookings[Bedrooms])</f>
        <v>Studio</v>
      </c>
      <c r="L116" s="2" t="str">
        <f>_xlfn.XLOOKUP(E116,[1]!Bookings[Booking Name],[1]!Bookings[Unit No.])</f>
        <v>A2112</v>
      </c>
      <c r="M116" s="36" t="str">
        <f>_xlfn.XLOOKUP(E116,[1]!Bookings[Booking Name],[1]!Bookings[Inventory Unit Status])</f>
        <v>Blocked</v>
      </c>
      <c r="N116" s="2" t="str">
        <f>_xlfn.XLOOKUP(E116,[1]!Bookings[Booking Name],[1]!Bookings[Booking Status])</f>
        <v>Rejected</v>
      </c>
      <c r="O116" s="52" t="str">
        <f>_xlfn.XLOOKUP(E116,[1]!Bookings[Booking Name],[1]!Bookings[Customer Name])</f>
        <v>Shiv Gupta</v>
      </c>
      <c r="P116" s="2" t="str">
        <f>_xlfn.XLOOKUP(E116,[1]!Bookings[Booking Name],[1]!Bookings[Nationality])</f>
        <v>India</v>
      </c>
      <c r="Q116" s="4">
        <f>_xlfn.XLOOKUP(E116,[1]!Bookings[Booking Name],[1]!Bookings[Discount Amount])</f>
        <v>41900</v>
      </c>
      <c r="R116" s="27">
        <f>_xlfn.XLOOKUP(E116,[1]!Bookings[Booking Name],[1]!Bookings[Discount Percentage])</f>
        <v>0.05</v>
      </c>
      <c r="S116" s="4">
        <f>_xlfn.XLOOKUP(E116,[1]!Bookings[Booking Name],[1]!Bookings[Final Sale Value After Discount])</f>
        <v>796100</v>
      </c>
      <c r="T116" s="4">
        <f>_xlfn.XLOOKUP(E116,[1]!Bookings[Booking Name],[1]!Bookings[Inv Final Sale Value])</f>
        <v>838000</v>
      </c>
      <c r="U116" s="34" t="str">
        <f>_xlfn.XLOOKUP(E116,[1]!Bookings[Booking Name],[1]!Bookings[Sales])</f>
        <v>Jude Kwakye</v>
      </c>
      <c r="V116" s="2" t="str">
        <f>_xlfn.XLOOKUP(E116,[1]!Bookings[Booking Name],[1]!Bookings[Agency Name])</f>
        <v>SOVEEREIGN ASSETS REAL ESTATE L.L.C</v>
      </c>
      <c r="W116" s="2" t="str">
        <f>_xlfn.XLOOKUP(E116,[1]!Bookings[Booking Name],[1]!Bookings[Booking ID])</f>
        <v>a03J600000BsM90</v>
      </c>
      <c r="X116" s="2" t="str">
        <f>_xlfn.XLOOKUP(E116,[1]!Bookings[Booking Name],[1]!Bookings[Oracle Id])</f>
        <v>-</v>
      </c>
      <c r="Y116" s="70" t="s">
        <v>209</v>
      </c>
      <c r="Z116" s="90">
        <v>19942.25</v>
      </c>
      <c r="AA116" s="6">
        <v>2.5049930913201859E-2</v>
      </c>
      <c r="AB116" s="30" t="s">
        <v>31</v>
      </c>
      <c r="AC116" s="12" t="s">
        <v>85</v>
      </c>
      <c r="AD116" s="106" t="s">
        <v>327</v>
      </c>
      <c r="AE116" s="28" t="s">
        <v>32</v>
      </c>
      <c r="AF116" s="29" t="s">
        <v>114</v>
      </c>
    </row>
    <row r="117" spans="2:32" ht="50.25" customHeight="1" x14ac:dyDescent="0.3">
      <c r="B117" s="2" t="s">
        <v>159</v>
      </c>
      <c r="C117" s="2">
        <v>45929</v>
      </c>
      <c r="D117" s="2">
        <f>_xlfn.XLOOKUP(E117,[1]!Bookings[Booking Name],[1]!Bookings[Rejected Date])</f>
        <v>45939</v>
      </c>
      <c r="E117" s="39" t="s">
        <v>82</v>
      </c>
      <c r="F117" s="76" t="str">
        <f>_xlfn.XLOOKUP(E117,[1]!Bookings[Booking Name],[1]!Bookings[Booking Status])</f>
        <v>Rejected</v>
      </c>
      <c r="G117" s="2">
        <f>_xlfn.XLOOKUP(E117,[1]!Bookings[Booking Name],[1]!Bookings[Booking Date])</f>
        <v>45807</v>
      </c>
      <c r="H117" s="3">
        <f>_xlfn.XLOOKUP(E117,[1]!Bookings[Booking Name],[1]!Bookings[Booking Aging])</f>
        <v>252</v>
      </c>
      <c r="I117" s="2" t="str">
        <f>_xlfn.XLOOKUP(E117,[1]!Bookings[Booking Name],[1]!Bookings[Project Name])</f>
        <v>Laguna Residence</v>
      </c>
      <c r="J117" s="2" t="str">
        <f>_xlfn.XLOOKUP(E117,[1]!Bookings[Booking Name],[1]!Bookings[Building])</f>
        <v>Tower B</v>
      </c>
      <c r="K117" s="2" t="str">
        <f>_xlfn.XLOOKUP(E117,[1]!Bookings[Booking Name],[1]!Bookings[Bedrooms])</f>
        <v>Studio</v>
      </c>
      <c r="L117" s="2" t="str">
        <f>_xlfn.XLOOKUP(E117,[1]!Bookings[Booking Name],[1]!Bookings[Unit No.])</f>
        <v>B2006</v>
      </c>
      <c r="M117" s="36" t="str">
        <f>_xlfn.XLOOKUP(E117,[1]!Bookings[Booking Name],[1]!Bookings[Inventory Unit Status])</f>
        <v>SPA Executed</v>
      </c>
      <c r="N117" s="2" t="str">
        <f>_xlfn.XLOOKUP(E117,[1]!Bookings[Booking Name],[1]!Bookings[Booking Status])</f>
        <v>Rejected</v>
      </c>
      <c r="O117" s="52" t="str">
        <f>_xlfn.XLOOKUP(E117,[1]!Bookings[Booking Name],[1]!Bookings[Customer Name])</f>
        <v>Hawbir Hassan</v>
      </c>
      <c r="P117" s="2" t="str">
        <f>_xlfn.XLOOKUP(E117,[1]!Bookings[Booking Name],[1]!Bookings[Nationality])</f>
        <v>Netherlands</v>
      </c>
      <c r="Q117" s="4">
        <f>_xlfn.XLOOKUP(E117,[1]!Bookings[Booking Name],[1]!Bookings[Discount Amount])</f>
        <v>55800</v>
      </c>
      <c r="R117" s="27">
        <f>_xlfn.XLOOKUP(E117,[1]!Bookings[Booking Name],[1]!Bookings[Discount Percentage])</f>
        <v>6.6192170818505341E-2</v>
      </c>
      <c r="S117" s="4">
        <f>_xlfn.XLOOKUP(E117,[1]!Bookings[Booking Name],[1]!Bookings[Final Sale Value After Discount])</f>
        <v>787200</v>
      </c>
      <c r="T117" s="4">
        <f>_xlfn.XLOOKUP(E117,[1]!Bookings[Booking Name],[1]!Bookings[Inv Final Sale Value])</f>
        <v>843000</v>
      </c>
      <c r="U117" s="34" t="str">
        <f>_xlfn.XLOOKUP(E117,[1]!Bookings[Booking Name],[1]!Bookings[Sales])</f>
        <v>Joudy Shaker</v>
      </c>
      <c r="V117" s="2" t="str">
        <f>_xlfn.XLOOKUP(E117,[1]!Bookings[Booking Name],[1]!Bookings[Agency Name])</f>
        <v>GLOBEX REAL ESTATE L L C</v>
      </c>
      <c r="W117" s="2" t="str">
        <f>_xlfn.XLOOKUP(E117,[1]!Bookings[Booking Name],[1]!Bookings[Booking ID])</f>
        <v>a03J6000009l02q</v>
      </c>
      <c r="X117" s="2" t="str">
        <f>_xlfn.XLOOKUP(E117,[1]!Bookings[Booking Name],[1]!Bookings[Oracle Id])</f>
        <v>-</v>
      </c>
      <c r="Y117" s="70" t="s">
        <v>209</v>
      </c>
      <c r="Z117" s="90">
        <v>192000</v>
      </c>
      <c r="AA117" s="6">
        <v>0.24390243902439024</v>
      </c>
      <c r="AB117" s="26" t="s">
        <v>31</v>
      </c>
      <c r="AC117" s="12" t="s">
        <v>428</v>
      </c>
      <c r="AD117" s="106" t="s">
        <v>326</v>
      </c>
      <c r="AE117" s="28" t="s">
        <v>87</v>
      </c>
      <c r="AF117" s="28" t="s">
        <v>95</v>
      </c>
    </row>
    <row r="118" spans="2:32" ht="50.25" customHeight="1" x14ac:dyDescent="0.3">
      <c r="B118" s="2" t="s">
        <v>159</v>
      </c>
      <c r="C118" s="2">
        <v>45929</v>
      </c>
      <c r="D118" s="2">
        <f>_xlfn.XLOOKUP(E118,[1]!Bookings[Booking Name],[1]!Bookings[Rejected Date])</f>
        <v>45939</v>
      </c>
      <c r="E118" s="39" t="s">
        <v>81</v>
      </c>
      <c r="F118" s="76" t="str">
        <f>_xlfn.XLOOKUP(E118,[1]!Bookings[Booking Name],[1]!Bookings[Booking Status])</f>
        <v>Rejected</v>
      </c>
      <c r="G118" s="2">
        <f>_xlfn.XLOOKUP(E118,[1]!Bookings[Booking Name],[1]!Bookings[Booking Date])</f>
        <v>45807</v>
      </c>
      <c r="H118" s="3">
        <f>_xlfn.XLOOKUP(E118,[1]!Bookings[Booking Name],[1]!Bookings[Booking Aging])</f>
        <v>252</v>
      </c>
      <c r="I118" s="2" t="str">
        <f>_xlfn.XLOOKUP(E118,[1]!Bookings[Booking Name],[1]!Bookings[Project Name])</f>
        <v>Laguna Residence</v>
      </c>
      <c r="J118" s="2" t="str">
        <f>_xlfn.XLOOKUP(E118,[1]!Bookings[Booking Name],[1]!Bookings[Building])</f>
        <v>Tower B</v>
      </c>
      <c r="K118" s="2" t="str">
        <f>_xlfn.XLOOKUP(E118,[1]!Bookings[Booking Name],[1]!Bookings[Bedrooms])</f>
        <v>Studio</v>
      </c>
      <c r="L118" s="2" t="str">
        <f>_xlfn.XLOOKUP(E118,[1]!Bookings[Booking Name],[1]!Bookings[Unit No.])</f>
        <v>B1906</v>
      </c>
      <c r="M118" s="36" t="str">
        <f>_xlfn.XLOOKUP(E118,[1]!Bookings[Booking Name],[1]!Bookings[Inventory Unit Status])</f>
        <v>SPA Executed</v>
      </c>
      <c r="N118" s="2" t="str">
        <f>_xlfn.XLOOKUP(E118,[1]!Bookings[Booking Name],[1]!Bookings[Booking Status])</f>
        <v>Rejected</v>
      </c>
      <c r="O118" s="52" t="str">
        <f>_xlfn.XLOOKUP(E118,[1]!Bookings[Booking Name],[1]!Bookings[Customer Name])</f>
        <v>Hawbir Hassan</v>
      </c>
      <c r="P118" s="2" t="str">
        <f>_xlfn.XLOOKUP(E118,[1]!Bookings[Booking Name],[1]!Bookings[Nationality])</f>
        <v>Netherlands</v>
      </c>
      <c r="Q118" s="4">
        <f>_xlfn.XLOOKUP(E118,[1]!Bookings[Booking Name],[1]!Bookings[Discount Amount])</f>
        <v>56000</v>
      </c>
      <c r="R118" s="27">
        <f>_xlfn.XLOOKUP(E118,[1]!Bookings[Booking Name],[1]!Bookings[Discount Percentage])</f>
        <v>6.5420560747663545E-2</v>
      </c>
      <c r="S118" s="4">
        <f>_xlfn.XLOOKUP(E118,[1]!Bookings[Booking Name],[1]!Bookings[Final Sale Value After Discount])</f>
        <v>800000</v>
      </c>
      <c r="T118" s="4">
        <f>_xlfn.XLOOKUP(E118,[1]!Bookings[Booking Name],[1]!Bookings[Inv Final Sale Value])</f>
        <v>856000</v>
      </c>
      <c r="U118" s="34" t="str">
        <f>_xlfn.XLOOKUP(E118,[1]!Bookings[Booking Name],[1]!Bookings[Sales])</f>
        <v>Joudy Shaker</v>
      </c>
      <c r="V118" s="2" t="str">
        <f>_xlfn.XLOOKUP(E118,[1]!Bookings[Booking Name],[1]!Bookings[Agency Name])</f>
        <v>GLOBEX REAL ESTATE L L C</v>
      </c>
      <c r="W118" s="2" t="str">
        <f>_xlfn.XLOOKUP(E118,[1]!Bookings[Booking Name],[1]!Bookings[Booking ID])</f>
        <v>a03J6000009l01j</v>
      </c>
      <c r="X118" s="2" t="str">
        <f>_xlfn.XLOOKUP(E118,[1]!Bookings[Booking Name],[1]!Bookings[Oracle Id])</f>
        <v>-</v>
      </c>
      <c r="Y118" s="70" t="s">
        <v>209</v>
      </c>
      <c r="Z118" s="90">
        <v>188928</v>
      </c>
      <c r="AA118" s="6">
        <v>0.23616000000000001</v>
      </c>
      <c r="AB118" s="26" t="s">
        <v>31</v>
      </c>
      <c r="AC118" s="12" t="s">
        <v>429</v>
      </c>
      <c r="AD118" s="106" t="s">
        <v>325</v>
      </c>
      <c r="AE118" s="28" t="s">
        <v>87</v>
      </c>
      <c r="AF118" s="28" t="s">
        <v>98</v>
      </c>
    </row>
    <row r="119" spans="2:32" ht="50.25" customHeight="1" x14ac:dyDescent="0.3">
      <c r="B119" s="2" t="s">
        <v>159</v>
      </c>
      <c r="C119" s="2">
        <v>45929</v>
      </c>
      <c r="D119" s="2">
        <f>_xlfn.XLOOKUP(E119,[1]!Bookings[Booking Name],[1]!Bookings[Rejected Date])</f>
        <v>45929</v>
      </c>
      <c r="E119" s="39" t="s">
        <v>80</v>
      </c>
      <c r="F119" s="76" t="str">
        <f>_xlfn.XLOOKUP(E119,[1]!Bookings[Booking Name],[1]!Bookings[Booking Status])</f>
        <v>Rejected</v>
      </c>
      <c r="G119" s="2">
        <f>_xlfn.XLOOKUP(E119,[1]!Bookings[Booking Name],[1]!Bookings[Booking Date])</f>
        <v>45864</v>
      </c>
      <c r="H119" s="3">
        <f>_xlfn.XLOOKUP(E119,[1]!Bookings[Booking Name],[1]!Bookings[Booking Aging])</f>
        <v>195</v>
      </c>
      <c r="I119" s="2" t="str">
        <f>_xlfn.XLOOKUP(E119,[1]!Bookings[Booking Name],[1]!Bookings[Project Name])</f>
        <v>Laguna Residence</v>
      </c>
      <c r="J119" s="2" t="str">
        <f>_xlfn.XLOOKUP(E119,[1]!Bookings[Booking Name],[1]!Bookings[Building])</f>
        <v>Tower A</v>
      </c>
      <c r="K119" s="2" t="str">
        <f>_xlfn.XLOOKUP(E119,[1]!Bookings[Booking Name],[1]!Bookings[Bedrooms])</f>
        <v>Studio</v>
      </c>
      <c r="L119" s="2" t="str">
        <f>_xlfn.XLOOKUP(E119,[1]!Bookings[Booking Name],[1]!Bookings[Unit No.])</f>
        <v>A419</v>
      </c>
      <c r="M119" s="36" t="str">
        <f>_xlfn.XLOOKUP(E119,[1]!Bookings[Booking Name],[1]!Bookings[Inventory Unit Status])</f>
        <v>Booked</v>
      </c>
      <c r="N119" s="2" t="str">
        <f>_xlfn.XLOOKUP(E119,[1]!Bookings[Booking Name],[1]!Bookings[Booking Status])</f>
        <v>Rejected</v>
      </c>
      <c r="O119" s="52" t="str">
        <f>_xlfn.XLOOKUP(E119,[1]!Bookings[Booking Name],[1]!Bookings[Customer Name])</f>
        <v>Kerstin Schimkus</v>
      </c>
      <c r="P119" s="2" t="str">
        <f>_xlfn.XLOOKUP(E119,[1]!Bookings[Booking Name],[1]!Bookings[Nationality])</f>
        <v>Germany</v>
      </c>
      <c r="Q119" s="4">
        <f>_xlfn.XLOOKUP(E119,[1]!Bookings[Booking Name],[1]!Bookings[Discount Amount])</f>
        <v>55025</v>
      </c>
      <c r="R119" s="27">
        <f>_xlfn.XLOOKUP(E119,[1]!Bookings[Booking Name],[1]!Bookings[Discount Percentage])</f>
        <v>7.0999999999999994E-2</v>
      </c>
      <c r="S119" s="4">
        <f>_xlfn.XLOOKUP(E119,[1]!Bookings[Booking Name],[1]!Bookings[Final Sale Value After Discount])</f>
        <v>719975</v>
      </c>
      <c r="T119" s="4">
        <f>_xlfn.XLOOKUP(E119,[1]!Bookings[Booking Name],[1]!Bookings[Inv Final Sale Value])</f>
        <v>775000</v>
      </c>
      <c r="U119" s="34" t="str">
        <f>_xlfn.XLOOKUP(E119,[1]!Bookings[Booking Name],[1]!Bookings[Sales])</f>
        <v>Joudy Shaker</v>
      </c>
      <c r="V119" s="2" t="str">
        <f>_xlfn.XLOOKUP(E119,[1]!Bookings[Booking Name],[1]!Bookings[Agency Name])</f>
        <v>FNM PROPERTIES LLC</v>
      </c>
      <c r="W119" s="2" t="str">
        <f>_xlfn.XLOOKUP(E119,[1]!Bookings[Booking Name],[1]!Bookings[Booking ID])</f>
        <v>a03J6000009o5SN</v>
      </c>
      <c r="X119" s="2" t="str">
        <f>_xlfn.XLOOKUP(E119,[1]!Bookings[Booking Name],[1]!Bookings[Oracle Id])</f>
        <v>-</v>
      </c>
      <c r="Y119" s="70" t="s">
        <v>209</v>
      </c>
      <c r="Z119" s="90">
        <v>32474</v>
      </c>
      <c r="AA119" s="6">
        <v>4.5104343900829888E-2</v>
      </c>
      <c r="AB119" s="25" t="s">
        <v>31</v>
      </c>
      <c r="AC119" s="28" t="s">
        <v>93</v>
      </c>
      <c r="AD119" s="14" t="s">
        <v>324</v>
      </c>
      <c r="AE119" s="28" t="s">
        <v>93</v>
      </c>
      <c r="AF119" s="28" t="s">
        <v>96</v>
      </c>
    </row>
    <row r="120" spans="2:32" ht="50.25" customHeight="1" x14ac:dyDescent="0.3">
      <c r="B120" s="2" t="s">
        <v>159</v>
      </c>
      <c r="C120" s="2">
        <v>45929</v>
      </c>
      <c r="D120" s="2">
        <f>_xlfn.XLOOKUP(E120,[1]!Bookings[Booking Name],[1]!Bookings[Rejected Date])</f>
        <v>45929</v>
      </c>
      <c r="E120" s="39" t="s">
        <v>78</v>
      </c>
      <c r="F120" s="76" t="str">
        <f>_xlfn.XLOOKUP(E120,[1]!Bookings[Booking Name],[1]!Bookings[Booking Status])</f>
        <v>Rejected</v>
      </c>
      <c r="G120" s="2">
        <f>_xlfn.XLOOKUP(E120,[1]!Bookings[Booking Name],[1]!Bookings[Booking Date])</f>
        <v>45800</v>
      </c>
      <c r="H120" s="3">
        <f>_xlfn.XLOOKUP(E120,[1]!Bookings[Booking Name],[1]!Bookings[Booking Aging])</f>
        <v>259</v>
      </c>
      <c r="I120" s="2" t="str">
        <f>_xlfn.XLOOKUP(E120,[1]!Bookings[Booking Name],[1]!Bookings[Project Name])</f>
        <v>Laguna Residence</v>
      </c>
      <c r="J120" s="2" t="str">
        <f>_xlfn.XLOOKUP(E120,[1]!Bookings[Booking Name],[1]!Bookings[Building])</f>
        <v>Tower B</v>
      </c>
      <c r="K120" s="2" t="str">
        <f>_xlfn.XLOOKUP(E120,[1]!Bookings[Booking Name],[1]!Bookings[Bedrooms])</f>
        <v>Studio</v>
      </c>
      <c r="L120" s="2" t="str">
        <f>_xlfn.XLOOKUP(E120,[1]!Bookings[Booking Name],[1]!Bookings[Unit No.])</f>
        <v>B1306</v>
      </c>
      <c r="M120" s="36" t="str">
        <f>_xlfn.XLOOKUP(E120,[1]!Bookings[Booking Name],[1]!Bookings[Inventory Unit Status])</f>
        <v>SPA Executed</v>
      </c>
      <c r="N120" s="2" t="str">
        <f>_xlfn.XLOOKUP(E120,[1]!Bookings[Booking Name],[1]!Bookings[Booking Status])</f>
        <v>Rejected</v>
      </c>
      <c r="O120" s="52" t="str">
        <f>_xlfn.XLOOKUP(E120,[1]!Bookings[Booking Name],[1]!Bookings[Customer Name])</f>
        <v>Hamad Bader Ahmed Ali Alyafei</v>
      </c>
      <c r="P120" s="2" t="str">
        <f>_xlfn.XLOOKUP(E120,[1]!Bookings[Booking Name],[1]!Bookings[Nationality])</f>
        <v>United Arab Emirates</v>
      </c>
      <c r="Q120" s="4">
        <f>_xlfn.XLOOKUP(E120,[1]!Bookings[Booking Name],[1]!Bookings[Discount Amount])</f>
        <v>55060</v>
      </c>
      <c r="R120" s="27">
        <f>_xlfn.XLOOKUP(E120,[1]!Bookings[Booking Name],[1]!Bookings[Discount Percentage])</f>
        <v>6.6098439375750301E-2</v>
      </c>
      <c r="S120" s="4">
        <f>_xlfn.XLOOKUP(E120,[1]!Bookings[Booking Name],[1]!Bookings[Final Sale Value After Discount])</f>
        <v>777940</v>
      </c>
      <c r="T120" s="4">
        <f>_xlfn.XLOOKUP(E120,[1]!Bookings[Booking Name],[1]!Bookings[Inv Final Sale Value])</f>
        <v>833000</v>
      </c>
      <c r="U120" s="34" t="str">
        <f>_xlfn.XLOOKUP(E120,[1]!Bookings[Booking Name],[1]!Bookings[Sales])</f>
        <v>Joudy Shaker</v>
      </c>
      <c r="V120" s="2" t="str">
        <f>_xlfn.XLOOKUP(E120,[1]!Bookings[Booking Name],[1]!Bookings[Agency Name])</f>
        <v>Unique Properties L.L.C</v>
      </c>
      <c r="W120" s="2" t="str">
        <f>_xlfn.XLOOKUP(E120,[1]!Bookings[Booking Name],[1]!Bookings[Booking ID])</f>
        <v>a03J6000009kab1</v>
      </c>
      <c r="X120" s="2" t="str">
        <f>_xlfn.XLOOKUP(E120,[1]!Bookings[Booking Name],[1]!Bookings[Oracle Id])</f>
        <v>-</v>
      </c>
      <c r="Y120" s="70" t="s">
        <v>209</v>
      </c>
      <c r="Z120" s="90">
        <v>25000</v>
      </c>
      <c r="AA120" s="6">
        <v>3.2136154459212793E-2</v>
      </c>
      <c r="AB120" s="24" t="s">
        <v>31</v>
      </c>
      <c r="AC120" s="28" t="s">
        <v>93</v>
      </c>
      <c r="AD120" s="14" t="s">
        <v>323</v>
      </c>
      <c r="AE120" s="28" t="s">
        <v>93</v>
      </c>
      <c r="AF120" s="28" t="s">
        <v>96</v>
      </c>
    </row>
    <row r="121" spans="2:32" ht="50.25" customHeight="1" x14ac:dyDescent="0.3">
      <c r="B121" s="2" t="s">
        <v>159</v>
      </c>
      <c r="C121" s="2">
        <v>45924</v>
      </c>
      <c r="D121" s="2">
        <f>_xlfn.XLOOKUP(E121,[1]!Bookings[Booking Name],[1]!Bookings[Rejected Date])</f>
        <v>45924</v>
      </c>
      <c r="E121" s="39" t="s">
        <v>77</v>
      </c>
      <c r="F121" s="76" t="str">
        <f>_xlfn.XLOOKUP(E121,[1]!Bookings[Booking Name],[1]!Bookings[Booking Status])</f>
        <v>Rejected</v>
      </c>
      <c r="G121" s="2">
        <f>_xlfn.XLOOKUP(E121,[1]!Bookings[Booking Name],[1]!Bookings[Booking Date])</f>
        <v>45897</v>
      </c>
      <c r="H121" s="3">
        <f>_xlfn.XLOOKUP(E121,[1]!Bookings[Booking Name],[1]!Bookings[Booking Aging])</f>
        <v>162</v>
      </c>
      <c r="I121" s="2" t="str">
        <f>_xlfn.XLOOKUP(E121,[1]!Bookings[Booking Name],[1]!Bookings[Project Name])</f>
        <v>Do Dubai Island</v>
      </c>
      <c r="J121" s="2" t="str">
        <f>_xlfn.XLOOKUP(E121,[1]!Bookings[Booking Name],[1]!Bookings[Building])</f>
        <v>Tower 1</v>
      </c>
      <c r="K121" s="2" t="str">
        <f>_xlfn.XLOOKUP(E121,[1]!Bookings[Booking Name],[1]!Bookings[Bedrooms])</f>
        <v>Studio</v>
      </c>
      <c r="L121" s="2" t="str">
        <f>_xlfn.XLOOKUP(E121,[1]!Bookings[Booking Name],[1]!Bookings[Unit No.])</f>
        <v>112</v>
      </c>
      <c r="M121" s="36" t="str">
        <f>_xlfn.XLOOKUP(E121,[1]!Bookings[Booking Name],[1]!Bookings[Inventory Unit Status])</f>
        <v>SPA Executed</v>
      </c>
      <c r="N121" s="2" t="str">
        <f>_xlfn.XLOOKUP(E121,[1]!Bookings[Booking Name],[1]!Bookings[Booking Status])</f>
        <v>Rejected</v>
      </c>
      <c r="O121" s="52" t="str">
        <f>_xlfn.XLOOKUP(E121,[1]!Bookings[Booking Name],[1]!Bookings[Customer Name])</f>
        <v>Murat Gumusluol</v>
      </c>
      <c r="P121" s="2" t="str">
        <f>_xlfn.XLOOKUP(E121,[1]!Bookings[Booking Name],[1]!Bookings[Nationality])</f>
        <v>Turkey</v>
      </c>
      <c r="Q121" s="4">
        <f>_xlfn.XLOOKUP(E121,[1]!Bookings[Booking Name],[1]!Bookings[Discount Amount])</f>
        <v>59000</v>
      </c>
      <c r="R121" s="27">
        <f>_xlfn.XLOOKUP(E121,[1]!Bookings[Booking Name],[1]!Bookings[Discount Percentage])</f>
        <v>4.7967479674796747E-2</v>
      </c>
      <c r="S121" s="4">
        <f>_xlfn.XLOOKUP(E121,[1]!Bookings[Booking Name],[1]!Bookings[Final Sale Value After Discount])</f>
        <v>1171000</v>
      </c>
      <c r="T121" s="4">
        <f>_xlfn.XLOOKUP(E121,[1]!Bookings[Booking Name],[1]!Bookings[Inv Final Sale Value])</f>
        <v>1230000</v>
      </c>
      <c r="U121" s="34" t="str">
        <f>_xlfn.XLOOKUP(E121,[1]!Bookings[Booking Name],[1]!Bookings[Sales])</f>
        <v>Ramy Abdelsalam</v>
      </c>
      <c r="V121" s="2" t="str">
        <f>_xlfn.XLOOKUP(E121,[1]!Bookings[Booking Name],[1]!Bookings[Agency Name])</f>
        <v>HAKI MULTIMODAL LOJISTIK HIZMETLERI ANONIM SIRKETI</v>
      </c>
      <c r="W121" s="2" t="str">
        <f>_xlfn.XLOOKUP(E121,[1]!Bookings[Booking Name],[1]!Bookings[Booking ID])</f>
        <v>a03J600000Brj9X</v>
      </c>
      <c r="X121" s="2" t="str">
        <f>_xlfn.XLOOKUP(E121,[1]!Bookings[Booking Name],[1]!Bookings[Oracle Id])</f>
        <v>-</v>
      </c>
      <c r="Y121" s="70" t="s">
        <v>209</v>
      </c>
      <c r="Z121" s="90">
        <v>25000</v>
      </c>
      <c r="AA121" s="6">
        <v>2.1349274124679761E-2</v>
      </c>
      <c r="AB121" s="23" t="s">
        <v>31</v>
      </c>
      <c r="AC121" s="28" t="s">
        <v>93</v>
      </c>
      <c r="AD121" s="14" t="s">
        <v>322</v>
      </c>
      <c r="AE121" s="28" t="s">
        <v>93</v>
      </c>
      <c r="AF121" s="28" t="s">
        <v>96</v>
      </c>
    </row>
    <row r="122" spans="2:32" ht="50.25" customHeight="1" x14ac:dyDescent="0.3">
      <c r="B122" s="2" t="s">
        <v>159</v>
      </c>
      <c r="C122" s="2">
        <v>45923</v>
      </c>
      <c r="D122" s="2">
        <f>_xlfn.XLOOKUP(E122,[1]!Bookings[Booking Name],[1]!Bookings[Rejected Date])</f>
        <v>45924</v>
      </c>
      <c r="E122" s="39" t="s">
        <v>76</v>
      </c>
      <c r="F122" s="76" t="str">
        <f>_xlfn.XLOOKUP(E122,[1]!Bookings[Booking Name],[1]!Bookings[Booking Status])</f>
        <v>Rejected</v>
      </c>
      <c r="G122" s="2">
        <f>_xlfn.XLOOKUP(E122,[1]!Bookings[Booking Name],[1]!Bookings[Booking Date])</f>
        <v>45887</v>
      </c>
      <c r="H122" s="3">
        <f>_xlfn.XLOOKUP(E122,[1]!Bookings[Booking Name],[1]!Bookings[Booking Aging])</f>
        <v>172</v>
      </c>
      <c r="I122" s="2" t="str">
        <f>_xlfn.XLOOKUP(E122,[1]!Bookings[Booking Name],[1]!Bookings[Project Name])</f>
        <v>Do Dubai Island</v>
      </c>
      <c r="J122" s="2" t="str">
        <f>_xlfn.XLOOKUP(E122,[1]!Bookings[Booking Name],[1]!Bookings[Building])</f>
        <v>Tower 1</v>
      </c>
      <c r="K122" s="2" t="str">
        <f>_xlfn.XLOOKUP(E122,[1]!Bookings[Booking Name],[1]!Bookings[Bedrooms])</f>
        <v>Studio</v>
      </c>
      <c r="L122" s="2" t="str">
        <f>_xlfn.XLOOKUP(E122,[1]!Bookings[Booking Name],[1]!Bookings[Unit No.])</f>
        <v>318</v>
      </c>
      <c r="M122" s="36" t="str">
        <f>_xlfn.XLOOKUP(E122,[1]!Bookings[Booking Name],[1]!Bookings[Inventory Unit Status])</f>
        <v>SPA Executed</v>
      </c>
      <c r="N122" s="2" t="str">
        <f>_xlfn.XLOOKUP(E122,[1]!Bookings[Booking Name],[1]!Bookings[Booking Status])</f>
        <v>Rejected</v>
      </c>
      <c r="O122" s="52" t="str">
        <f>_xlfn.XLOOKUP(E122,[1]!Bookings[Booking Name],[1]!Bookings[Customer Name])</f>
        <v>Denisa Freundova</v>
      </c>
      <c r="P122" s="2" t="str">
        <f>_xlfn.XLOOKUP(E122,[1]!Bookings[Booking Name],[1]!Bookings[Nationality])</f>
        <v>Slovakia</v>
      </c>
      <c r="Q122" s="4">
        <f>_xlfn.XLOOKUP(E122,[1]!Bookings[Booking Name],[1]!Bookings[Discount Amount])</f>
        <v>0</v>
      </c>
      <c r="R122" s="27">
        <f>_xlfn.XLOOKUP(E122,[1]!Bookings[Booking Name],[1]!Bookings[Discount Percentage])</f>
        <v>0</v>
      </c>
      <c r="S122" s="4">
        <f>_xlfn.XLOOKUP(E122,[1]!Bookings[Booking Name],[1]!Bookings[Final Sale Value After Discount])</f>
        <v>1161000</v>
      </c>
      <c r="T122" s="4">
        <f>_xlfn.XLOOKUP(E122,[1]!Bookings[Booking Name],[1]!Bookings[Inv Final Sale Value])</f>
        <v>1161000</v>
      </c>
      <c r="U122" s="34" t="str">
        <f>_xlfn.XLOOKUP(E122,[1]!Bookings[Booking Name],[1]!Bookings[Sales])</f>
        <v>Gulnoz Khodjayeva</v>
      </c>
      <c r="V122" s="2" t="str">
        <f>_xlfn.XLOOKUP(E122,[1]!Bookings[Booking Name],[1]!Bookings[Agency Name])</f>
        <v>MOVE HOMES REAL ESTATE BROKERS L.L.C</v>
      </c>
      <c r="W122" s="2" t="str">
        <f>_xlfn.XLOOKUP(E122,[1]!Bookings[Booking Name],[1]!Bookings[Booking ID])</f>
        <v>a03J600000Br87K</v>
      </c>
      <c r="X122" s="2" t="str">
        <f>_xlfn.XLOOKUP(E122,[1]!Bookings[Booking Name],[1]!Bookings[Oracle Id])</f>
        <v>-</v>
      </c>
      <c r="Y122" s="70" t="s">
        <v>209</v>
      </c>
      <c r="Z122" s="90">
        <v>49925</v>
      </c>
      <c r="AA122" s="6">
        <v>4.3001722652885446E-2</v>
      </c>
      <c r="AB122" s="22" t="s">
        <v>31</v>
      </c>
      <c r="AC122" s="28" t="s">
        <v>93</v>
      </c>
      <c r="AD122" s="14" t="s">
        <v>321</v>
      </c>
      <c r="AE122" s="28" t="s">
        <v>93</v>
      </c>
      <c r="AF122" s="28" t="s">
        <v>96</v>
      </c>
    </row>
    <row r="123" spans="2:32" ht="50.25" customHeight="1" x14ac:dyDescent="0.3">
      <c r="B123" s="2" t="s">
        <v>159</v>
      </c>
      <c r="C123" s="2">
        <v>45922</v>
      </c>
      <c r="D123" s="2">
        <f>_xlfn.XLOOKUP(E123,[1]!Bookings[Booking Name],[1]!Bookings[Rejected Date])</f>
        <v>45924</v>
      </c>
      <c r="E123" s="39" t="s">
        <v>75</v>
      </c>
      <c r="F123" s="76" t="str">
        <f>_xlfn.XLOOKUP(E123,[1]!Bookings[Booking Name],[1]!Bookings[Booking Status])</f>
        <v>Rejected</v>
      </c>
      <c r="G123" s="2">
        <f>_xlfn.XLOOKUP(E123,[1]!Bookings[Booking Name],[1]!Bookings[Booking Date])</f>
        <v>45909</v>
      </c>
      <c r="H123" s="3">
        <f>_xlfn.XLOOKUP(E123,[1]!Bookings[Booking Name],[1]!Bookings[Booking Aging])</f>
        <v>150</v>
      </c>
      <c r="I123" s="2" t="str">
        <f>_xlfn.XLOOKUP(E123,[1]!Bookings[Booking Name],[1]!Bookings[Project Name])</f>
        <v>Laguna Residence</v>
      </c>
      <c r="J123" s="2" t="str">
        <f>_xlfn.XLOOKUP(E123,[1]!Bookings[Booking Name],[1]!Bookings[Building])</f>
        <v>Tower A</v>
      </c>
      <c r="K123" s="2" t="str">
        <f>_xlfn.XLOOKUP(E123,[1]!Bookings[Booking Name],[1]!Bookings[Bedrooms])</f>
        <v>Studio</v>
      </c>
      <c r="L123" s="2" t="str">
        <f>_xlfn.XLOOKUP(E123,[1]!Bookings[Booking Name],[1]!Bookings[Unit No.])</f>
        <v>A1014</v>
      </c>
      <c r="M123" s="36" t="str">
        <f>_xlfn.XLOOKUP(E123,[1]!Bookings[Booking Name],[1]!Bookings[Inventory Unit Status])</f>
        <v>Blocked</v>
      </c>
      <c r="N123" s="2" t="str">
        <f>_xlfn.XLOOKUP(E123,[1]!Bookings[Booking Name],[1]!Bookings[Booking Status])</f>
        <v>Rejected</v>
      </c>
      <c r="O123" s="52" t="str">
        <f>_xlfn.XLOOKUP(E123,[1]!Bookings[Booking Name],[1]!Bookings[Customer Name])</f>
        <v>Hayder Abbas Ahmed Al Iessa</v>
      </c>
      <c r="P123" s="2" t="str">
        <f>_xlfn.XLOOKUP(E123,[1]!Bookings[Booking Name],[1]!Bookings[Nationality])</f>
        <v>Iraq</v>
      </c>
      <c r="Q123" s="4">
        <f>_xlfn.XLOOKUP(E123,[1]!Bookings[Booking Name],[1]!Bookings[Discount Amount])</f>
        <v>30999.97</v>
      </c>
      <c r="R123" s="27">
        <f>_xlfn.XLOOKUP(E123,[1]!Bookings[Booking Name],[1]!Bookings[Discount Percentage])</f>
        <v>3.870158551810237E-2</v>
      </c>
      <c r="S123" s="4">
        <f>_xlfn.XLOOKUP(E123,[1]!Bookings[Booking Name],[1]!Bookings[Final Sale Value After Discount])</f>
        <v>770000.03281799995</v>
      </c>
      <c r="T123" s="4">
        <f>_xlfn.XLOOKUP(E123,[1]!Bookings[Booking Name],[1]!Bookings[Inv Final Sale Value])</f>
        <v>801000</v>
      </c>
      <c r="U123" s="34" t="str">
        <f>_xlfn.XLOOKUP(E123,[1]!Bookings[Booking Name],[1]!Bookings[Sales])</f>
        <v>Mohamed El Shimy</v>
      </c>
      <c r="V123" s="2" t="str">
        <f>_xlfn.XLOOKUP(E123,[1]!Bookings[Booking Name],[1]!Bookings[Agency Name])</f>
        <v>Eleva Properties LLC</v>
      </c>
      <c r="W123" s="2" t="str">
        <f>_xlfn.XLOOKUP(E123,[1]!Bookings[Booking Name],[1]!Bookings[Booking ID])</f>
        <v>a03J600000BsMq5</v>
      </c>
      <c r="X123" s="2" t="str">
        <f>_xlfn.XLOOKUP(E123,[1]!Bookings[Booking Name],[1]!Bookings[Oracle Id])</f>
        <v>-</v>
      </c>
      <c r="Y123" s="70" t="s">
        <v>209</v>
      </c>
      <c r="Z123" s="90">
        <v>25000</v>
      </c>
      <c r="AA123" s="6">
        <v>3.2467531083740994E-2</v>
      </c>
      <c r="AB123" s="22" t="s">
        <v>37</v>
      </c>
      <c r="AC123" s="28" t="s">
        <v>93</v>
      </c>
      <c r="AD123" s="14" t="s">
        <v>320</v>
      </c>
      <c r="AE123" s="28" t="s">
        <v>93</v>
      </c>
      <c r="AF123" s="28" t="s">
        <v>96</v>
      </c>
    </row>
    <row r="124" spans="2:32" ht="50.25" customHeight="1" x14ac:dyDescent="0.3">
      <c r="B124" s="2" t="s">
        <v>159</v>
      </c>
      <c r="C124" s="2">
        <v>45918</v>
      </c>
      <c r="D124" s="2">
        <f>_xlfn.XLOOKUP(E124,[1]!Bookings[Booking Name],[1]!Bookings[Rejected Date])</f>
        <v>45918</v>
      </c>
      <c r="E124" s="39" t="s">
        <v>142</v>
      </c>
      <c r="F124" s="76" t="str">
        <f>_xlfn.XLOOKUP(E124,[1]!Bookings[Booking Name],[1]!Bookings[Booking Status])</f>
        <v>Rejected</v>
      </c>
      <c r="G124" s="2">
        <f>_xlfn.XLOOKUP(E124,[1]!Bookings[Booking Name],[1]!Bookings[Booking Date])</f>
        <v>45825</v>
      </c>
      <c r="H124" s="3">
        <f>_xlfn.XLOOKUP(E124,[1]!Bookings[Booking Name],[1]!Bookings[Booking Aging])</f>
        <v>234</v>
      </c>
      <c r="I124" s="2" t="str">
        <f>_xlfn.XLOOKUP(E124,[1]!Bookings[Booking Name],[1]!Bookings[Project Name])</f>
        <v>Laguna Residence</v>
      </c>
      <c r="J124" s="2" t="str">
        <f>_xlfn.XLOOKUP(E124,[1]!Bookings[Booking Name],[1]!Bookings[Building])</f>
        <v>Tower B</v>
      </c>
      <c r="K124" s="2" t="str">
        <f>_xlfn.XLOOKUP(E124,[1]!Bookings[Booking Name],[1]!Bookings[Bedrooms])</f>
        <v>Studio</v>
      </c>
      <c r="L124" s="2" t="str">
        <f>_xlfn.XLOOKUP(E124,[1]!Bookings[Booking Name],[1]!Bookings[Unit No.])</f>
        <v>B405</v>
      </c>
      <c r="M124" s="36" t="str">
        <f>_xlfn.XLOOKUP(E124,[1]!Bookings[Booking Name],[1]!Bookings[Inventory Unit Status])</f>
        <v>SPA Executed</v>
      </c>
      <c r="N124" s="2" t="str">
        <f>_xlfn.XLOOKUP(E124,[1]!Bookings[Booking Name],[1]!Bookings[Booking Status])</f>
        <v>Rejected</v>
      </c>
      <c r="O124" s="52" t="str">
        <f>_xlfn.XLOOKUP(E124,[1]!Bookings[Booking Name],[1]!Bookings[Customer Name])</f>
        <v>Katharina Junimann Appelhans</v>
      </c>
      <c r="P124" s="2" t="str">
        <f>_xlfn.XLOOKUP(E124,[1]!Bookings[Booking Name],[1]!Bookings[Nationality])</f>
        <v>Germany</v>
      </c>
      <c r="Q124" s="4">
        <f>_xlfn.XLOOKUP(E124,[1]!Bookings[Booking Name],[1]!Bookings[Discount Amount])</f>
        <v>52200</v>
      </c>
      <c r="R124" s="27">
        <f>_xlfn.XLOOKUP(E124,[1]!Bookings[Booking Name],[1]!Bookings[Discount Percentage])</f>
        <v>6.5660377358490563E-2</v>
      </c>
      <c r="S124" s="4">
        <f>_xlfn.XLOOKUP(E124,[1]!Bookings[Booking Name],[1]!Bookings[Final Sale Value After Discount])</f>
        <v>742800</v>
      </c>
      <c r="T124" s="4">
        <f>_xlfn.XLOOKUP(E124,[1]!Bookings[Booking Name],[1]!Bookings[Inv Final Sale Value])</f>
        <v>795000</v>
      </c>
      <c r="U124" s="34" t="str">
        <f>_xlfn.XLOOKUP(E124,[1]!Bookings[Booking Name],[1]!Bookings[Sales])</f>
        <v>Joudy Shaker</v>
      </c>
      <c r="V124" s="2" t="str">
        <f>_xlfn.XLOOKUP(E124,[1]!Bookings[Booking Name],[1]!Bookings[Agency Name])</f>
        <v>FNM PROPERTIES LLC</v>
      </c>
      <c r="W124" s="2" t="str">
        <f>_xlfn.XLOOKUP(E124,[1]!Bookings[Booking Name],[1]!Bookings[Booking ID])</f>
        <v>a03J6000009lyYB</v>
      </c>
      <c r="X124" s="2" t="str">
        <f>_xlfn.XLOOKUP(E124,[1]!Bookings[Booking Name],[1]!Bookings[Oracle Id])</f>
        <v>-</v>
      </c>
      <c r="Y124" s="70" t="s">
        <v>209</v>
      </c>
      <c r="Z124" s="18" t="s">
        <v>25</v>
      </c>
      <c r="AA124" s="6">
        <v>0</v>
      </c>
      <c r="AB124" s="35" t="s">
        <v>26</v>
      </c>
      <c r="AC124" s="12" t="s">
        <v>430</v>
      </c>
      <c r="AD124" s="106" t="s">
        <v>319</v>
      </c>
      <c r="AE124" s="28" t="s">
        <v>87</v>
      </c>
      <c r="AF124" s="12" t="s">
        <v>145</v>
      </c>
    </row>
    <row r="125" spans="2:32" ht="50.25" customHeight="1" x14ac:dyDescent="0.3">
      <c r="B125" s="2" t="s">
        <v>159</v>
      </c>
      <c r="C125" s="2">
        <v>45917</v>
      </c>
      <c r="D125" s="2">
        <f>_xlfn.XLOOKUP(E125,[1]!Bookings[Booking Name],[1]!Bookings[Rejected Date])</f>
        <v>45918</v>
      </c>
      <c r="E125" s="39" t="s">
        <v>74</v>
      </c>
      <c r="F125" s="76" t="str">
        <f>_xlfn.XLOOKUP(E125,[1]!Bookings[Booking Name],[1]!Bookings[Booking Status])</f>
        <v>Rejected</v>
      </c>
      <c r="G125" s="2">
        <f>_xlfn.XLOOKUP(E125,[1]!Bookings[Booking Name],[1]!Bookings[Booking Date])</f>
        <v>45828</v>
      </c>
      <c r="H125" s="3">
        <f>_xlfn.XLOOKUP(E125,[1]!Bookings[Booking Name],[1]!Bookings[Booking Aging])</f>
        <v>231</v>
      </c>
      <c r="I125" s="2" t="str">
        <f>_xlfn.XLOOKUP(E125,[1]!Bookings[Booking Name],[1]!Bookings[Project Name])</f>
        <v>Laguna Residence</v>
      </c>
      <c r="J125" s="2" t="str">
        <f>_xlfn.XLOOKUP(E125,[1]!Bookings[Booking Name],[1]!Bookings[Building])</f>
        <v>Tower A</v>
      </c>
      <c r="K125" s="2" t="str">
        <f>_xlfn.XLOOKUP(E125,[1]!Bookings[Booking Name],[1]!Bookings[Bedrooms])</f>
        <v>Studio</v>
      </c>
      <c r="L125" s="2" t="str">
        <f>_xlfn.XLOOKUP(E125,[1]!Bookings[Booking Name],[1]!Bookings[Unit No.])</f>
        <v>A2115</v>
      </c>
      <c r="M125" s="36" t="str">
        <f>_xlfn.XLOOKUP(E125,[1]!Bookings[Booking Name],[1]!Bookings[Inventory Unit Status])</f>
        <v>SPA Executed</v>
      </c>
      <c r="N125" s="2" t="str">
        <f>_xlfn.XLOOKUP(E125,[1]!Bookings[Booking Name],[1]!Bookings[Booking Status])</f>
        <v>Rejected</v>
      </c>
      <c r="O125" s="52" t="str">
        <f>_xlfn.XLOOKUP(E125,[1]!Bookings[Booking Name],[1]!Bookings[Customer Name])</f>
        <v>ANJA SPRINZ</v>
      </c>
      <c r="P125" s="2" t="str">
        <f>_xlfn.XLOOKUP(E125,[1]!Bookings[Booking Name],[1]!Bookings[Nationality])</f>
        <v>Germany</v>
      </c>
      <c r="Q125" s="4">
        <f>_xlfn.XLOOKUP(E125,[1]!Bookings[Booking Name],[1]!Bookings[Discount Amount])</f>
        <v>51113</v>
      </c>
      <c r="R125" s="27">
        <f>_xlfn.XLOOKUP(E125,[1]!Bookings[Booking Name],[1]!Bookings[Discount Percentage])</f>
        <v>6.561360718870346E-2</v>
      </c>
      <c r="S125" s="4">
        <f>_xlfn.XLOOKUP(E125,[1]!Bookings[Booking Name],[1]!Bookings[Final Sale Value After Discount])</f>
        <v>727887</v>
      </c>
      <c r="T125" s="4">
        <f>_xlfn.XLOOKUP(E125,[1]!Bookings[Booking Name],[1]!Bookings[Inv Final Sale Value])</f>
        <v>779000</v>
      </c>
      <c r="U125" s="34" t="str">
        <f>_xlfn.XLOOKUP(E125,[1]!Bookings[Booking Name],[1]!Bookings[Sales])</f>
        <v>Joudy Shaker</v>
      </c>
      <c r="V125" s="2" t="str">
        <f>_xlfn.XLOOKUP(E125,[1]!Bookings[Booking Name],[1]!Bookings[Agency Name])</f>
        <v>FNM PROPERTIES LLC</v>
      </c>
      <c r="W125" s="2" t="str">
        <f>_xlfn.XLOOKUP(E125,[1]!Bookings[Booking Name],[1]!Bookings[Booking ID])</f>
        <v>a03J6000009mBJ1</v>
      </c>
      <c r="X125" s="2" t="str">
        <f>_xlfn.XLOOKUP(E125,[1]!Bookings[Booking Name],[1]!Bookings[Oracle Id])</f>
        <v>-</v>
      </c>
      <c r="Y125" s="70" t="s">
        <v>209</v>
      </c>
      <c r="Z125" s="90">
        <v>32790.480000000003</v>
      </c>
      <c r="AA125" s="6">
        <v>4.5048860606110568E-2</v>
      </c>
      <c r="AB125" s="21" t="s">
        <v>31</v>
      </c>
      <c r="AC125" s="28" t="s">
        <v>93</v>
      </c>
      <c r="AD125" s="14" t="s">
        <v>318</v>
      </c>
      <c r="AE125" s="28" t="s">
        <v>93</v>
      </c>
      <c r="AF125" s="28" t="s">
        <v>96</v>
      </c>
    </row>
    <row r="126" spans="2:32" ht="50.25" customHeight="1" x14ac:dyDescent="0.3">
      <c r="B126" s="2" t="s">
        <v>159</v>
      </c>
      <c r="C126" s="2">
        <v>45916</v>
      </c>
      <c r="D126" s="2">
        <f>_xlfn.XLOOKUP(E126,[1]!Bookings[Booking Name],[1]!Bookings[Rejected Date])</f>
        <v>45922</v>
      </c>
      <c r="E126" s="39" t="s">
        <v>73</v>
      </c>
      <c r="F126" s="76" t="str">
        <f>_xlfn.XLOOKUP(E126,[1]!Bookings[Booking Name],[1]!Bookings[Booking Status])</f>
        <v>Rejected</v>
      </c>
      <c r="G126" s="2">
        <f>_xlfn.XLOOKUP(E126,[1]!Bookings[Booking Name],[1]!Bookings[Booking Date])</f>
        <v>45815</v>
      </c>
      <c r="H126" s="3">
        <f>_xlfn.XLOOKUP(E126,[1]!Bookings[Booking Name],[1]!Bookings[Booking Aging])</f>
        <v>244</v>
      </c>
      <c r="I126" s="2" t="str">
        <f>_xlfn.XLOOKUP(E126,[1]!Bookings[Booking Name],[1]!Bookings[Project Name])</f>
        <v>Laguna Residence</v>
      </c>
      <c r="J126" s="2" t="str">
        <f>_xlfn.XLOOKUP(E126,[1]!Bookings[Booking Name],[1]!Bookings[Building])</f>
        <v>Tower B</v>
      </c>
      <c r="K126" s="2" t="str">
        <f>_xlfn.XLOOKUP(E126,[1]!Bookings[Booking Name],[1]!Bookings[Bedrooms])</f>
        <v>1 Bedroom</v>
      </c>
      <c r="L126" s="2" t="str">
        <f>_xlfn.XLOOKUP(E126,[1]!Bookings[Booking Name],[1]!Bookings[Unit No.])</f>
        <v>B323</v>
      </c>
      <c r="M126" s="36" t="str">
        <f>_xlfn.XLOOKUP(E126,[1]!Bookings[Booking Name],[1]!Bookings[Inventory Unit Status])</f>
        <v>SPA Executed</v>
      </c>
      <c r="N126" s="2" t="str">
        <f>_xlfn.XLOOKUP(E126,[1]!Bookings[Booking Name],[1]!Bookings[Booking Status])</f>
        <v>Rejected</v>
      </c>
      <c r="O126" s="52" t="str">
        <f>_xlfn.XLOOKUP(E126,[1]!Bookings[Booking Name],[1]!Bookings[Customer Name])</f>
        <v>Sivakeerthi Kumarathas</v>
      </c>
      <c r="P126" s="2" t="str">
        <f>_xlfn.XLOOKUP(E126,[1]!Bookings[Booking Name],[1]!Bookings[Nationality])</f>
        <v>United Kingdom</v>
      </c>
      <c r="Q126" s="4">
        <f>_xlfn.XLOOKUP(E126,[1]!Bookings[Booking Name],[1]!Bookings[Discount Amount])</f>
        <v>128000</v>
      </c>
      <c r="R126" s="27">
        <f>_xlfn.XLOOKUP(E126,[1]!Bookings[Booking Name],[1]!Bookings[Discount Percentage])</f>
        <v>9.8461538461538461E-2</v>
      </c>
      <c r="S126" s="4">
        <f>_xlfn.XLOOKUP(E126,[1]!Bookings[Booking Name],[1]!Bookings[Final Sale Value After Discount])</f>
        <v>1172000</v>
      </c>
      <c r="T126" s="4">
        <f>_xlfn.XLOOKUP(E126,[1]!Bookings[Booking Name],[1]!Bookings[Inv Final Sale Value])</f>
        <v>1300000</v>
      </c>
      <c r="U126" s="34" t="str">
        <f>_xlfn.XLOOKUP(E126,[1]!Bookings[Booking Name],[1]!Bookings[Sales])</f>
        <v>Aqsa Bhatti</v>
      </c>
      <c r="V126" s="2" t="str">
        <f>_xlfn.XLOOKUP(E126,[1]!Bookings[Booking Name],[1]!Bookings[Agency Name])</f>
        <v>CHALET INTERNATIONAL REAL ESTATE L.L.C</v>
      </c>
      <c r="W126" s="2" t="str">
        <f>_xlfn.XLOOKUP(E126,[1]!Bookings[Booking Name],[1]!Bookings[Booking ID])</f>
        <v>a03J6000009lRBS</v>
      </c>
      <c r="X126" s="2" t="str">
        <f>_xlfn.XLOOKUP(E126,[1]!Bookings[Booking Name],[1]!Bookings[Oracle Id])</f>
        <v>-</v>
      </c>
      <c r="Y126" s="70" t="s">
        <v>209</v>
      </c>
      <c r="Z126" s="90">
        <v>45000</v>
      </c>
      <c r="AA126" s="6">
        <v>3.839590443686007E-2</v>
      </c>
      <c r="AB126" s="20" t="s">
        <v>31</v>
      </c>
      <c r="AC126" s="28" t="s">
        <v>93</v>
      </c>
      <c r="AD126" s="14" t="s">
        <v>317</v>
      </c>
      <c r="AE126" s="28" t="s">
        <v>93</v>
      </c>
      <c r="AF126" s="28" t="s">
        <v>96</v>
      </c>
    </row>
    <row r="127" spans="2:32" ht="50.25" customHeight="1" x14ac:dyDescent="0.3">
      <c r="B127" s="2" t="s">
        <v>159</v>
      </c>
      <c r="C127" s="2">
        <v>45916</v>
      </c>
      <c r="D127" s="2">
        <f>_xlfn.XLOOKUP(E127,[1]!Bookings[Booking Name],[1]!Bookings[Rejected Date])</f>
        <v>45922</v>
      </c>
      <c r="E127" s="39" t="s">
        <v>72</v>
      </c>
      <c r="F127" s="76" t="str">
        <f>_xlfn.XLOOKUP(E127,[1]!Bookings[Booking Name],[1]!Bookings[Booking Status])</f>
        <v>Rejected</v>
      </c>
      <c r="G127" s="2">
        <f>_xlfn.XLOOKUP(E127,[1]!Bookings[Booking Name],[1]!Bookings[Booking Date])</f>
        <v>45787</v>
      </c>
      <c r="H127" s="3">
        <f>_xlfn.XLOOKUP(E127,[1]!Bookings[Booking Name],[1]!Bookings[Booking Aging])</f>
        <v>272</v>
      </c>
      <c r="I127" s="2" t="str">
        <f>_xlfn.XLOOKUP(E127,[1]!Bookings[Booking Name],[1]!Bookings[Project Name])</f>
        <v>Laguna Residence</v>
      </c>
      <c r="J127" s="2" t="str">
        <f>_xlfn.XLOOKUP(E127,[1]!Bookings[Booking Name],[1]!Bookings[Building])</f>
        <v>Tower A</v>
      </c>
      <c r="K127" s="2" t="str">
        <f>_xlfn.XLOOKUP(E127,[1]!Bookings[Booking Name],[1]!Bookings[Bedrooms])</f>
        <v>Studio</v>
      </c>
      <c r="L127" s="2" t="str">
        <f>_xlfn.XLOOKUP(E127,[1]!Bookings[Booking Name],[1]!Bookings[Unit No.])</f>
        <v>A1311</v>
      </c>
      <c r="M127" s="36" t="str">
        <f>_xlfn.XLOOKUP(E127,[1]!Bookings[Booking Name],[1]!Bookings[Inventory Unit Status])</f>
        <v>Booked</v>
      </c>
      <c r="N127" s="2" t="str">
        <f>_xlfn.XLOOKUP(E127,[1]!Bookings[Booking Name],[1]!Bookings[Booking Status])</f>
        <v>Rejected</v>
      </c>
      <c r="O127" s="52" t="str">
        <f>_xlfn.XLOOKUP(E127,[1]!Bookings[Booking Name],[1]!Bookings[Customer Name])</f>
        <v>Sivakeerthi Kumarathas</v>
      </c>
      <c r="P127" s="2" t="str">
        <f>_xlfn.XLOOKUP(E127,[1]!Bookings[Booking Name],[1]!Bookings[Nationality])</f>
        <v>United Kingdom</v>
      </c>
      <c r="Q127" s="4">
        <f>_xlfn.XLOOKUP(E127,[1]!Bookings[Booking Name],[1]!Bookings[Discount Amount])</f>
        <v>101746</v>
      </c>
      <c r="R127" s="27">
        <f>_xlfn.XLOOKUP(E127,[1]!Bookings[Booking Name],[1]!Bookings[Discount Percentage])</f>
        <v>0.12879240506329115</v>
      </c>
      <c r="S127" s="4">
        <f>_xlfn.XLOOKUP(E127,[1]!Bookings[Booking Name],[1]!Bookings[Final Sale Value After Discount])</f>
        <v>688254</v>
      </c>
      <c r="T127" s="4">
        <f>_xlfn.XLOOKUP(E127,[1]!Bookings[Booking Name],[1]!Bookings[Inv Final Sale Value])</f>
        <v>790000</v>
      </c>
      <c r="U127" s="34" t="str">
        <f>_xlfn.XLOOKUP(E127,[1]!Bookings[Booking Name],[1]!Bookings[Sales])</f>
        <v>Aiham Addi</v>
      </c>
      <c r="V127" s="2" t="str">
        <f>_xlfn.XLOOKUP(E127,[1]!Bookings[Booking Name],[1]!Bookings[Agency Name])</f>
        <v>CHALET INTERNATIONAL REAL ESTATE L.L.C</v>
      </c>
      <c r="W127" s="2" t="str">
        <f>_xlfn.XLOOKUP(E127,[1]!Bookings[Booking Name],[1]!Bookings[Booking ID])</f>
        <v>a03J60000082sgj</v>
      </c>
      <c r="X127" s="2" t="str">
        <f>_xlfn.XLOOKUP(E127,[1]!Bookings[Booking Name],[1]!Bookings[Oracle Id])</f>
        <v>-</v>
      </c>
      <c r="Y127" s="70">
        <v>5000</v>
      </c>
      <c r="Z127" s="90">
        <v>68825.399999999994</v>
      </c>
      <c r="AA127" s="6">
        <v>9.9999999999999992E-2</v>
      </c>
      <c r="AB127" s="20" t="s">
        <v>31</v>
      </c>
      <c r="AC127" s="28" t="s">
        <v>93</v>
      </c>
      <c r="AD127" s="14" t="s">
        <v>316</v>
      </c>
      <c r="AE127" s="28" t="s">
        <v>93</v>
      </c>
      <c r="AF127" s="28" t="s">
        <v>96</v>
      </c>
    </row>
    <row r="128" spans="2:32" ht="50.25" customHeight="1" x14ac:dyDescent="0.3">
      <c r="B128" s="2" t="s">
        <v>159</v>
      </c>
      <c r="C128" s="2">
        <v>45915</v>
      </c>
      <c r="D128" s="2">
        <f>_xlfn.XLOOKUP(E128,[1]!Bookings[Booking Name],[1]!Bookings[Rejected Date])</f>
        <v>45918</v>
      </c>
      <c r="E128" s="39" t="s">
        <v>69</v>
      </c>
      <c r="F128" s="76" t="str">
        <f>_xlfn.XLOOKUP(E128,[1]!Bookings[Booking Name],[1]!Bookings[Booking Status])</f>
        <v>Rejected</v>
      </c>
      <c r="G128" s="2">
        <f>_xlfn.XLOOKUP(E128,[1]!Bookings[Booking Name],[1]!Bookings[Booking Date])</f>
        <v>45904</v>
      </c>
      <c r="H128" s="3">
        <f>_xlfn.XLOOKUP(E128,[1]!Bookings[Booking Name],[1]!Bookings[Booking Aging])</f>
        <v>155</v>
      </c>
      <c r="I128" s="2" t="str">
        <f>_xlfn.XLOOKUP(E128,[1]!Bookings[Booking Name],[1]!Bookings[Project Name])</f>
        <v>Laguna Residence</v>
      </c>
      <c r="J128" s="2" t="str">
        <f>_xlfn.XLOOKUP(E128,[1]!Bookings[Booking Name],[1]!Bookings[Building])</f>
        <v>Tower B</v>
      </c>
      <c r="K128" s="2" t="str">
        <f>_xlfn.XLOOKUP(E128,[1]!Bookings[Booking Name],[1]!Bookings[Bedrooms])</f>
        <v>Studio</v>
      </c>
      <c r="L128" s="2" t="str">
        <f>_xlfn.XLOOKUP(E128,[1]!Bookings[Booking Name],[1]!Bookings[Unit No.])</f>
        <v>B3103</v>
      </c>
      <c r="M128" s="36" t="str">
        <f>_xlfn.XLOOKUP(E128,[1]!Bookings[Booking Name],[1]!Bookings[Inventory Unit Status])</f>
        <v>Blocked</v>
      </c>
      <c r="N128" s="2" t="str">
        <f>_xlfn.XLOOKUP(E128,[1]!Bookings[Booking Name],[1]!Bookings[Booking Status])</f>
        <v>Rejected</v>
      </c>
      <c r="O128" s="52" t="str">
        <f>_xlfn.XLOOKUP(E128,[1]!Bookings[Booking Name],[1]!Bookings[Customer Name])</f>
        <v>Mohammed Fardin Khan</v>
      </c>
      <c r="P128" s="2" t="str">
        <f>_xlfn.XLOOKUP(E128,[1]!Bookings[Booking Name],[1]!Bookings[Nationality])</f>
        <v>United States of America</v>
      </c>
      <c r="Q128" s="4">
        <f>_xlfn.XLOOKUP(E128,[1]!Bookings[Booking Name],[1]!Bookings[Discount Amount])</f>
        <v>0</v>
      </c>
      <c r="R128" s="27">
        <f>_xlfn.XLOOKUP(E128,[1]!Bookings[Booking Name],[1]!Bookings[Discount Percentage])</f>
        <v>0</v>
      </c>
      <c r="S128" s="4">
        <f>_xlfn.XLOOKUP(E128,[1]!Bookings[Booking Name],[1]!Bookings[Final Sale Value After Discount])</f>
        <v>941000</v>
      </c>
      <c r="T128" s="4">
        <f>_xlfn.XLOOKUP(E128,[1]!Bookings[Booking Name],[1]!Bookings[Inv Final Sale Value])</f>
        <v>941000</v>
      </c>
      <c r="U128" s="34" t="str">
        <f>_xlfn.XLOOKUP(E128,[1]!Bookings[Booking Name],[1]!Bookings[Sales])</f>
        <v>Ramy Abdelsalam</v>
      </c>
      <c r="V128" s="2" t="str">
        <f>_xlfn.XLOOKUP(E128,[1]!Bookings[Booking Name],[1]!Bookings[Agency Name])</f>
        <v>Sevenx Properties LLC</v>
      </c>
      <c r="W128" s="2" t="str">
        <f>_xlfn.XLOOKUP(E128,[1]!Bookings[Booking Name],[1]!Bookings[Booking ID])</f>
        <v>a03J600000Bs5Zm</v>
      </c>
      <c r="X128" s="2" t="str">
        <f>_xlfn.XLOOKUP(E128,[1]!Bookings[Booking Name],[1]!Bookings[Oracle Id])</f>
        <v>-</v>
      </c>
      <c r="Y128" s="70" t="s">
        <v>209</v>
      </c>
      <c r="Z128" s="90">
        <v>5000</v>
      </c>
      <c r="AA128" s="6">
        <v>5.3134962805526037E-3</v>
      </c>
      <c r="AB128" s="21" t="s">
        <v>31</v>
      </c>
      <c r="AC128" s="12" t="s">
        <v>70</v>
      </c>
      <c r="AD128" s="106" t="s">
        <v>315</v>
      </c>
      <c r="AE128" s="28" t="s">
        <v>88</v>
      </c>
      <c r="AF128" s="28" t="s">
        <v>99</v>
      </c>
    </row>
    <row r="129" spans="2:32" ht="50.25" customHeight="1" x14ac:dyDescent="0.3">
      <c r="B129" s="2" t="s">
        <v>159</v>
      </c>
      <c r="C129" s="2">
        <v>45915</v>
      </c>
      <c r="D129" s="2">
        <f>_xlfn.XLOOKUP(E129,[1]!Bookings[Booking Name],[1]!Bookings[Rejected Date])</f>
        <v>45916</v>
      </c>
      <c r="E129" s="39" t="s">
        <v>68</v>
      </c>
      <c r="F129" s="76" t="str">
        <f>_xlfn.XLOOKUP(E129,[1]!Bookings[Booking Name],[1]!Bookings[Booking Status])</f>
        <v>Rejected</v>
      </c>
      <c r="G129" s="2">
        <f>_xlfn.XLOOKUP(E129,[1]!Bookings[Booking Name],[1]!Bookings[Booking Date])</f>
        <v>45890</v>
      </c>
      <c r="H129" s="3">
        <f>_xlfn.XLOOKUP(E129,[1]!Bookings[Booking Name],[1]!Bookings[Booking Aging])</f>
        <v>169</v>
      </c>
      <c r="I129" s="2" t="str">
        <f>_xlfn.XLOOKUP(E129,[1]!Bookings[Booking Name],[1]!Bookings[Project Name])</f>
        <v>Do Dubai Island</v>
      </c>
      <c r="J129" s="2" t="str">
        <f>_xlfn.XLOOKUP(E129,[1]!Bookings[Booking Name],[1]!Bookings[Building])</f>
        <v>Tower 1</v>
      </c>
      <c r="K129" s="2" t="str">
        <f>_xlfn.XLOOKUP(E129,[1]!Bookings[Booking Name],[1]!Bookings[Bedrooms])</f>
        <v>Studio</v>
      </c>
      <c r="L129" s="2" t="str">
        <f>_xlfn.XLOOKUP(E129,[1]!Bookings[Booking Name],[1]!Bookings[Unit No.])</f>
        <v>107</v>
      </c>
      <c r="M129" s="36" t="str">
        <f>_xlfn.XLOOKUP(E129,[1]!Bookings[Booking Name],[1]!Bookings[Inventory Unit Status])</f>
        <v>SPA Executed</v>
      </c>
      <c r="N129" s="2" t="str">
        <f>_xlfn.XLOOKUP(E129,[1]!Bookings[Booking Name],[1]!Bookings[Booking Status])</f>
        <v>Rejected</v>
      </c>
      <c r="O129" s="52" t="str">
        <f>_xlfn.XLOOKUP(E129,[1]!Bookings[Booking Name],[1]!Bookings[Customer Name])</f>
        <v>Onur Tukel</v>
      </c>
      <c r="P129" s="2" t="str">
        <f>_xlfn.XLOOKUP(E129,[1]!Bookings[Booking Name],[1]!Bookings[Nationality])</f>
        <v>Canada</v>
      </c>
      <c r="Q129" s="4">
        <f>_xlfn.XLOOKUP(E129,[1]!Bookings[Booking Name],[1]!Bookings[Discount Amount])</f>
        <v>25920</v>
      </c>
      <c r="R129" s="27">
        <f>_xlfn.XLOOKUP(E129,[1]!Bookings[Booking Name],[1]!Bookings[Discount Percentage])</f>
        <v>0.02</v>
      </c>
      <c r="S129" s="4">
        <f>_xlfn.XLOOKUP(E129,[1]!Bookings[Booking Name],[1]!Bookings[Final Sale Value After Discount])</f>
        <v>1270080</v>
      </c>
      <c r="T129" s="4">
        <f>_xlfn.XLOOKUP(E129,[1]!Bookings[Booking Name],[1]!Bookings[Inv Final Sale Value])</f>
        <v>1296000</v>
      </c>
      <c r="U129" s="34" t="str">
        <f>_xlfn.XLOOKUP(E129,[1]!Bookings[Booking Name],[1]!Bookings[Sales])</f>
        <v>Zeynep Mustekin</v>
      </c>
      <c r="V129" s="2" t="str">
        <f>_xlfn.XLOOKUP(E129,[1]!Bookings[Booking Name],[1]!Bookings[Agency Name])</f>
        <v>Parcel Real Estates L.L.C</v>
      </c>
      <c r="W129" s="2" t="str">
        <f>_xlfn.XLOOKUP(E129,[1]!Bookings[Booking Name],[1]!Bookings[Booking ID])</f>
        <v>a03J600000BrKLL</v>
      </c>
      <c r="X129" s="2" t="str">
        <f>_xlfn.XLOOKUP(E129,[1]!Bookings[Booking Name],[1]!Bookings[Oracle Id])</f>
        <v>-</v>
      </c>
      <c r="Y129" s="70" t="s">
        <v>209</v>
      </c>
      <c r="Z129" s="90">
        <v>31700</v>
      </c>
      <c r="AA129" s="6">
        <v>2.4959057697152936E-2</v>
      </c>
      <c r="AB129" s="21" t="s">
        <v>31</v>
      </c>
      <c r="AC129" s="12" t="s">
        <v>430</v>
      </c>
      <c r="AD129" s="106" t="s">
        <v>314</v>
      </c>
      <c r="AE129" s="28" t="s">
        <v>87</v>
      </c>
      <c r="AF129" s="28" t="s">
        <v>100</v>
      </c>
    </row>
    <row r="130" spans="2:32" ht="50.25" customHeight="1" x14ac:dyDescent="0.3">
      <c r="B130" s="2" t="s">
        <v>159</v>
      </c>
      <c r="C130" s="2">
        <v>45915</v>
      </c>
      <c r="D130" s="2">
        <f>_xlfn.XLOOKUP(E130,[1]!Bookings[Booking Name],[1]!Bookings[Rejected Date])</f>
        <v>45915</v>
      </c>
      <c r="E130" s="39" t="s">
        <v>67</v>
      </c>
      <c r="F130" s="76" t="str">
        <f>_xlfn.XLOOKUP(E130,[1]!Bookings[Booking Name],[1]!Bookings[Booking Status])</f>
        <v>Rejected</v>
      </c>
      <c r="G130" s="2">
        <f>_xlfn.XLOOKUP(E130,[1]!Bookings[Booking Name],[1]!Bookings[Booking Date])</f>
        <v>45878</v>
      </c>
      <c r="H130" s="3">
        <f>_xlfn.XLOOKUP(E130,[1]!Bookings[Booking Name],[1]!Bookings[Booking Aging])</f>
        <v>181</v>
      </c>
      <c r="I130" s="2" t="str">
        <f>_xlfn.XLOOKUP(E130,[1]!Bookings[Booking Name],[1]!Bookings[Project Name])</f>
        <v>Laguna Residence</v>
      </c>
      <c r="J130" s="2" t="str">
        <f>_xlfn.XLOOKUP(E130,[1]!Bookings[Booking Name],[1]!Bookings[Building])</f>
        <v>Tower B</v>
      </c>
      <c r="K130" s="2" t="str">
        <f>_xlfn.XLOOKUP(E130,[1]!Bookings[Booking Name],[1]!Bookings[Bedrooms])</f>
        <v>2 Bedroom</v>
      </c>
      <c r="L130" s="2" t="str">
        <f>_xlfn.XLOOKUP(E130,[1]!Bookings[Booking Name],[1]!Bookings[Unit No.])</f>
        <v>B308</v>
      </c>
      <c r="M130" s="36" t="str">
        <f>_xlfn.XLOOKUP(E130,[1]!Bookings[Booking Name],[1]!Bookings[Inventory Unit Status])</f>
        <v>Blocked</v>
      </c>
      <c r="N130" s="2" t="str">
        <f>_xlfn.XLOOKUP(E130,[1]!Bookings[Booking Name],[1]!Bookings[Booking Status])</f>
        <v>Rejected</v>
      </c>
      <c r="O130" s="52" t="str">
        <f>_xlfn.XLOOKUP(E130,[1]!Bookings[Booking Name],[1]!Bookings[Customer Name])</f>
        <v>Touria Agallouch</v>
      </c>
      <c r="P130" s="2" t="str">
        <f>_xlfn.XLOOKUP(E130,[1]!Bookings[Booking Name],[1]!Bookings[Nationality])</f>
        <v>Morocco</v>
      </c>
      <c r="Q130" s="4">
        <f>_xlfn.XLOOKUP(E130,[1]!Bookings[Booking Name],[1]!Bookings[Discount Amount])</f>
        <v>151363.5</v>
      </c>
      <c r="R130" s="27">
        <f>_xlfn.XLOOKUP(E130,[1]!Bookings[Booking Name],[1]!Bookings[Discount Percentage])</f>
        <v>8.9300000000000004E-2</v>
      </c>
      <c r="S130" s="4">
        <f>_xlfn.XLOOKUP(E130,[1]!Bookings[Booking Name],[1]!Bookings[Final Sale Value After Discount])</f>
        <v>1543636.5</v>
      </c>
      <c r="T130" s="4">
        <f>_xlfn.XLOOKUP(E130,[1]!Bookings[Booking Name],[1]!Bookings[Inv Final Sale Value])</f>
        <v>1695000</v>
      </c>
      <c r="U130" s="34" t="str">
        <f>_xlfn.XLOOKUP(E130,[1]!Bookings[Booking Name],[1]!Bookings[Sales])</f>
        <v>Mohamed El Shimy</v>
      </c>
      <c r="V130" s="2" t="str">
        <f>_xlfn.XLOOKUP(E130,[1]!Bookings[Booking Name],[1]!Bookings[Agency Name])</f>
        <v/>
      </c>
      <c r="W130" s="2" t="str">
        <f>_xlfn.XLOOKUP(E130,[1]!Bookings[Booking Name],[1]!Bookings[Booking ID])</f>
        <v>a03J600000BqiQg</v>
      </c>
      <c r="X130" s="2" t="str">
        <f>_xlfn.XLOOKUP(E130,[1]!Bookings[Booking Name],[1]!Bookings[Oracle Id])</f>
        <v>-</v>
      </c>
      <c r="Y130" s="70" t="s">
        <v>209</v>
      </c>
      <c r="Z130" s="18"/>
      <c r="AA130" s="6">
        <v>0</v>
      </c>
      <c r="AB130" s="18"/>
      <c r="AC130" s="12" t="s">
        <v>71</v>
      </c>
      <c r="AD130" s="12" t="s">
        <v>422</v>
      </c>
      <c r="AE130" s="28" t="s">
        <v>94</v>
      </c>
      <c r="AF130" s="28" t="s">
        <v>101</v>
      </c>
    </row>
    <row r="131" spans="2:32" ht="50.25" customHeight="1" x14ac:dyDescent="0.3">
      <c r="B131" s="2" t="s">
        <v>159</v>
      </c>
      <c r="C131" s="2">
        <v>45911</v>
      </c>
      <c r="D131" s="2">
        <f>_xlfn.XLOOKUP(E131,[1]!Bookings[Booking Name],[1]!Bookings[Rejected Date])</f>
        <v>45911</v>
      </c>
      <c r="E131" s="39" t="s">
        <v>65</v>
      </c>
      <c r="F131" s="76" t="str">
        <f>_xlfn.XLOOKUP(E131,[1]!Bookings[Booking Name],[1]!Bookings[Booking Status])</f>
        <v>Rejected</v>
      </c>
      <c r="G131" s="2">
        <f>_xlfn.XLOOKUP(E131,[1]!Bookings[Booking Name],[1]!Bookings[Booking Date])</f>
        <v>45877</v>
      </c>
      <c r="H131" s="3">
        <f>_xlfn.XLOOKUP(E131,[1]!Bookings[Booking Name],[1]!Bookings[Booking Aging])</f>
        <v>182</v>
      </c>
      <c r="I131" s="2" t="str">
        <f>_xlfn.XLOOKUP(E131,[1]!Bookings[Booking Name],[1]!Bookings[Project Name])</f>
        <v>Laguna Residence</v>
      </c>
      <c r="J131" s="2" t="str">
        <f>_xlfn.XLOOKUP(E131,[1]!Bookings[Booking Name],[1]!Bookings[Building])</f>
        <v>Tower A</v>
      </c>
      <c r="K131" s="2" t="str">
        <f>_xlfn.XLOOKUP(E131,[1]!Bookings[Booking Name],[1]!Bookings[Bedrooms])</f>
        <v>2 Bedroom</v>
      </c>
      <c r="L131" s="2" t="str">
        <f>_xlfn.XLOOKUP(E131,[1]!Bookings[Booking Name],[1]!Bookings[Unit No.])</f>
        <v>A106</v>
      </c>
      <c r="M131" s="36" t="str">
        <f>_xlfn.XLOOKUP(E131,[1]!Bookings[Booking Name],[1]!Bookings[Inventory Unit Status])</f>
        <v>Blocked</v>
      </c>
      <c r="N131" s="2" t="str">
        <f>_xlfn.XLOOKUP(E131,[1]!Bookings[Booking Name],[1]!Bookings[Booking Status])</f>
        <v>Rejected</v>
      </c>
      <c r="O131" s="52" t="str">
        <f>_xlfn.XLOOKUP(E131,[1]!Bookings[Booking Name],[1]!Bookings[Customer Name])</f>
        <v>Daniel Phinn</v>
      </c>
      <c r="P131" s="2" t="str">
        <f>_xlfn.XLOOKUP(E131,[1]!Bookings[Booking Name],[1]!Bookings[Nationality])</f>
        <v>United Kingdom</v>
      </c>
      <c r="Q131" s="4">
        <f>_xlfn.XLOOKUP(E131,[1]!Bookings[Booking Name],[1]!Bookings[Discount Amount])</f>
        <v>119350</v>
      </c>
      <c r="R131" s="27">
        <f>_xlfn.XLOOKUP(E131,[1]!Bookings[Booking Name],[1]!Bookings[Discount Percentage])</f>
        <v>0.05</v>
      </c>
      <c r="S131" s="4">
        <f>_xlfn.XLOOKUP(E131,[1]!Bookings[Booking Name],[1]!Bookings[Final Sale Value After Discount])</f>
        <v>2267650</v>
      </c>
      <c r="T131" s="4">
        <f>_xlfn.XLOOKUP(E131,[1]!Bookings[Booking Name],[1]!Bookings[Inv Final Sale Value])</f>
        <v>2387000</v>
      </c>
      <c r="U131" s="34" t="str">
        <f>_xlfn.XLOOKUP(E131,[1]!Bookings[Booking Name],[1]!Bookings[Sales])</f>
        <v>Claire Moussa</v>
      </c>
      <c r="V131" s="2" t="str">
        <f>_xlfn.XLOOKUP(E131,[1]!Bookings[Booking Name],[1]!Bookings[Agency Name])</f>
        <v>Paul Anthony Smith</v>
      </c>
      <c r="W131" s="2" t="str">
        <f>_xlfn.XLOOKUP(E131,[1]!Bookings[Booking Name],[1]!Bookings[Booking ID])</f>
        <v>a03J600000Bqgbk</v>
      </c>
      <c r="X131" s="2" t="str">
        <f>_xlfn.XLOOKUP(E131,[1]!Bookings[Booking Name],[1]!Bookings[Oracle Id])</f>
        <v>-</v>
      </c>
      <c r="Y131" s="70" t="s">
        <v>209</v>
      </c>
      <c r="Z131" s="18" t="s">
        <v>25</v>
      </c>
      <c r="AA131" s="19" t="s">
        <v>26</v>
      </c>
      <c r="AB131" s="18" t="s">
        <v>26</v>
      </c>
      <c r="AC131" s="28" t="s">
        <v>93</v>
      </c>
      <c r="AD131" s="14" t="s">
        <v>313</v>
      </c>
      <c r="AE131" s="28" t="s">
        <v>93</v>
      </c>
      <c r="AF131" s="28" t="s">
        <v>96</v>
      </c>
    </row>
    <row r="132" spans="2:32" ht="50.25" customHeight="1" x14ac:dyDescent="0.3">
      <c r="B132" s="2" t="s">
        <v>159</v>
      </c>
      <c r="C132" s="2">
        <v>45911</v>
      </c>
      <c r="D132" s="2">
        <f>_xlfn.XLOOKUP(E132,[1]!Bookings[Booking Name],[1]!Bookings[Rejected Date])</f>
        <v>45912</v>
      </c>
      <c r="E132" s="39" t="s">
        <v>63</v>
      </c>
      <c r="F132" s="76" t="str">
        <f>_xlfn.XLOOKUP(E132,[1]!Bookings[Booking Name],[1]!Bookings[Booking Status])</f>
        <v>Rejected</v>
      </c>
      <c r="G132" s="2">
        <f>_xlfn.XLOOKUP(E132,[1]!Bookings[Booking Name],[1]!Bookings[Booking Date])</f>
        <v>45878</v>
      </c>
      <c r="H132" s="3">
        <f>_xlfn.XLOOKUP(E132,[1]!Bookings[Booking Name],[1]!Bookings[Booking Aging])</f>
        <v>181</v>
      </c>
      <c r="I132" s="2" t="str">
        <f>_xlfn.XLOOKUP(E132,[1]!Bookings[Booking Name],[1]!Bookings[Project Name])</f>
        <v>Laguna Residence</v>
      </c>
      <c r="J132" s="2" t="str">
        <f>_xlfn.XLOOKUP(E132,[1]!Bookings[Booking Name],[1]!Bookings[Building])</f>
        <v>Tower B</v>
      </c>
      <c r="K132" s="2" t="str">
        <f>_xlfn.XLOOKUP(E132,[1]!Bookings[Booking Name],[1]!Bookings[Bedrooms])</f>
        <v>2 Bedroom</v>
      </c>
      <c r="L132" s="2" t="str">
        <f>_xlfn.XLOOKUP(E132,[1]!Bookings[Booking Name],[1]!Bookings[Unit No.])</f>
        <v>B917</v>
      </c>
      <c r="M132" s="36" t="str">
        <f>_xlfn.XLOOKUP(E132,[1]!Bookings[Booking Name],[1]!Bookings[Inventory Unit Status])</f>
        <v>Blocked</v>
      </c>
      <c r="N132" s="2" t="str">
        <f>_xlfn.XLOOKUP(E132,[1]!Bookings[Booking Name],[1]!Bookings[Booking Status])</f>
        <v>Rejected</v>
      </c>
      <c r="O132" s="52" t="str">
        <f>_xlfn.XLOOKUP(E132,[1]!Bookings[Booking Name],[1]!Bookings[Customer Name])</f>
        <v>Abdelkarim Ghaizi</v>
      </c>
      <c r="P132" s="2" t="str">
        <f>_xlfn.XLOOKUP(E132,[1]!Bookings[Booking Name],[1]!Bookings[Nationality])</f>
        <v>Tunisia</v>
      </c>
      <c r="Q132" s="4">
        <f>_xlfn.XLOOKUP(E132,[1]!Bookings[Booking Name],[1]!Bookings[Discount Amount])</f>
        <v>40150</v>
      </c>
      <c r="R132" s="27">
        <f>_xlfn.XLOOKUP(E132,[1]!Bookings[Booking Name],[1]!Bookings[Discount Percentage])</f>
        <v>2.5000000000000001E-2</v>
      </c>
      <c r="S132" s="4">
        <f>_xlfn.XLOOKUP(E132,[1]!Bookings[Booking Name],[1]!Bookings[Final Sale Value After Discount])</f>
        <v>1565850</v>
      </c>
      <c r="T132" s="4">
        <f>_xlfn.XLOOKUP(E132,[1]!Bookings[Booking Name],[1]!Bookings[Inv Final Sale Value])</f>
        <v>1606000</v>
      </c>
      <c r="U132" s="34" t="str">
        <f>_xlfn.XLOOKUP(E132,[1]!Bookings[Booking Name],[1]!Bookings[Sales])</f>
        <v>Mohamed El Shimy</v>
      </c>
      <c r="V132" s="2" t="str">
        <f>_xlfn.XLOOKUP(E132,[1]!Bookings[Booking Name],[1]!Bookings[Agency Name])</f>
        <v/>
      </c>
      <c r="W132" s="2" t="str">
        <f>_xlfn.XLOOKUP(E132,[1]!Bookings[Booking Name],[1]!Bookings[Booking ID])</f>
        <v>a03J600000BqiQI</v>
      </c>
      <c r="X132" s="2" t="str">
        <f>_xlfn.XLOOKUP(E132,[1]!Bookings[Booking Name],[1]!Bookings[Oracle Id])</f>
        <v>-</v>
      </c>
      <c r="Y132" s="70" t="s">
        <v>209</v>
      </c>
      <c r="Z132" s="3" t="s">
        <v>25</v>
      </c>
      <c r="AA132" s="17" t="s">
        <v>26</v>
      </c>
      <c r="AB132" s="16" t="s">
        <v>26</v>
      </c>
      <c r="AC132" s="12" t="s">
        <v>64</v>
      </c>
      <c r="AD132" s="106" t="s">
        <v>312</v>
      </c>
      <c r="AE132" s="28" t="s">
        <v>89</v>
      </c>
      <c r="AF132" s="28" t="s">
        <v>102</v>
      </c>
    </row>
    <row r="133" spans="2:32" ht="50.25" customHeight="1" x14ac:dyDescent="0.3">
      <c r="B133" s="2" t="s">
        <v>159</v>
      </c>
      <c r="C133" s="2">
        <v>45911</v>
      </c>
      <c r="D133" s="2">
        <f>_xlfn.XLOOKUP(E133,[1]!Bookings[Booking Name],[1]!Bookings[Rejected Date])</f>
        <v>45922</v>
      </c>
      <c r="E133" s="39" t="s">
        <v>62</v>
      </c>
      <c r="F133" s="76" t="str">
        <f>_xlfn.XLOOKUP(E133,[1]!Bookings[Booking Name],[1]!Bookings[Booking Status])</f>
        <v>Rejected</v>
      </c>
      <c r="G133" s="2">
        <f>_xlfn.XLOOKUP(E133,[1]!Bookings[Booking Name],[1]!Bookings[Booking Date])</f>
        <v>45731</v>
      </c>
      <c r="H133" s="3">
        <f>_xlfn.XLOOKUP(E133,[1]!Bookings[Booking Name],[1]!Bookings[Booking Aging])</f>
        <v>328</v>
      </c>
      <c r="I133" s="2" t="str">
        <f>_xlfn.XLOOKUP(E133,[1]!Bookings[Booking Name],[1]!Bookings[Project Name])</f>
        <v>Laguna Residence</v>
      </c>
      <c r="J133" s="2" t="str">
        <f>_xlfn.XLOOKUP(E133,[1]!Bookings[Booking Name],[1]!Bookings[Building])</f>
        <v>Tower A</v>
      </c>
      <c r="K133" s="2" t="str">
        <f>_xlfn.XLOOKUP(E133,[1]!Bookings[Booking Name],[1]!Bookings[Bedrooms])</f>
        <v>2 Bedroom</v>
      </c>
      <c r="L133" s="2" t="str">
        <f>_xlfn.XLOOKUP(E133,[1]!Bookings[Booking Name],[1]!Bookings[Unit No.])</f>
        <v>A103</v>
      </c>
      <c r="M133" s="36" t="str">
        <f>_xlfn.XLOOKUP(E133,[1]!Bookings[Booking Name],[1]!Bookings[Inventory Unit Status])</f>
        <v>Available</v>
      </c>
      <c r="N133" s="2" t="str">
        <f>_xlfn.XLOOKUP(E133,[1]!Bookings[Booking Name],[1]!Bookings[Booking Status])</f>
        <v>Rejected</v>
      </c>
      <c r="O133" s="52" t="str">
        <f>_xlfn.XLOOKUP(E133,[1]!Bookings[Booking Name],[1]!Bookings[Customer Name])</f>
        <v>Moinuddin Mansuri</v>
      </c>
      <c r="P133" s="2" t="str">
        <f>_xlfn.XLOOKUP(E133,[1]!Bookings[Booking Name],[1]!Bookings[Nationality])</f>
        <v>India</v>
      </c>
      <c r="Q133" s="4">
        <f>_xlfn.XLOOKUP(E133,[1]!Bookings[Booking Name],[1]!Bookings[Discount Amount])</f>
        <v>161399</v>
      </c>
      <c r="R133" s="27">
        <f>_xlfn.XLOOKUP(E133,[1]!Bookings[Booking Name],[1]!Bookings[Discount Percentage])</f>
        <v>6.5582689963429502E-2</v>
      </c>
      <c r="S133" s="4">
        <f>_xlfn.XLOOKUP(E133,[1]!Bookings[Booking Name],[1]!Bookings[Final Sale Value After Discount])</f>
        <v>2299601</v>
      </c>
      <c r="T133" s="4">
        <f>_xlfn.XLOOKUP(E133,[1]!Bookings[Booking Name],[1]!Bookings[Inv Final Sale Value])</f>
        <v>2461000</v>
      </c>
      <c r="U133" s="34" t="str">
        <f>_xlfn.XLOOKUP(E133,[1]!Bookings[Booking Name],[1]!Bookings[Sales])</f>
        <v>Amal El Gendy</v>
      </c>
      <c r="V133" s="2" t="str">
        <f>_xlfn.XLOOKUP(E133,[1]!Bookings[Booking Name],[1]!Bookings[Agency Name])</f>
        <v>R E M REAL ESTATE BROKER OWNED BY MUNA SAYED SAEED ALHASHEMI</v>
      </c>
      <c r="W133" s="2" t="str">
        <f>_xlfn.XLOOKUP(E133,[1]!Bookings[Booking Name],[1]!Bookings[Booking ID])</f>
        <v>a03J6000007zo3p</v>
      </c>
      <c r="X133" s="2" t="str">
        <f>_xlfn.XLOOKUP(E133,[1]!Bookings[Booking Name],[1]!Bookings[Oracle Id])</f>
        <v>21502</v>
      </c>
      <c r="Y133" s="70">
        <v>7000</v>
      </c>
      <c r="Z133" s="90">
        <v>100000</v>
      </c>
      <c r="AA133" s="6">
        <v>4.3485804711339053E-2</v>
      </c>
      <c r="AB133" s="16" t="s">
        <v>31</v>
      </c>
      <c r="AC133" s="60" t="s">
        <v>93</v>
      </c>
      <c r="AD133" s="14" t="s">
        <v>311</v>
      </c>
      <c r="AE133" s="28" t="s">
        <v>93</v>
      </c>
      <c r="AF133" s="28" t="s">
        <v>96</v>
      </c>
    </row>
    <row r="134" spans="2:32" ht="50.25" customHeight="1" x14ac:dyDescent="0.3">
      <c r="B134" s="2" t="s">
        <v>159</v>
      </c>
      <c r="C134" s="2">
        <v>45909</v>
      </c>
      <c r="D134" s="2">
        <f>_xlfn.XLOOKUP(E134,[1]!Bookings[Booking Name],[1]!Bookings[Rejected Date])</f>
        <v>45909</v>
      </c>
      <c r="E134" s="39" t="s">
        <v>60</v>
      </c>
      <c r="F134" s="76" t="str">
        <f>_xlfn.XLOOKUP(E134,[1]!Bookings[Booking Name],[1]!Bookings[Booking Status])</f>
        <v>Rejected</v>
      </c>
      <c r="G134" s="2">
        <f>_xlfn.XLOOKUP(E134,[1]!Bookings[Booking Name],[1]!Bookings[Booking Date])</f>
        <v>45904</v>
      </c>
      <c r="H134" s="3">
        <f>_xlfn.XLOOKUP(E134,[1]!Bookings[Booking Name],[1]!Bookings[Booking Aging])</f>
        <v>155</v>
      </c>
      <c r="I134" s="2" t="str">
        <f>_xlfn.XLOOKUP(E134,[1]!Bookings[Booking Name],[1]!Bookings[Project Name])</f>
        <v>Laguna Residence</v>
      </c>
      <c r="J134" s="2" t="str">
        <f>_xlfn.XLOOKUP(E134,[1]!Bookings[Booking Name],[1]!Bookings[Building])</f>
        <v>Tower A</v>
      </c>
      <c r="K134" s="2" t="str">
        <f>_xlfn.XLOOKUP(E134,[1]!Bookings[Booking Name],[1]!Bookings[Bedrooms])</f>
        <v>2 Bedroom</v>
      </c>
      <c r="L134" s="2" t="str">
        <f>_xlfn.XLOOKUP(E134,[1]!Bookings[Booking Name],[1]!Bookings[Unit No.])</f>
        <v>A1801</v>
      </c>
      <c r="M134" s="36" t="str">
        <f>_xlfn.XLOOKUP(E134,[1]!Bookings[Booking Name],[1]!Bookings[Inventory Unit Status])</f>
        <v>SPA Executed</v>
      </c>
      <c r="N134" s="2" t="str">
        <f>_xlfn.XLOOKUP(E134,[1]!Bookings[Booking Name],[1]!Bookings[Booking Status])</f>
        <v>Rejected</v>
      </c>
      <c r="O134" s="52" t="str">
        <f>_xlfn.XLOOKUP(E134,[1]!Bookings[Booking Name],[1]!Bookings[Customer Name])</f>
        <v>Joseph Mallekkattu</v>
      </c>
      <c r="P134" s="2" t="str">
        <f>_xlfn.XLOOKUP(E134,[1]!Bookings[Booking Name],[1]!Bookings[Nationality])</f>
        <v>India</v>
      </c>
      <c r="Q134" s="4">
        <f>_xlfn.XLOOKUP(E134,[1]!Bookings[Booking Name],[1]!Bookings[Discount Amount])</f>
        <v>129450</v>
      </c>
      <c r="R134" s="27">
        <f>_xlfn.XLOOKUP(E134,[1]!Bookings[Booking Name],[1]!Bookings[Discount Percentage])</f>
        <v>0.05</v>
      </c>
      <c r="S134" s="4">
        <f>_xlfn.XLOOKUP(E134,[1]!Bookings[Booking Name],[1]!Bookings[Final Sale Value After Discount])</f>
        <v>2459550</v>
      </c>
      <c r="T134" s="4">
        <f>_xlfn.XLOOKUP(E134,[1]!Bookings[Booking Name],[1]!Bookings[Inv Final Sale Value])</f>
        <v>2589000</v>
      </c>
      <c r="U134" s="34" t="str">
        <f>_xlfn.XLOOKUP(E134,[1]!Bookings[Booking Name],[1]!Bookings[Sales])</f>
        <v>Yasmin Bahader</v>
      </c>
      <c r="V134" s="2" t="str">
        <f>_xlfn.XLOOKUP(E134,[1]!Bookings[Booking Name],[1]!Bookings[Agency Name])</f>
        <v>RANGE INTERNATIONAL PROPERTY INVESTMENT ONE PERSON COMPANY L.L.C</v>
      </c>
      <c r="W134" s="2" t="str">
        <f>_xlfn.XLOOKUP(E134,[1]!Bookings[Booking Name],[1]!Bookings[Booking ID])</f>
        <v>a03J600000Bs7ad</v>
      </c>
      <c r="X134" s="2" t="str">
        <f>_xlfn.XLOOKUP(E134,[1]!Bookings[Booking Name],[1]!Bookings[Oracle Id])</f>
        <v>-</v>
      </c>
      <c r="Y134" s="70" t="s">
        <v>209</v>
      </c>
      <c r="Z134" s="90">
        <v>50000</v>
      </c>
      <c r="AA134" s="6">
        <v>2.0328921957268604E-2</v>
      </c>
      <c r="AB134" s="15" t="s">
        <v>31</v>
      </c>
      <c r="AC134" s="12" t="s">
        <v>61</v>
      </c>
      <c r="AD134" s="106" t="s">
        <v>310</v>
      </c>
      <c r="AE134" s="28" t="s">
        <v>87</v>
      </c>
      <c r="AF134" s="28" t="s">
        <v>103</v>
      </c>
    </row>
    <row r="135" spans="2:32" ht="50.25" customHeight="1" x14ac:dyDescent="0.3">
      <c r="B135" s="2" t="s">
        <v>159</v>
      </c>
      <c r="C135" s="2">
        <v>45908</v>
      </c>
      <c r="D135" s="2">
        <f>_xlfn.XLOOKUP(E135,[1]!Bookings[Booking Name],[1]!Bookings[Rejected Date])</f>
        <v>45911</v>
      </c>
      <c r="E135" s="39" t="s">
        <v>58</v>
      </c>
      <c r="F135" s="76" t="str">
        <f>_xlfn.XLOOKUP(E135,[1]!Bookings[Booking Name],[1]!Bookings[Booking Status])</f>
        <v>Rejected</v>
      </c>
      <c r="G135" s="2">
        <f>_xlfn.XLOOKUP(E135,[1]!Bookings[Booking Name],[1]!Bookings[Booking Date])</f>
        <v>45903</v>
      </c>
      <c r="H135" s="3">
        <f>_xlfn.XLOOKUP(E135,[1]!Bookings[Booking Name],[1]!Bookings[Booking Aging])</f>
        <v>156</v>
      </c>
      <c r="I135" s="2" t="str">
        <f>_xlfn.XLOOKUP(E135,[1]!Bookings[Booking Name],[1]!Bookings[Project Name])</f>
        <v>Laguna Residence</v>
      </c>
      <c r="J135" s="2" t="str">
        <f>_xlfn.XLOOKUP(E135,[1]!Bookings[Booking Name],[1]!Bookings[Building])</f>
        <v>Tower A</v>
      </c>
      <c r="K135" s="2" t="str">
        <f>_xlfn.XLOOKUP(E135,[1]!Bookings[Booking Name],[1]!Bookings[Bedrooms])</f>
        <v>Studio</v>
      </c>
      <c r="L135" s="2" t="str">
        <f>_xlfn.XLOOKUP(E135,[1]!Bookings[Booking Name],[1]!Bookings[Unit No.])</f>
        <v>A3103</v>
      </c>
      <c r="M135" s="36" t="str">
        <f>_xlfn.XLOOKUP(E135,[1]!Bookings[Booking Name],[1]!Bookings[Inventory Unit Status])</f>
        <v>SPA Executed</v>
      </c>
      <c r="N135" s="2" t="str">
        <f>_xlfn.XLOOKUP(E135,[1]!Bookings[Booking Name],[1]!Bookings[Booking Status])</f>
        <v>Rejected</v>
      </c>
      <c r="O135" s="52" t="str">
        <f>_xlfn.XLOOKUP(E135,[1]!Bookings[Booking Name],[1]!Bookings[Customer Name])</f>
        <v>Vishal Sardana</v>
      </c>
      <c r="P135" s="2" t="str">
        <f>_xlfn.XLOOKUP(E135,[1]!Bookings[Booking Name],[1]!Bookings[Nationality])</f>
        <v>Australia</v>
      </c>
      <c r="Q135" s="4">
        <f>_xlfn.XLOOKUP(E135,[1]!Bookings[Booking Name],[1]!Bookings[Discount Amount])</f>
        <v>0</v>
      </c>
      <c r="R135" s="27">
        <f>_xlfn.XLOOKUP(E135,[1]!Bookings[Booking Name],[1]!Bookings[Discount Percentage])</f>
        <v>0</v>
      </c>
      <c r="S135" s="4">
        <f>_xlfn.XLOOKUP(E135,[1]!Bookings[Booking Name],[1]!Bookings[Final Sale Value After Discount])</f>
        <v>896000</v>
      </c>
      <c r="T135" s="4">
        <f>_xlfn.XLOOKUP(E135,[1]!Bookings[Booking Name],[1]!Bookings[Inv Final Sale Value])</f>
        <v>896000</v>
      </c>
      <c r="U135" s="34" t="str">
        <f>_xlfn.XLOOKUP(E135,[1]!Bookings[Booking Name],[1]!Bookings[Sales])</f>
        <v>Fadwa Belkaid</v>
      </c>
      <c r="V135" s="2" t="str">
        <f>_xlfn.XLOOKUP(E135,[1]!Bookings[Booking Name],[1]!Bookings[Agency Name])</f>
        <v>Blaze Realty L.L.C</v>
      </c>
      <c r="W135" s="2" t="str">
        <f>_xlfn.XLOOKUP(E135,[1]!Bookings[Booking Name],[1]!Bookings[Booking ID])</f>
        <v>a03J600000Bs37n</v>
      </c>
      <c r="X135" s="2" t="str">
        <f>_xlfn.XLOOKUP(E135,[1]!Bookings[Booking Name],[1]!Bookings[Oracle Id])</f>
        <v>-</v>
      </c>
      <c r="Y135" s="70" t="s">
        <v>209</v>
      </c>
      <c r="Z135" s="90">
        <v>2400</v>
      </c>
      <c r="AA135" s="6">
        <v>2.6785714285714286E-3</v>
      </c>
      <c r="AB135" s="13" t="s">
        <v>26</v>
      </c>
      <c r="AC135" s="12" t="s">
        <v>59</v>
      </c>
      <c r="AD135" s="106" t="s">
        <v>309</v>
      </c>
      <c r="AE135" s="28" t="s">
        <v>32</v>
      </c>
      <c r="AF135" s="28" t="s">
        <v>104</v>
      </c>
    </row>
    <row r="136" spans="2:32" ht="50.25" customHeight="1" x14ac:dyDescent="0.3">
      <c r="B136" s="2" t="s">
        <v>159</v>
      </c>
      <c r="C136" s="2">
        <v>45903</v>
      </c>
      <c r="D136" s="2">
        <f>_xlfn.XLOOKUP(E136,[1]!Bookings[Booking Name],[1]!Bookings[Rejected Date])</f>
        <v>45904</v>
      </c>
      <c r="E136" s="39" t="s">
        <v>55</v>
      </c>
      <c r="F136" s="76" t="str">
        <f>_xlfn.XLOOKUP(E136,[1]!Bookings[Booking Name],[1]!Bookings[Booking Status])</f>
        <v>Rejected</v>
      </c>
      <c r="G136" s="2">
        <f>_xlfn.XLOOKUP(E136,[1]!Bookings[Booking Name],[1]!Bookings[Booking Date])</f>
        <v>45902</v>
      </c>
      <c r="H136" s="3">
        <f>_xlfn.XLOOKUP(E136,[1]!Bookings[Booking Name],[1]!Bookings[Booking Aging])</f>
        <v>157</v>
      </c>
      <c r="I136" s="2" t="str">
        <f>_xlfn.XLOOKUP(E136,[1]!Bookings[Booking Name],[1]!Bookings[Project Name])</f>
        <v>Do Dubai Island</v>
      </c>
      <c r="J136" s="2" t="str">
        <f>_xlfn.XLOOKUP(E136,[1]!Bookings[Booking Name],[1]!Bookings[Building])</f>
        <v>Tower 1</v>
      </c>
      <c r="K136" s="2" t="str">
        <f>_xlfn.XLOOKUP(E136,[1]!Bookings[Booking Name],[1]!Bookings[Bedrooms])</f>
        <v>1 Bedroom</v>
      </c>
      <c r="L136" s="2" t="str">
        <f>_xlfn.XLOOKUP(E136,[1]!Bookings[Booking Name],[1]!Bookings[Unit No.])</f>
        <v>403</v>
      </c>
      <c r="M136" s="36" t="str">
        <f>_xlfn.XLOOKUP(E136,[1]!Bookings[Booking Name],[1]!Bookings[Inventory Unit Status])</f>
        <v>SPA Executed</v>
      </c>
      <c r="N136" s="2" t="str">
        <f>_xlfn.XLOOKUP(E136,[1]!Bookings[Booking Name],[1]!Bookings[Booking Status])</f>
        <v>Rejected</v>
      </c>
      <c r="O136" s="52" t="str">
        <f>_xlfn.XLOOKUP(E136,[1]!Bookings[Booking Name],[1]!Bookings[Customer Name])</f>
        <v>Sriram Rajagopalan Rajagopalan</v>
      </c>
      <c r="P136" s="2" t="str">
        <f>_xlfn.XLOOKUP(E136,[1]!Bookings[Booking Name],[1]!Bookings[Nationality])</f>
        <v>India</v>
      </c>
      <c r="Q136" s="4">
        <f>_xlfn.XLOOKUP(E136,[1]!Bookings[Booking Name],[1]!Bookings[Discount Amount])</f>
        <v>0</v>
      </c>
      <c r="R136" s="27">
        <f>_xlfn.XLOOKUP(E136,[1]!Bookings[Booking Name],[1]!Bookings[Discount Percentage])</f>
        <v>0</v>
      </c>
      <c r="S136" s="4">
        <f>_xlfn.XLOOKUP(E136,[1]!Bookings[Booking Name],[1]!Bookings[Final Sale Value After Discount])</f>
        <v>2646000</v>
      </c>
      <c r="T136" s="4">
        <f>_xlfn.XLOOKUP(E136,[1]!Bookings[Booking Name],[1]!Bookings[Inv Final Sale Value])</f>
        <v>2646000</v>
      </c>
      <c r="U136" s="34" t="str">
        <f>_xlfn.XLOOKUP(E136,[1]!Bookings[Booking Name],[1]!Bookings[Sales])</f>
        <v>Ramy Abdelsalam</v>
      </c>
      <c r="V136" s="2" t="str">
        <f>_xlfn.XLOOKUP(E136,[1]!Bookings[Booking Name],[1]!Bookings[Agency Name])</f>
        <v>Gwt real estate agent</v>
      </c>
      <c r="W136" s="2" t="str">
        <f>_xlfn.XLOOKUP(E136,[1]!Bookings[Booking Name],[1]!Bookings[Booking ID])</f>
        <v>a03J600000BrxUQ</v>
      </c>
      <c r="X136" s="2" t="str">
        <f>_xlfn.XLOOKUP(E136,[1]!Bookings[Booking Name],[1]!Bookings[Oracle Id])</f>
        <v>-</v>
      </c>
      <c r="Y136" s="70" t="s">
        <v>209</v>
      </c>
      <c r="Z136" s="3" t="s">
        <v>25</v>
      </c>
      <c r="AA136" s="3" t="s">
        <v>26</v>
      </c>
      <c r="AB136" s="3" t="s">
        <v>26</v>
      </c>
      <c r="AC136" s="12" t="s">
        <v>56</v>
      </c>
      <c r="AD136" s="12" t="s">
        <v>422</v>
      </c>
      <c r="AE136" s="28" t="s">
        <v>89</v>
      </c>
      <c r="AF136" s="28" t="s">
        <v>105</v>
      </c>
    </row>
    <row r="137" spans="2:32" ht="50.25" customHeight="1" x14ac:dyDescent="0.3">
      <c r="B137" s="2" t="s">
        <v>160</v>
      </c>
      <c r="C137" s="2">
        <v>45898</v>
      </c>
      <c r="D137" s="2">
        <f>_xlfn.XLOOKUP(E137,[1]!Bookings[Booking Name],[1]!Bookings[Rejected Date])</f>
        <v>45901</v>
      </c>
      <c r="E137" s="39" t="s">
        <v>53</v>
      </c>
      <c r="F137" s="76" t="str">
        <f>_xlfn.XLOOKUP(E137,[1]!Bookings[Booking Name],[1]!Bookings[Booking Status])</f>
        <v>Rejected</v>
      </c>
      <c r="G137" s="2">
        <f>_xlfn.XLOOKUP(E137,[1]!Bookings[Booking Name],[1]!Bookings[Booking Date])</f>
        <v>45875</v>
      </c>
      <c r="H137" s="3">
        <f>_xlfn.XLOOKUP(E137,[1]!Bookings[Booking Name],[1]!Bookings[Booking Aging])</f>
        <v>184</v>
      </c>
      <c r="I137" s="2" t="str">
        <f>_xlfn.XLOOKUP(E137,[1]!Bookings[Booking Name],[1]!Bookings[Project Name])</f>
        <v>Do Dubai Island</v>
      </c>
      <c r="J137" s="2" t="str">
        <f>_xlfn.XLOOKUP(E137,[1]!Bookings[Booking Name],[1]!Bookings[Building])</f>
        <v>Tower 1</v>
      </c>
      <c r="K137" s="2" t="str">
        <f>_xlfn.XLOOKUP(E137,[1]!Bookings[Booking Name],[1]!Bookings[Bedrooms])</f>
        <v>Studio</v>
      </c>
      <c r="L137" s="2" t="str">
        <f>_xlfn.XLOOKUP(E137,[1]!Bookings[Booking Name],[1]!Bookings[Unit No.])</f>
        <v>211</v>
      </c>
      <c r="M137" s="36" t="str">
        <f>_xlfn.XLOOKUP(E137,[1]!Bookings[Booking Name],[1]!Bookings[Inventory Unit Status])</f>
        <v>SPA Executed</v>
      </c>
      <c r="N137" s="2" t="str">
        <f>_xlfn.XLOOKUP(E137,[1]!Bookings[Booking Name],[1]!Bookings[Booking Status])</f>
        <v>Rejected</v>
      </c>
      <c r="O137" s="52" t="str">
        <f>_xlfn.XLOOKUP(E137,[1]!Bookings[Booking Name],[1]!Bookings[Customer Name])</f>
        <v>reem a lkhalaf</v>
      </c>
      <c r="P137" s="2" t="str">
        <f>_xlfn.XLOOKUP(E137,[1]!Bookings[Booking Name],[1]!Bookings[Nationality])</f>
        <v>Canada</v>
      </c>
      <c r="Q137" s="4">
        <f>_xlfn.XLOOKUP(E137,[1]!Bookings[Booking Name],[1]!Bookings[Discount Amount])</f>
        <v>0</v>
      </c>
      <c r="R137" s="27">
        <f>_xlfn.XLOOKUP(E137,[1]!Bookings[Booking Name],[1]!Bookings[Discount Percentage])</f>
        <v>0</v>
      </c>
      <c r="S137" s="4">
        <f>_xlfn.XLOOKUP(E137,[1]!Bookings[Booking Name],[1]!Bookings[Final Sale Value After Discount])</f>
        <v>1184000</v>
      </c>
      <c r="T137" s="4">
        <f>_xlfn.XLOOKUP(E137,[1]!Bookings[Booking Name],[1]!Bookings[Inv Final Sale Value])</f>
        <v>1184000</v>
      </c>
      <c r="U137" s="34" t="str">
        <f>_xlfn.XLOOKUP(E137,[1]!Bookings[Booking Name],[1]!Bookings[Sales])</f>
        <v>Nehad Abdelmeguid</v>
      </c>
      <c r="V137" s="2" t="str">
        <f>_xlfn.XLOOKUP(E137,[1]!Bookings[Booking Name],[1]!Bookings[Agency Name])</f>
        <v>AHYAN REAL ESTATE BROKER</v>
      </c>
      <c r="W137" s="2" t="str">
        <f>_xlfn.XLOOKUP(E137,[1]!Bookings[Booking Name],[1]!Bookings[Booking ID])</f>
        <v>a03J6000009ogJ6</v>
      </c>
      <c r="X137" s="2" t="str">
        <f>_xlfn.XLOOKUP(E137,[1]!Bookings[Booking Name],[1]!Bookings[Oracle Id])</f>
        <v>-</v>
      </c>
      <c r="Y137" s="70" t="s">
        <v>209</v>
      </c>
      <c r="Z137" s="90">
        <v>50000</v>
      </c>
      <c r="AA137" s="6">
        <v>4.2229729729729729E-2</v>
      </c>
      <c r="AB137" s="11" t="s">
        <v>37</v>
      </c>
      <c r="AC137" s="12" t="s">
        <v>57</v>
      </c>
      <c r="AD137" s="106" t="s">
        <v>308</v>
      </c>
      <c r="AE137" s="28" t="s">
        <v>32</v>
      </c>
      <c r="AF137" s="29" t="s">
        <v>114</v>
      </c>
    </row>
    <row r="138" spans="2:32" ht="50.25" customHeight="1" x14ac:dyDescent="0.3">
      <c r="B138" s="2" t="s">
        <v>160</v>
      </c>
      <c r="C138" s="2">
        <v>45895</v>
      </c>
      <c r="D138" s="2">
        <f>_xlfn.XLOOKUP(E138,[1]!Bookings[Booking Name],[1]!Bookings[Rejected Date])</f>
        <v>45895</v>
      </c>
      <c r="E138" s="39" t="s">
        <v>143</v>
      </c>
      <c r="F138" s="76" t="str">
        <f>_xlfn.XLOOKUP(E138,[1]!Bookings[Booking Name],[1]!Bookings[Booking Status])</f>
        <v>Rejected</v>
      </c>
      <c r="G138" s="2">
        <f>_xlfn.XLOOKUP(E138,[1]!Bookings[Booking Name],[1]!Bookings[Booking Date])</f>
        <v>45895</v>
      </c>
      <c r="H138" s="3">
        <f>_xlfn.XLOOKUP(E138,[1]!Bookings[Booking Name],[1]!Bookings[Booking Aging])</f>
        <v>164</v>
      </c>
      <c r="I138" s="2" t="str">
        <f>_xlfn.XLOOKUP(E138,[1]!Bookings[Booking Name],[1]!Bookings[Project Name])</f>
        <v>Laguna Residence</v>
      </c>
      <c r="J138" s="2" t="str">
        <f>_xlfn.XLOOKUP(E138,[1]!Bookings[Booking Name],[1]!Bookings[Building])</f>
        <v>Tower A</v>
      </c>
      <c r="K138" s="2" t="str">
        <f>_xlfn.XLOOKUP(E138,[1]!Bookings[Booking Name],[1]!Bookings[Bedrooms])</f>
        <v>1 Bedroom</v>
      </c>
      <c r="L138" s="2" t="str">
        <f>_xlfn.XLOOKUP(E138,[1]!Bookings[Booking Name],[1]!Bookings[Unit No.])</f>
        <v>A322</v>
      </c>
      <c r="M138" s="36" t="str">
        <f>_xlfn.XLOOKUP(E138,[1]!Bookings[Booking Name],[1]!Bookings[Inventory Unit Status])</f>
        <v>SPA Executed</v>
      </c>
      <c r="N138" s="2" t="str">
        <f>_xlfn.XLOOKUP(E138,[1]!Bookings[Booking Name],[1]!Bookings[Booking Status])</f>
        <v>Rejected</v>
      </c>
      <c r="O138" s="52" t="str">
        <f>_xlfn.XLOOKUP(E138,[1]!Bookings[Booking Name],[1]!Bookings[Customer Name])</f>
        <v>Batuhan Nuri Melek</v>
      </c>
      <c r="P138" s="2" t="str">
        <f>_xlfn.XLOOKUP(E138,[1]!Bookings[Booking Name],[1]!Bookings[Nationality])</f>
        <v>Turkey</v>
      </c>
      <c r="Q138" s="4">
        <f>_xlfn.XLOOKUP(E138,[1]!Bookings[Booking Name],[1]!Bookings[Discount Amount])</f>
        <v>0</v>
      </c>
      <c r="R138" s="27">
        <f>_xlfn.XLOOKUP(E138,[1]!Bookings[Booking Name],[1]!Bookings[Discount Percentage])</f>
        <v>0</v>
      </c>
      <c r="S138" s="4">
        <f>_xlfn.XLOOKUP(E138,[1]!Bookings[Booking Name],[1]!Bookings[Final Sale Value After Discount])</f>
        <v>1342000</v>
      </c>
      <c r="T138" s="4">
        <f>_xlfn.XLOOKUP(E138,[1]!Bookings[Booking Name],[1]!Bookings[Inv Final Sale Value])</f>
        <v>1342000</v>
      </c>
      <c r="U138" s="34" t="str">
        <f>_xlfn.XLOOKUP(E138,[1]!Bookings[Booking Name],[1]!Bookings[Sales])</f>
        <v>Mohamed El Shimy</v>
      </c>
      <c r="V138" s="2" t="str">
        <f>_xlfn.XLOOKUP(E138,[1]!Bookings[Booking Name],[1]!Bookings[Agency Name])</f>
        <v>PREMIA LIVINGS REAL ESTATE L.L.C</v>
      </c>
      <c r="W138" s="2" t="str">
        <f>_xlfn.XLOOKUP(E138,[1]!Bookings[Booking Name],[1]!Bookings[Booking ID])</f>
        <v>a03J600000BrZYd</v>
      </c>
      <c r="X138" s="2" t="str">
        <f>_xlfn.XLOOKUP(E138,[1]!Bookings[Booking Name],[1]!Bookings[Oracle Id])</f>
        <v>-</v>
      </c>
      <c r="Y138" s="70" t="s">
        <v>209</v>
      </c>
      <c r="Z138" s="3" t="s">
        <v>25</v>
      </c>
      <c r="AA138" s="3" t="s">
        <v>26</v>
      </c>
      <c r="AB138" s="3" t="s">
        <v>26</v>
      </c>
      <c r="AC138" s="37" t="s">
        <v>289</v>
      </c>
      <c r="AD138" s="12" t="s">
        <v>422</v>
      </c>
      <c r="AE138" s="12" t="s">
        <v>146</v>
      </c>
      <c r="AF138" s="37" t="s">
        <v>147</v>
      </c>
    </row>
    <row r="139" spans="2:32" ht="50.25" customHeight="1" x14ac:dyDescent="0.3">
      <c r="B139" s="2" t="s">
        <v>160</v>
      </c>
      <c r="C139" s="2">
        <v>45895</v>
      </c>
      <c r="D139" s="2">
        <f>_xlfn.XLOOKUP(E139,[1]!Bookings[Booking Name],[1]!Bookings[Rejected Date])</f>
        <v>45895</v>
      </c>
      <c r="E139" s="39" t="s">
        <v>144</v>
      </c>
      <c r="F139" s="76" t="str">
        <f>_xlfn.XLOOKUP(E139,[1]!Bookings[Booking Name],[1]!Bookings[Booking Status])</f>
        <v>Rejected</v>
      </c>
      <c r="G139" s="2">
        <f>_xlfn.XLOOKUP(E139,[1]!Bookings[Booking Name],[1]!Bookings[Booking Date])</f>
        <v>45895</v>
      </c>
      <c r="H139" s="3">
        <f>_xlfn.XLOOKUP(E139,[1]!Bookings[Booking Name],[1]!Bookings[Booking Aging])</f>
        <v>164</v>
      </c>
      <c r="I139" s="2" t="str">
        <f>_xlfn.XLOOKUP(E139,[1]!Bookings[Booking Name],[1]!Bookings[Project Name])</f>
        <v>Laguna Residence</v>
      </c>
      <c r="J139" s="2" t="str">
        <f>_xlfn.XLOOKUP(E139,[1]!Bookings[Booking Name],[1]!Bookings[Building])</f>
        <v>Tower A</v>
      </c>
      <c r="K139" s="2" t="str">
        <f>_xlfn.XLOOKUP(E139,[1]!Bookings[Booking Name],[1]!Bookings[Bedrooms])</f>
        <v>Studio</v>
      </c>
      <c r="L139" s="2" t="str">
        <f>_xlfn.XLOOKUP(E139,[1]!Bookings[Booking Name],[1]!Bookings[Unit No.])</f>
        <v>A2514</v>
      </c>
      <c r="M139" s="36" t="str">
        <f>_xlfn.XLOOKUP(E139,[1]!Bookings[Booking Name],[1]!Bookings[Inventory Unit Status])</f>
        <v>SPA Executed</v>
      </c>
      <c r="N139" s="2" t="str">
        <f>_xlfn.XLOOKUP(E139,[1]!Bookings[Booking Name],[1]!Bookings[Booking Status])</f>
        <v>Rejected</v>
      </c>
      <c r="O139" s="52" t="str">
        <f>_xlfn.XLOOKUP(E139,[1]!Bookings[Booking Name],[1]!Bookings[Customer Name])</f>
        <v>Shon Philip Koshy</v>
      </c>
      <c r="P139" s="2" t="str">
        <f>_xlfn.XLOOKUP(E139,[1]!Bookings[Booking Name],[1]!Bookings[Nationality])</f>
        <v>India</v>
      </c>
      <c r="Q139" s="4">
        <f>_xlfn.XLOOKUP(E139,[1]!Bookings[Booking Name],[1]!Bookings[Discount Amount])</f>
        <v>0</v>
      </c>
      <c r="R139" s="27">
        <f>_xlfn.XLOOKUP(E139,[1]!Bookings[Booking Name],[1]!Bookings[Discount Percentage])</f>
        <v>0</v>
      </c>
      <c r="S139" s="4">
        <f>_xlfn.XLOOKUP(E139,[1]!Bookings[Booking Name],[1]!Bookings[Final Sale Value After Discount])</f>
        <v>787000</v>
      </c>
      <c r="T139" s="4">
        <f>_xlfn.XLOOKUP(E139,[1]!Bookings[Booking Name],[1]!Bookings[Inv Final Sale Value])</f>
        <v>787000</v>
      </c>
      <c r="U139" s="34" t="str">
        <f>_xlfn.XLOOKUP(E139,[1]!Bookings[Booking Name],[1]!Bookings[Sales])</f>
        <v>Mohamed El Shimy</v>
      </c>
      <c r="V139" s="2" t="str">
        <f>_xlfn.XLOOKUP(E139,[1]!Bookings[Booking Name],[1]!Bookings[Agency Name])</f>
        <v>PREMIA LIVINGS REAL ESTATE L.L.C</v>
      </c>
      <c r="W139" s="2" t="str">
        <f>_xlfn.XLOOKUP(E139,[1]!Bookings[Booking Name],[1]!Bookings[Booking ID])</f>
        <v>a03J600000BrYy2</v>
      </c>
      <c r="X139" s="2" t="str">
        <f>_xlfn.XLOOKUP(E139,[1]!Bookings[Booking Name],[1]!Bookings[Oracle Id])</f>
        <v>-</v>
      </c>
      <c r="Y139" s="70" t="s">
        <v>209</v>
      </c>
      <c r="Z139" s="3" t="s">
        <v>25</v>
      </c>
      <c r="AA139" s="3" t="s">
        <v>26</v>
      </c>
      <c r="AB139" s="3" t="s">
        <v>26</v>
      </c>
      <c r="AC139" s="37" t="s">
        <v>289</v>
      </c>
      <c r="AD139" s="12" t="s">
        <v>422</v>
      </c>
      <c r="AE139" s="12" t="s">
        <v>146</v>
      </c>
      <c r="AF139" s="37" t="s">
        <v>147</v>
      </c>
    </row>
    <row r="140" spans="2:32" ht="50.25" customHeight="1" x14ac:dyDescent="0.3">
      <c r="B140" s="2" t="s">
        <v>160</v>
      </c>
      <c r="C140" s="2">
        <v>45895</v>
      </c>
      <c r="D140" s="2">
        <f>_xlfn.XLOOKUP(E140,[1]!Bookings[Booking Name],[1]!Bookings[Rejected Date])</f>
        <v>45895</v>
      </c>
      <c r="E140" s="39" t="s">
        <v>52</v>
      </c>
      <c r="F140" s="76" t="str">
        <f>_xlfn.XLOOKUP(E140,[1]!Bookings[Booking Name],[1]!Bookings[Booking Status])</f>
        <v>Rejected</v>
      </c>
      <c r="G140" s="2">
        <f>_xlfn.XLOOKUP(E140,[1]!Bookings[Booking Name],[1]!Bookings[Booking Date])</f>
        <v>45869</v>
      </c>
      <c r="H140" s="3">
        <f>_xlfn.XLOOKUP(E140,[1]!Bookings[Booking Name],[1]!Bookings[Booking Aging])</f>
        <v>190</v>
      </c>
      <c r="I140" s="2" t="str">
        <f>_xlfn.XLOOKUP(E140,[1]!Bookings[Booking Name],[1]!Bookings[Project Name])</f>
        <v>Laguna Residence</v>
      </c>
      <c r="J140" s="2" t="str">
        <f>_xlfn.XLOOKUP(E140,[1]!Bookings[Booking Name],[1]!Bookings[Building])</f>
        <v>Tower A</v>
      </c>
      <c r="K140" s="2" t="str">
        <f>_xlfn.XLOOKUP(E140,[1]!Bookings[Booking Name],[1]!Bookings[Bedrooms])</f>
        <v>1 Bedroom</v>
      </c>
      <c r="L140" s="2" t="str">
        <f>_xlfn.XLOOKUP(E140,[1]!Bookings[Booking Name],[1]!Bookings[Unit No.])</f>
        <v>A322</v>
      </c>
      <c r="M140" s="36" t="str">
        <f>_xlfn.XLOOKUP(E140,[1]!Bookings[Booking Name],[1]!Bookings[Inventory Unit Status])</f>
        <v>SPA Executed</v>
      </c>
      <c r="N140" s="2" t="str">
        <f>_xlfn.XLOOKUP(E140,[1]!Bookings[Booking Name],[1]!Bookings[Booking Status])</f>
        <v>Rejected</v>
      </c>
      <c r="O140" s="52" t="str">
        <f>_xlfn.XLOOKUP(E140,[1]!Bookings[Booking Name],[1]!Bookings[Customer Name])</f>
        <v>Shon Philip Koshy</v>
      </c>
      <c r="P140" s="2" t="str">
        <f>_xlfn.XLOOKUP(E140,[1]!Bookings[Booking Name],[1]!Bookings[Nationality])</f>
        <v>India</v>
      </c>
      <c r="Q140" s="4">
        <f>_xlfn.XLOOKUP(E140,[1]!Bookings[Booking Name],[1]!Bookings[Discount Amount])</f>
        <v>67100</v>
      </c>
      <c r="R140" s="27">
        <f>_xlfn.XLOOKUP(E140,[1]!Bookings[Booking Name],[1]!Bookings[Discount Percentage])</f>
        <v>0.05</v>
      </c>
      <c r="S140" s="4">
        <f>_xlfn.XLOOKUP(E140,[1]!Bookings[Booking Name],[1]!Bookings[Final Sale Value After Discount])</f>
        <v>1274900</v>
      </c>
      <c r="T140" s="4">
        <f>_xlfn.XLOOKUP(E140,[1]!Bookings[Booking Name],[1]!Bookings[Inv Final Sale Value])</f>
        <v>1342000</v>
      </c>
      <c r="U140" s="34" t="str">
        <f>_xlfn.XLOOKUP(E140,[1]!Bookings[Booking Name],[1]!Bookings[Sales])</f>
        <v>Mohamed El Shimy</v>
      </c>
      <c r="V140" s="2" t="str">
        <f>_xlfn.XLOOKUP(E140,[1]!Bookings[Booking Name],[1]!Bookings[Agency Name])</f>
        <v>PREMIA LIVINGS REAL ESTATE L.L.C</v>
      </c>
      <c r="W140" s="2" t="str">
        <f>_xlfn.XLOOKUP(E140,[1]!Bookings[Booking Name],[1]!Bookings[Booking ID])</f>
        <v>a03J6000009oMOO</v>
      </c>
      <c r="X140" s="2" t="str">
        <f>_xlfn.XLOOKUP(E140,[1]!Bookings[Booking Name],[1]!Bookings[Oracle Id])</f>
        <v>-</v>
      </c>
      <c r="Y140" s="70" t="s">
        <v>209</v>
      </c>
      <c r="Z140" s="90">
        <v>25000</v>
      </c>
      <c r="AA140" s="6">
        <v>1.8628912071535022E-2</v>
      </c>
      <c r="AB140" s="11" t="s">
        <v>31</v>
      </c>
      <c r="AC140" s="11" t="s">
        <v>54</v>
      </c>
      <c r="AD140" s="14" t="s">
        <v>307</v>
      </c>
      <c r="AE140" s="28" t="s">
        <v>88</v>
      </c>
      <c r="AF140" s="28" t="s">
        <v>106</v>
      </c>
    </row>
    <row r="141" spans="2:32" ht="50.25" customHeight="1" x14ac:dyDescent="0.3">
      <c r="B141" s="2" t="s">
        <v>160</v>
      </c>
      <c r="C141" s="2">
        <v>45894</v>
      </c>
      <c r="D141" s="2">
        <f>_xlfn.XLOOKUP(E141,[1]!Bookings[Booking Name],[1]!Bookings[Rejected Date])</f>
        <v>45895</v>
      </c>
      <c r="E141" s="39" t="s">
        <v>49</v>
      </c>
      <c r="F141" s="76" t="str">
        <f>_xlfn.XLOOKUP(E141,[1]!Bookings[Booking Name],[1]!Bookings[Booking Status])</f>
        <v>Rejected</v>
      </c>
      <c r="G141" s="2">
        <f>_xlfn.XLOOKUP(E141,[1]!Bookings[Booking Name],[1]!Bookings[Booking Date])</f>
        <v>45856</v>
      </c>
      <c r="H141" s="3">
        <f>_xlfn.XLOOKUP(E141,[1]!Bookings[Booking Name],[1]!Bookings[Booking Aging])</f>
        <v>203</v>
      </c>
      <c r="I141" s="2" t="str">
        <f>_xlfn.XLOOKUP(E141,[1]!Bookings[Booking Name],[1]!Bookings[Project Name])</f>
        <v>Laguna Residence</v>
      </c>
      <c r="J141" s="2" t="str">
        <f>_xlfn.XLOOKUP(E141,[1]!Bookings[Booking Name],[1]!Bookings[Building])</f>
        <v>Tower A</v>
      </c>
      <c r="K141" s="2" t="str">
        <f>_xlfn.XLOOKUP(E141,[1]!Bookings[Booking Name],[1]!Bookings[Bedrooms])</f>
        <v>Studio</v>
      </c>
      <c r="L141" s="2" t="str">
        <f>_xlfn.XLOOKUP(E141,[1]!Bookings[Booking Name],[1]!Bookings[Unit No.])</f>
        <v>A2514</v>
      </c>
      <c r="M141" s="36" t="str">
        <f>_xlfn.XLOOKUP(E141,[1]!Bookings[Booking Name],[1]!Bookings[Inventory Unit Status])</f>
        <v>SPA Executed</v>
      </c>
      <c r="N141" s="2" t="str">
        <f>_xlfn.XLOOKUP(E141,[1]!Bookings[Booking Name],[1]!Bookings[Booking Status])</f>
        <v>Rejected</v>
      </c>
      <c r="O141" s="52" t="str">
        <f>_xlfn.XLOOKUP(E141,[1]!Bookings[Booking Name],[1]!Bookings[Customer Name])</f>
        <v>Omar Rezgani</v>
      </c>
      <c r="P141" s="2" t="str">
        <f>_xlfn.XLOOKUP(E141,[1]!Bookings[Booking Name],[1]!Bookings[Nationality])</f>
        <v>Tunisia</v>
      </c>
      <c r="Q141" s="4">
        <f>_xlfn.XLOOKUP(E141,[1]!Bookings[Booking Name],[1]!Bookings[Discount Amount])</f>
        <v>39350</v>
      </c>
      <c r="R141" s="27">
        <f>_xlfn.XLOOKUP(E141,[1]!Bookings[Booking Name],[1]!Bookings[Discount Percentage])</f>
        <v>0.05</v>
      </c>
      <c r="S141" s="4">
        <f>_xlfn.XLOOKUP(E141,[1]!Bookings[Booking Name],[1]!Bookings[Final Sale Value After Discount])</f>
        <v>747650</v>
      </c>
      <c r="T141" s="4">
        <f>_xlfn.XLOOKUP(E141,[1]!Bookings[Booking Name],[1]!Bookings[Inv Final Sale Value])</f>
        <v>787000</v>
      </c>
      <c r="U141" s="34" t="str">
        <f>_xlfn.XLOOKUP(E141,[1]!Bookings[Booking Name],[1]!Bookings[Sales])</f>
        <v>Mohamed El Shimy</v>
      </c>
      <c r="V141" s="2" t="str">
        <f>_xlfn.XLOOKUP(E141,[1]!Bookings[Booking Name],[1]!Bookings[Agency Name])</f>
        <v>Eleva Properties LLC</v>
      </c>
      <c r="W141" s="2" t="str">
        <f>_xlfn.XLOOKUP(E141,[1]!Bookings[Booking Name],[1]!Bookings[Booking ID])</f>
        <v>a03J6000009nfhe</v>
      </c>
      <c r="X141" s="2" t="str">
        <f>_xlfn.XLOOKUP(E141,[1]!Bookings[Booking Name],[1]!Bookings[Oracle Id])</f>
        <v>-</v>
      </c>
      <c r="Y141" s="70" t="s">
        <v>209</v>
      </c>
      <c r="Z141" s="90">
        <v>5000</v>
      </c>
      <c r="AA141" s="6">
        <v>6.3532401524777635E-3</v>
      </c>
      <c r="AB141" s="11" t="s">
        <v>31</v>
      </c>
      <c r="AC141" s="12" t="s">
        <v>430</v>
      </c>
      <c r="AD141" s="14" t="s">
        <v>306</v>
      </c>
      <c r="AE141" s="28" t="s">
        <v>87</v>
      </c>
      <c r="AF141" s="28" t="s">
        <v>107</v>
      </c>
    </row>
    <row r="142" spans="2:32" s="1" customFormat="1" ht="50.25" customHeight="1" x14ac:dyDescent="0.3">
      <c r="B142" s="2" t="s">
        <v>160</v>
      </c>
      <c r="C142" s="2">
        <v>45894</v>
      </c>
      <c r="D142" s="2">
        <f>_xlfn.XLOOKUP(E142,[1]!Bookings[Booking Name],[1]!Bookings[Rejected Date])</f>
        <v>45903</v>
      </c>
      <c r="E142" s="39" t="s">
        <v>48</v>
      </c>
      <c r="F142" s="76" t="str">
        <f>_xlfn.XLOOKUP(E142,[1]!Bookings[Booking Name],[1]!Bookings[Booking Status])</f>
        <v>Rejected</v>
      </c>
      <c r="G142" s="2">
        <f>_xlfn.XLOOKUP(E142,[1]!Bookings[Booking Name],[1]!Bookings[Booking Date])</f>
        <v>45756</v>
      </c>
      <c r="H142" s="3">
        <f>_xlfn.XLOOKUP(E142,[1]!Bookings[Booking Name],[1]!Bookings[Booking Aging])</f>
        <v>303</v>
      </c>
      <c r="I142" s="2" t="str">
        <f>_xlfn.XLOOKUP(E142,[1]!Bookings[Booking Name],[1]!Bookings[Project Name])</f>
        <v>Laguna Residence</v>
      </c>
      <c r="J142" s="2" t="str">
        <f>_xlfn.XLOOKUP(E142,[1]!Bookings[Booking Name],[1]!Bookings[Building])</f>
        <v>Tower B</v>
      </c>
      <c r="K142" s="2" t="str">
        <f>_xlfn.XLOOKUP(E142,[1]!Bookings[Booking Name],[1]!Bookings[Bedrooms])</f>
        <v>Studio</v>
      </c>
      <c r="L142" s="2" t="str">
        <f>_xlfn.XLOOKUP(E142,[1]!Bookings[Booking Name],[1]!Bookings[Unit No.])</f>
        <v>B1720</v>
      </c>
      <c r="M142" s="36" t="str">
        <f>_xlfn.XLOOKUP(E142,[1]!Bookings[Booking Name],[1]!Bookings[Inventory Unit Status])</f>
        <v>SPA Executed</v>
      </c>
      <c r="N142" s="2" t="str">
        <f>_xlfn.XLOOKUP(E142,[1]!Bookings[Booking Name],[1]!Bookings[Booking Status])</f>
        <v>Rejected</v>
      </c>
      <c r="O142" s="52" t="str">
        <f>_xlfn.XLOOKUP(E142,[1]!Bookings[Booking Name],[1]!Bookings[Customer Name])</f>
        <v>GUSTAV SJUNNESSON</v>
      </c>
      <c r="P142" s="2" t="str">
        <f>_xlfn.XLOOKUP(E142,[1]!Bookings[Booking Name],[1]!Bookings[Nationality])</f>
        <v>Sweden</v>
      </c>
      <c r="Q142" s="4">
        <f>_xlfn.XLOOKUP(E142,[1]!Bookings[Booking Name],[1]!Bookings[Discount Amount])</f>
        <v>0</v>
      </c>
      <c r="R142" s="27">
        <f>_xlfn.XLOOKUP(E142,[1]!Bookings[Booking Name],[1]!Bookings[Discount Percentage])</f>
        <v>0</v>
      </c>
      <c r="S142" s="4">
        <f>_xlfn.XLOOKUP(E142,[1]!Bookings[Booking Name],[1]!Bookings[Final Sale Value After Discount])</f>
        <v>710000</v>
      </c>
      <c r="T142" s="4">
        <f>_xlfn.XLOOKUP(E142,[1]!Bookings[Booking Name],[1]!Bookings[Inv Final Sale Value])</f>
        <v>710000</v>
      </c>
      <c r="U142" s="34" t="str">
        <f>_xlfn.XLOOKUP(E142,[1]!Bookings[Booking Name],[1]!Bookings[Sales])</f>
        <v>Karen Altabaa</v>
      </c>
      <c r="V142" s="2" t="str">
        <f>_xlfn.XLOOKUP(E142,[1]!Bookings[Booking Name],[1]!Bookings[Agency Name])</f>
        <v>S B H PROPERTIES FZE</v>
      </c>
      <c r="W142" s="2" t="str">
        <f>_xlfn.XLOOKUP(E142,[1]!Bookings[Booking Name],[1]!Bookings[Booking ID])</f>
        <v>a03J60000081BOq</v>
      </c>
      <c r="X142" s="2" t="str">
        <f>_xlfn.XLOOKUP(E142,[1]!Bookings[Booking Name],[1]!Bookings[Oracle Id])</f>
        <v>26802</v>
      </c>
      <c r="Y142" s="70" t="s">
        <v>209</v>
      </c>
      <c r="Z142" s="90">
        <v>183000</v>
      </c>
      <c r="AA142" s="6">
        <v>0.25774647887323943</v>
      </c>
      <c r="AB142" s="11" t="s">
        <v>31</v>
      </c>
      <c r="AC142" s="12" t="s">
        <v>430</v>
      </c>
      <c r="AD142" s="106" t="s">
        <v>305</v>
      </c>
      <c r="AE142" s="28" t="s">
        <v>87</v>
      </c>
      <c r="AF142" s="28" t="s">
        <v>108</v>
      </c>
    </row>
    <row r="143" spans="2:32" s="1" customFormat="1" ht="50.25" customHeight="1" x14ac:dyDescent="0.3">
      <c r="B143" s="2" t="s">
        <v>160</v>
      </c>
      <c r="C143" s="2">
        <v>45894</v>
      </c>
      <c r="D143" s="2">
        <f>_xlfn.XLOOKUP(E143,[1]!Bookings[Booking Name],[1]!Bookings[Rejected Date])</f>
        <v>45904</v>
      </c>
      <c r="E143" s="39" t="s">
        <v>47</v>
      </c>
      <c r="F143" s="76" t="str">
        <f>_xlfn.XLOOKUP(E143,[1]!Bookings[Booking Name],[1]!Bookings[Booking Status])</f>
        <v>Rejected</v>
      </c>
      <c r="G143" s="2">
        <f>_xlfn.XLOOKUP(E143,[1]!Bookings[Booking Name],[1]!Bookings[Booking Date])</f>
        <v>45818</v>
      </c>
      <c r="H143" s="3">
        <f>_xlfn.XLOOKUP(E143,[1]!Bookings[Booking Name],[1]!Bookings[Booking Aging])</f>
        <v>241</v>
      </c>
      <c r="I143" s="2" t="str">
        <f>_xlfn.XLOOKUP(E143,[1]!Bookings[Booking Name],[1]!Bookings[Project Name])</f>
        <v>Do Dubai Island</v>
      </c>
      <c r="J143" s="2" t="str">
        <f>_xlfn.XLOOKUP(E143,[1]!Bookings[Booking Name],[1]!Bookings[Building])</f>
        <v>Tower 1</v>
      </c>
      <c r="K143" s="2" t="str">
        <f>_xlfn.XLOOKUP(E143,[1]!Bookings[Booking Name],[1]!Bookings[Bedrooms])</f>
        <v>2 Bedroom</v>
      </c>
      <c r="L143" s="2" t="str">
        <f>_xlfn.XLOOKUP(E143,[1]!Bookings[Booking Name],[1]!Bookings[Unit No.])</f>
        <v>601</v>
      </c>
      <c r="M143" s="36" t="str">
        <f>_xlfn.XLOOKUP(E143,[1]!Bookings[Booking Name],[1]!Bookings[Inventory Unit Status])</f>
        <v>Blocked</v>
      </c>
      <c r="N143" s="2" t="str">
        <f>_xlfn.XLOOKUP(E143,[1]!Bookings[Booking Name],[1]!Bookings[Booking Status])</f>
        <v>Rejected</v>
      </c>
      <c r="O143" s="52" t="str">
        <f>_xlfn.XLOOKUP(E143,[1]!Bookings[Booking Name],[1]!Bookings[Customer Name])</f>
        <v>UNDINE ELISABETH GELPKE</v>
      </c>
      <c r="P143" s="2" t="str">
        <f>_xlfn.XLOOKUP(E143,[1]!Bookings[Booking Name],[1]!Bookings[Nationality])</f>
        <v>Germany</v>
      </c>
      <c r="Q143" s="4">
        <f>_xlfn.XLOOKUP(E143,[1]!Bookings[Booking Name],[1]!Bookings[Discount Amount])</f>
        <v>1000000</v>
      </c>
      <c r="R143" s="27">
        <f>_xlfn.XLOOKUP(E143,[1]!Bookings[Booking Name],[1]!Bookings[Discount Percentage])</f>
        <v>0.16393442622950818</v>
      </c>
      <c r="S143" s="4">
        <f>_xlfn.XLOOKUP(E143,[1]!Bookings[Booking Name],[1]!Bookings[Final Sale Value After Discount])</f>
        <v>5100000</v>
      </c>
      <c r="T143" s="4">
        <f>_xlfn.XLOOKUP(E143,[1]!Bookings[Booking Name],[1]!Bookings[Inv Final Sale Value])</f>
        <v>6100000</v>
      </c>
      <c r="U143" s="34" t="str">
        <f>_xlfn.XLOOKUP(E143,[1]!Bookings[Booking Name],[1]!Bookings[Sales])</f>
        <v>Aiham Addi</v>
      </c>
      <c r="V143" s="2" t="str">
        <f>_xlfn.XLOOKUP(E143,[1]!Bookings[Booking Name],[1]!Bookings[Agency Name])</f>
        <v>P E R A REAL ESTATE L.L.C</v>
      </c>
      <c r="W143" s="2" t="str">
        <f>_xlfn.XLOOKUP(E143,[1]!Bookings[Booking Name],[1]!Bookings[Booking ID])</f>
        <v>a03J6000009lYbm</v>
      </c>
      <c r="X143" s="2" t="str">
        <f>_xlfn.XLOOKUP(E143,[1]!Bookings[Booking Name],[1]!Bookings[Oracle Id])</f>
        <v>-</v>
      </c>
      <c r="Y143" s="70" t="s">
        <v>209</v>
      </c>
      <c r="Z143" s="5">
        <v>100000</v>
      </c>
      <c r="AA143" s="6">
        <v>1.9607843137254902E-2</v>
      </c>
      <c r="AB143" s="7" t="s">
        <v>31</v>
      </c>
      <c r="AC143" s="8" t="s">
        <v>50</v>
      </c>
      <c r="AD143" s="106" t="s">
        <v>304</v>
      </c>
      <c r="AE143" s="28" t="s">
        <v>32</v>
      </c>
      <c r="AF143" s="29" t="s">
        <v>112</v>
      </c>
    </row>
    <row r="144" spans="2:32" s="1" customFormat="1" ht="50.25" customHeight="1" x14ac:dyDescent="0.3">
      <c r="B144" s="2" t="s">
        <v>160</v>
      </c>
      <c r="C144" s="2">
        <v>45894</v>
      </c>
      <c r="D144" s="2">
        <f>_xlfn.XLOOKUP(E144,[1]!Bookings[Booking Name],[1]!Bookings[Rejected Date])</f>
        <v>45904</v>
      </c>
      <c r="E144" s="39" t="s">
        <v>45</v>
      </c>
      <c r="F144" s="76" t="str">
        <f>_xlfn.XLOOKUP(E144,[1]!Bookings[Booking Name],[1]!Bookings[Booking Status])</f>
        <v>Rejected</v>
      </c>
      <c r="G144" s="2">
        <f>_xlfn.XLOOKUP(E144,[1]!Bookings[Booking Name],[1]!Bookings[Booking Date])</f>
        <v>45872</v>
      </c>
      <c r="H144" s="3">
        <f>_xlfn.XLOOKUP(E144,[1]!Bookings[Booking Name],[1]!Bookings[Booking Aging])</f>
        <v>187</v>
      </c>
      <c r="I144" s="2" t="str">
        <f>_xlfn.XLOOKUP(E144,[1]!Bookings[Booking Name],[1]!Bookings[Project Name])</f>
        <v>Do Dubai Island</v>
      </c>
      <c r="J144" s="2" t="str">
        <f>_xlfn.XLOOKUP(E144,[1]!Bookings[Booking Name],[1]!Bookings[Building])</f>
        <v>Tower 1</v>
      </c>
      <c r="K144" s="2" t="str">
        <f>_xlfn.XLOOKUP(E144,[1]!Bookings[Booking Name],[1]!Bookings[Bedrooms])</f>
        <v>Studio</v>
      </c>
      <c r="L144" s="2" t="str">
        <f>_xlfn.XLOOKUP(E144,[1]!Bookings[Booking Name],[1]!Bookings[Unit No.])</f>
        <v>314</v>
      </c>
      <c r="M144" s="36" t="str">
        <f>_xlfn.XLOOKUP(E144,[1]!Bookings[Booking Name],[1]!Bookings[Inventory Unit Status])</f>
        <v>SPA Executed</v>
      </c>
      <c r="N144" s="2" t="str">
        <f>_xlfn.XLOOKUP(E144,[1]!Bookings[Booking Name],[1]!Bookings[Booking Status])</f>
        <v>Rejected</v>
      </c>
      <c r="O144" s="52" t="str">
        <f>_xlfn.XLOOKUP(E144,[1]!Bookings[Booking Name],[1]!Bookings[Customer Name])</f>
        <v>Daniel Koluman</v>
      </c>
      <c r="P144" s="2" t="str">
        <f>_xlfn.XLOOKUP(E144,[1]!Bookings[Booking Name],[1]!Bookings[Nationality])</f>
        <v>Sweden</v>
      </c>
      <c r="Q144" s="4">
        <f>_xlfn.XLOOKUP(E144,[1]!Bookings[Booking Name],[1]!Bookings[Discount Amount])</f>
        <v>22980</v>
      </c>
      <c r="R144" s="27">
        <f>_xlfn.XLOOKUP(E144,[1]!Bookings[Booking Name],[1]!Bookings[Discount Percentage])</f>
        <v>0.02</v>
      </c>
      <c r="S144" s="4">
        <f>_xlfn.XLOOKUP(E144,[1]!Bookings[Booking Name],[1]!Bookings[Final Sale Value After Discount])</f>
        <v>1126020</v>
      </c>
      <c r="T144" s="4">
        <f>_xlfn.XLOOKUP(E144,[1]!Bookings[Booking Name],[1]!Bookings[Inv Final Sale Value])</f>
        <v>1149000</v>
      </c>
      <c r="U144" s="34" t="str">
        <f>_xlfn.XLOOKUP(E144,[1]!Bookings[Booking Name],[1]!Bookings[Sales])</f>
        <v>Karen Altabaa</v>
      </c>
      <c r="V144" s="2" t="str">
        <f>_xlfn.XLOOKUP(E144,[1]!Bookings[Booking Name],[1]!Bookings[Agency Name])</f>
        <v>GUROVA REAL ESTATE LLC</v>
      </c>
      <c r="W144" s="2" t="str">
        <f>_xlfn.XLOOKUP(E144,[1]!Bookings[Booking Name],[1]!Bookings[Booking ID])</f>
        <v>a03J6000009oU6U</v>
      </c>
      <c r="X144" s="2" t="str">
        <f>_xlfn.XLOOKUP(E144,[1]!Bookings[Booking Name],[1]!Bookings[Oracle Id])</f>
        <v>-</v>
      </c>
      <c r="Y144" s="70" t="s">
        <v>209</v>
      </c>
      <c r="Z144" s="90">
        <v>4000</v>
      </c>
      <c r="AA144" s="6">
        <v>3.4812880765883376E-3</v>
      </c>
      <c r="AB144" s="3" t="s">
        <v>26</v>
      </c>
      <c r="AC144" s="8" t="s">
        <v>46</v>
      </c>
      <c r="AD144" s="106" t="s">
        <v>303</v>
      </c>
      <c r="AE144" s="28" t="s">
        <v>93</v>
      </c>
      <c r="AF144" s="28" t="s">
        <v>109</v>
      </c>
    </row>
    <row r="145" spans="2:32" s="1" customFormat="1" ht="50.25" customHeight="1" x14ac:dyDescent="0.3">
      <c r="B145" s="2" t="s">
        <v>160</v>
      </c>
      <c r="C145" s="2">
        <v>45873</v>
      </c>
      <c r="D145" s="2">
        <f>_xlfn.XLOOKUP(E145,[1]!Bookings[Booking Name],[1]!Bookings[Rejected Date])</f>
        <v>45876</v>
      </c>
      <c r="E145" s="39" t="s">
        <v>24</v>
      </c>
      <c r="F145" s="76" t="str">
        <f>_xlfn.XLOOKUP(E145,[1]!Bookings[Booking Name],[1]!Bookings[Booking Status])</f>
        <v>Rejected</v>
      </c>
      <c r="G145" s="2">
        <f>_xlfn.XLOOKUP(E145,[1]!Bookings[Booking Name],[1]!Bookings[Booking Date])</f>
        <v>45859</v>
      </c>
      <c r="H145" s="3">
        <f>_xlfn.XLOOKUP(E145,[1]!Bookings[Booking Name],[1]!Bookings[Booking Aging])</f>
        <v>200</v>
      </c>
      <c r="I145" s="2" t="str">
        <f>_xlfn.XLOOKUP(E145,[1]!Bookings[Booking Name],[1]!Bookings[Project Name])</f>
        <v>Laguna Residence</v>
      </c>
      <c r="J145" s="2" t="str">
        <f>_xlfn.XLOOKUP(E145,[1]!Bookings[Booking Name],[1]!Bookings[Building])</f>
        <v>Tower A</v>
      </c>
      <c r="K145" s="2" t="str">
        <f>_xlfn.XLOOKUP(E145,[1]!Bookings[Booking Name],[1]!Bookings[Bedrooms])</f>
        <v>2 Bedroom</v>
      </c>
      <c r="L145" s="2" t="str">
        <f>_xlfn.XLOOKUP(E145,[1]!Bookings[Booking Name],[1]!Bookings[Unit No.])</f>
        <v>A417</v>
      </c>
      <c r="M145" s="36" t="str">
        <f>_xlfn.XLOOKUP(E145,[1]!Bookings[Booking Name],[1]!Bookings[Inventory Unit Status])</f>
        <v>Booked</v>
      </c>
      <c r="N145" s="2" t="str">
        <f>_xlfn.XLOOKUP(E145,[1]!Bookings[Booking Name],[1]!Bookings[Booking Status])</f>
        <v>Rejected</v>
      </c>
      <c r="O145" s="52" t="str">
        <f>_xlfn.XLOOKUP(E145,[1]!Bookings[Booking Name],[1]!Bookings[Customer Name])</f>
        <v>Ephraim Pelino Cosinero</v>
      </c>
      <c r="P145" s="2" t="str">
        <f>_xlfn.XLOOKUP(E145,[1]!Bookings[Booking Name],[1]!Bookings[Nationality])</f>
        <v>Philippines</v>
      </c>
      <c r="Q145" s="4">
        <f>_xlfn.XLOOKUP(E145,[1]!Bookings[Booking Name],[1]!Bookings[Discount Amount])</f>
        <v>155850</v>
      </c>
      <c r="R145" s="27">
        <f>_xlfn.XLOOKUP(E145,[1]!Bookings[Booking Name],[1]!Bookings[Discount Percentage])</f>
        <v>9.5321100917431192E-2</v>
      </c>
      <c r="S145" s="4">
        <f>_xlfn.XLOOKUP(E145,[1]!Bookings[Booking Name],[1]!Bookings[Final Sale Value After Discount])</f>
        <v>1479150</v>
      </c>
      <c r="T145" s="4">
        <f>_xlfn.XLOOKUP(E145,[1]!Bookings[Booking Name],[1]!Bookings[Inv Final Sale Value])</f>
        <v>1635000</v>
      </c>
      <c r="U145" s="34" t="str">
        <f>_xlfn.XLOOKUP(E145,[1]!Bookings[Booking Name],[1]!Bookings[Sales])</f>
        <v>Ahmed Eissa</v>
      </c>
      <c r="V145" s="2" t="str">
        <f>_xlfn.XLOOKUP(E145,[1]!Bookings[Booking Name],[1]!Bookings[Agency Name])</f>
        <v>PREMIA LIVINGS REAL ESTATE L.L.C</v>
      </c>
      <c r="W145" s="2" t="str">
        <f>_xlfn.XLOOKUP(E145,[1]!Bookings[Booking Name],[1]!Bookings[Booking ID])</f>
        <v>a03J6000009no2b</v>
      </c>
      <c r="X145" s="2" t="str">
        <f>_xlfn.XLOOKUP(E145,[1]!Bookings[Booking Name],[1]!Bookings[Oracle Id])</f>
        <v>-</v>
      </c>
      <c r="Y145" s="70" t="s">
        <v>209</v>
      </c>
      <c r="Z145" s="3" t="s">
        <v>25</v>
      </c>
      <c r="AA145" s="3" t="s">
        <v>26</v>
      </c>
      <c r="AB145" s="3" t="s">
        <v>26</v>
      </c>
      <c r="AC145" s="9" t="s">
        <v>44</v>
      </c>
      <c r="AD145" s="106" t="s">
        <v>302</v>
      </c>
      <c r="AE145" s="28" t="s">
        <v>32</v>
      </c>
      <c r="AF145" s="29" t="s">
        <v>97</v>
      </c>
    </row>
    <row r="146" spans="2:32" ht="50.25" customHeight="1" x14ac:dyDescent="0.3">
      <c r="B146" s="2" t="s">
        <v>161</v>
      </c>
      <c r="C146" s="2">
        <v>45853</v>
      </c>
      <c r="D146" s="2">
        <f>_xlfn.XLOOKUP(E146,[1]!Bookings[Booking Name],[1]!Bookings[Rejected Date])</f>
        <v>45859</v>
      </c>
      <c r="E146" s="39" t="s">
        <v>27</v>
      </c>
      <c r="F146" s="76" t="str">
        <f>_xlfn.XLOOKUP(E146,[1]!Bookings[Booking Name],[1]!Bookings[Booking Status])</f>
        <v>Rejected</v>
      </c>
      <c r="G146" s="2">
        <f>_xlfn.XLOOKUP(E146,[1]!Bookings[Booking Name],[1]!Bookings[Booking Date])</f>
        <v>45843</v>
      </c>
      <c r="H146" s="3">
        <f>_xlfn.XLOOKUP(E146,[1]!Bookings[Booking Name],[1]!Bookings[Booking Aging])</f>
        <v>216</v>
      </c>
      <c r="I146" s="2" t="str">
        <f>_xlfn.XLOOKUP(E146,[1]!Bookings[Booking Name],[1]!Bookings[Project Name])</f>
        <v>Do Dubai Island</v>
      </c>
      <c r="J146" s="2" t="str">
        <f>_xlfn.XLOOKUP(E146,[1]!Bookings[Booking Name],[1]!Bookings[Building])</f>
        <v>Tower 1</v>
      </c>
      <c r="K146" s="2" t="str">
        <f>_xlfn.XLOOKUP(E146,[1]!Bookings[Booking Name],[1]!Bookings[Bedrooms])</f>
        <v>Studio</v>
      </c>
      <c r="L146" s="2" t="str">
        <f>_xlfn.XLOOKUP(E146,[1]!Bookings[Booking Name],[1]!Bookings[Unit No.])</f>
        <v>107</v>
      </c>
      <c r="M146" s="36" t="str">
        <f>_xlfn.XLOOKUP(E146,[1]!Bookings[Booking Name],[1]!Bookings[Inventory Unit Status])</f>
        <v>SPA Executed</v>
      </c>
      <c r="N146" s="2" t="str">
        <f>_xlfn.XLOOKUP(E146,[1]!Bookings[Booking Name],[1]!Bookings[Booking Status])</f>
        <v>Rejected</v>
      </c>
      <c r="O146" s="52" t="str">
        <f>_xlfn.XLOOKUP(E146,[1]!Bookings[Booking Name],[1]!Bookings[Customer Name])</f>
        <v>Mohanad Adel Abdo Saif</v>
      </c>
      <c r="P146" s="2" t="str">
        <f>_xlfn.XLOOKUP(E146,[1]!Bookings[Booking Name],[1]!Bookings[Nationality])</f>
        <v>Yemen</v>
      </c>
      <c r="Q146" s="4">
        <f>_xlfn.XLOOKUP(E146,[1]!Bookings[Booking Name],[1]!Bookings[Discount Amount])</f>
        <v>0</v>
      </c>
      <c r="R146" s="27">
        <f>_xlfn.XLOOKUP(E146,[1]!Bookings[Booking Name],[1]!Bookings[Discount Percentage])</f>
        <v>0</v>
      </c>
      <c r="S146" s="4">
        <f>_xlfn.XLOOKUP(E146,[1]!Bookings[Booking Name],[1]!Bookings[Final Sale Value After Discount])</f>
        <v>1296000</v>
      </c>
      <c r="T146" s="4">
        <f>_xlfn.XLOOKUP(E146,[1]!Bookings[Booking Name],[1]!Bookings[Inv Final Sale Value])</f>
        <v>1296000</v>
      </c>
      <c r="U146" s="34" t="str">
        <f>_xlfn.XLOOKUP(E146,[1]!Bookings[Booking Name],[1]!Bookings[Sales])</f>
        <v>Ramy Abdelsalam</v>
      </c>
      <c r="V146" s="2" t="str">
        <f>_xlfn.XLOOKUP(E146,[1]!Bookings[Booking Name],[1]!Bookings[Agency Name])</f>
        <v>STARS AND SANDS PROPERTIES L.L.C</v>
      </c>
      <c r="W146" s="2" t="str">
        <f>_xlfn.XLOOKUP(E146,[1]!Bookings[Booking Name],[1]!Bookings[Booking ID])</f>
        <v>a03J6000009mxJ1</v>
      </c>
      <c r="X146" s="2" t="str">
        <f>_xlfn.XLOOKUP(E146,[1]!Bookings[Booking Name],[1]!Bookings[Oracle Id])</f>
        <v>-</v>
      </c>
      <c r="Y146" s="70" t="s">
        <v>209</v>
      </c>
      <c r="Z146" s="3" t="s">
        <v>25</v>
      </c>
      <c r="AA146" s="118" t="s">
        <v>26</v>
      </c>
      <c r="AB146" s="118" t="s">
        <v>26</v>
      </c>
      <c r="AC146" s="9" t="s">
        <v>28</v>
      </c>
      <c r="AD146" s="106" t="s">
        <v>301</v>
      </c>
      <c r="AE146" s="28" t="s">
        <v>32</v>
      </c>
      <c r="AF146" s="28" t="s">
        <v>110</v>
      </c>
    </row>
    <row r="147" spans="2:32" ht="50.25" customHeight="1" x14ac:dyDescent="0.3">
      <c r="B147" s="2" t="s">
        <v>161</v>
      </c>
      <c r="C147" s="2">
        <v>45853</v>
      </c>
      <c r="D147" s="2">
        <f>_xlfn.XLOOKUP(E147,[1]!Bookings[Booking Name],[1]!Bookings[Rejected Date])</f>
        <v>45859</v>
      </c>
      <c r="E147" s="39" t="s">
        <v>29</v>
      </c>
      <c r="F147" s="76" t="str">
        <f>_xlfn.XLOOKUP(E147,[1]!Bookings[Booking Name],[1]!Bookings[Booking Status])</f>
        <v>Rejected</v>
      </c>
      <c r="G147" s="2">
        <f>_xlfn.XLOOKUP(E147,[1]!Bookings[Booking Name],[1]!Bookings[Booking Date])</f>
        <v>45843</v>
      </c>
      <c r="H147" s="3">
        <f>_xlfn.XLOOKUP(E147,[1]!Bookings[Booking Name],[1]!Bookings[Booking Aging])</f>
        <v>216</v>
      </c>
      <c r="I147" s="2" t="str">
        <f>_xlfn.XLOOKUP(E147,[1]!Bookings[Booking Name],[1]!Bookings[Project Name])</f>
        <v>Do Dubai Island</v>
      </c>
      <c r="J147" s="2" t="str">
        <f>_xlfn.XLOOKUP(E147,[1]!Bookings[Booking Name],[1]!Bookings[Building])</f>
        <v>Tower 1</v>
      </c>
      <c r="K147" s="2" t="str">
        <f>_xlfn.XLOOKUP(E147,[1]!Bookings[Booking Name],[1]!Bookings[Bedrooms])</f>
        <v>1 Bedroom</v>
      </c>
      <c r="L147" s="2" t="str">
        <f>_xlfn.XLOOKUP(E147,[1]!Bookings[Booking Name],[1]!Bookings[Unit No.])</f>
        <v>216</v>
      </c>
      <c r="M147" s="36" t="str">
        <f>_xlfn.XLOOKUP(E147,[1]!Bookings[Booking Name],[1]!Bookings[Inventory Unit Status])</f>
        <v>Available</v>
      </c>
      <c r="N147" s="2" t="str">
        <f>_xlfn.XLOOKUP(E147,[1]!Bookings[Booking Name],[1]!Bookings[Booking Status])</f>
        <v>Rejected</v>
      </c>
      <c r="O147" s="52" t="str">
        <f>_xlfn.XLOOKUP(E147,[1]!Bookings[Booking Name],[1]!Bookings[Customer Name])</f>
        <v>Mohanad Adel Abdo Saif</v>
      </c>
      <c r="P147" s="2" t="str">
        <f>_xlfn.XLOOKUP(E147,[1]!Bookings[Booking Name],[1]!Bookings[Nationality])</f>
        <v>Yemen</v>
      </c>
      <c r="Q147" s="4">
        <f>_xlfn.XLOOKUP(E147,[1]!Bookings[Booking Name],[1]!Bookings[Discount Amount])</f>
        <v>0</v>
      </c>
      <c r="R147" s="27">
        <f>_xlfn.XLOOKUP(E147,[1]!Bookings[Booking Name],[1]!Bookings[Discount Percentage])</f>
        <v>0</v>
      </c>
      <c r="S147" s="4">
        <f>_xlfn.XLOOKUP(E147,[1]!Bookings[Booking Name],[1]!Bookings[Final Sale Value After Discount])</f>
        <v>2191000</v>
      </c>
      <c r="T147" s="4">
        <f>_xlfn.XLOOKUP(E147,[1]!Bookings[Booking Name],[1]!Bookings[Inv Final Sale Value])</f>
        <v>2191000</v>
      </c>
      <c r="U147" s="34" t="str">
        <f>_xlfn.XLOOKUP(E147,[1]!Bookings[Booking Name],[1]!Bookings[Sales])</f>
        <v>Ramy Abdelsalam</v>
      </c>
      <c r="V147" s="2" t="str">
        <f>_xlfn.XLOOKUP(E147,[1]!Bookings[Booking Name],[1]!Bookings[Agency Name])</f>
        <v>STARS AND SANDS PROPERTIES L.L.C</v>
      </c>
      <c r="W147" s="2" t="str">
        <f>_xlfn.XLOOKUP(E147,[1]!Bookings[Booking Name],[1]!Bookings[Booking ID])</f>
        <v>a03J6000009mxIc</v>
      </c>
      <c r="X147" s="2" t="str">
        <f>_xlfn.XLOOKUP(E147,[1]!Bookings[Booking Name],[1]!Bookings[Oracle Id])</f>
        <v>-</v>
      </c>
      <c r="Y147" s="70" t="s">
        <v>209</v>
      </c>
      <c r="Z147" s="3" t="s">
        <v>25</v>
      </c>
      <c r="AA147" s="118"/>
      <c r="AB147" s="118"/>
      <c r="AC147" s="9" t="s">
        <v>28</v>
      </c>
      <c r="AD147" s="106" t="s">
        <v>300</v>
      </c>
      <c r="AE147" s="28" t="s">
        <v>32</v>
      </c>
      <c r="AF147" s="28" t="s">
        <v>110</v>
      </c>
    </row>
    <row r="148" spans="2:32" ht="50.25" customHeight="1" x14ac:dyDescent="0.3">
      <c r="B148" s="2" t="s">
        <v>161</v>
      </c>
      <c r="C148" s="2">
        <v>45853</v>
      </c>
      <c r="D148" s="2">
        <f>_xlfn.XLOOKUP(E148,[1]!Bookings[Booking Name],[1]!Bookings[Rejected Date])</f>
        <v>45859</v>
      </c>
      <c r="E148" s="39" t="s">
        <v>30</v>
      </c>
      <c r="F148" s="76" t="str">
        <f>_xlfn.XLOOKUP(E148,[1]!Bookings[Booking Name],[1]!Bookings[Booking Status])</f>
        <v>Rejected</v>
      </c>
      <c r="G148" s="2">
        <f>_xlfn.XLOOKUP(E148,[1]!Bookings[Booking Name],[1]!Bookings[Booking Date])</f>
        <v>45837</v>
      </c>
      <c r="H148" s="3">
        <f>_xlfn.XLOOKUP(E148,[1]!Bookings[Booking Name],[1]!Bookings[Booking Aging])</f>
        <v>222</v>
      </c>
      <c r="I148" s="2" t="str">
        <f>_xlfn.XLOOKUP(E148,[1]!Bookings[Booking Name],[1]!Bookings[Project Name])</f>
        <v>Laguna Residence</v>
      </c>
      <c r="J148" s="2" t="str">
        <f>_xlfn.XLOOKUP(E148,[1]!Bookings[Booking Name],[1]!Bookings[Building])</f>
        <v>Tower A</v>
      </c>
      <c r="K148" s="2" t="str">
        <f>_xlfn.XLOOKUP(E148,[1]!Bookings[Booking Name],[1]!Bookings[Bedrooms])</f>
        <v>Studio</v>
      </c>
      <c r="L148" s="2" t="str">
        <f>_xlfn.XLOOKUP(E148,[1]!Bookings[Booking Name],[1]!Bookings[Unit No.])</f>
        <v>A2110</v>
      </c>
      <c r="M148" s="36" t="str">
        <f>_xlfn.XLOOKUP(E148,[1]!Bookings[Booking Name],[1]!Bookings[Inventory Unit Status])</f>
        <v>Booked</v>
      </c>
      <c r="N148" s="2" t="str">
        <f>_xlfn.XLOOKUP(E148,[1]!Bookings[Booking Name],[1]!Bookings[Booking Status])</f>
        <v>Rejected</v>
      </c>
      <c r="O148" s="52" t="str">
        <f>_xlfn.XLOOKUP(E148,[1]!Bookings[Booking Name],[1]!Bookings[Customer Name])</f>
        <v>Aziz Ghassan Saba</v>
      </c>
      <c r="P148" s="2" t="str">
        <f>_xlfn.XLOOKUP(E148,[1]!Bookings[Booking Name],[1]!Bookings[Nationality])</f>
        <v>Canada</v>
      </c>
      <c r="Q148" s="4">
        <f>_xlfn.XLOOKUP(E148,[1]!Bookings[Booking Name],[1]!Bookings[Discount Amount])</f>
        <v>53000</v>
      </c>
      <c r="R148" s="27">
        <f>_xlfn.XLOOKUP(E148,[1]!Bookings[Booking Name],[1]!Bookings[Discount Percentage])</f>
        <v>6.5594059405940597E-2</v>
      </c>
      <c r="S148" s="4">
        <f>_xlfn.XLOOKUP(E148,[1]!Bookings[Booking Name],[1]!Bookings[Final Sale Value After Discount])</f>
        <v>755000</v>
      </c>
      <c r="T148" s="4">
        <f>_xlfn.XLOOKUP(E148,[1]!Bookings[Booking Name],[1]!Bookings[Inv Final Sale Value])</f>
        <v>808000</v>
      </c>
      <c r="U148" s="34" t="str">
        <f>_xlfn.XLOOKUP(E148,[1]!Bookings[Booking Name],[1]!Bookings[Sales])</f>
        <v>Ahmed Eissa</v>
      </c>
      <c r="V148" s="2" t="str">
        <f>_xlfn.XLOOKUP(E148,[1]!Bookings[Booking Name],[1]!Bookings[Agency Name])</f>
        <v>PREMIA LIVINGS REAL ESTATE L.L.C</v>
      </c>
      <c r="W148" s="2" t="str">
        <f>_xlfn.XLOOKUP(E148,[1]!Bookings[Booking Name],[1]!Bookings[Booking ID])</f>
        <v>a03J6000009mayR</v>
      </c>
      <c r="X148" s="2" t="str">
        <f>_xlfn.XLOOKUP(E148,[1]!Bookings[Booking Name],[1]!Bookings[Oracle Id])</f>
        <v>-</v>
      </c>
      <c r="Y148" s="70" t="s">
        <v>209</v>
      </c>
      <c r="Z148" s="90">
        <v>15100</v>
      </c>
      <c r="AA148" s="6">
        <v>1.8688118811881187E-2</v>
      </c>
      <c r="AB148" s="3" t="s">
        <v>31</v>
      </c>
      <c r="AC148" s="9" t="s">
        <v>32</v>
      </c>
      <c r="AD148" s="106" t="s">
        <v>299</v>
      </c>
      <c r="AE148" s="28" t="s">
        <v>32</v>
      </c>
      <c r="AF148" s="29" t="s">
        <v>97</v>
      </c>
    </row>
    <row r="149" spans="2:32" ht="50.25" customHeight="1" x14ac:dyDescent="0.3">
      <c r="B149" s="2" t="s">
        <v>161</v>
      </c>
      <c r="C149" s="2">
        <v>45853</v>
      </c>
      <c r="D149" s="2">
        <f>_xlfn.XLOOKUP(E149,[1]!Bookings[Booking Name],[1]!Bookings[Rejected Date])</f>
        <v>45859</v>
      </c>
      <c r="E149" s="39" t="s">
        <v>33</v>
      </c>
      <c r="F149" s="76" t="str">
        <f>_xlfn.XLOOKUP(E149,[1]!Bookings[Booking Name],[1]!Bookings[Booking Status])</f>
        <v>Rejected</v>
      </c>
      <c r="G149" s="2">
        <f>_xlfn.XLOOKUP(E149,[1]!Bookings[Booking Name],[1]!Bookings[Booking Date])</f>
        <v>45833</v>
      </c>
      <c r="H149" s="3">
        <f>_xlfn.XLOOKUP(E149,[1]!Bookings[Booking Name],[1]!Bookings[Booking Aging])</f>
        <v>226</v>
      </c>
      <c r="I149" s="2" t="str">
        <f>_xlfn.XLOOKUP(E149,[1]!Bookings[Booking Name],[1]!Bookings[Project Name])</f>
        <v>Do Dubai Island</v>
      </c>
      <c r="J149" s="2" t="str">
        <f>_xlfn.XLOOKUP(E149,[1]!Bookings[Booking Name],[1]!Bookings[Building])</f>
        <v>Tower 1</v>
      </c>
      <c r="K149" s="2" t="str">
        <f>_xlfn.XLOOKUP(E149,[1]!Bookings[Booking Name],[1]!Bookings[Bedrooms])</f>
        <v>Studio</v>
      </c>
      <c r="L149" s="2" t="str">
        <f>_xlfn.XLOOKUP(E149,[1]!Bookings[Booking Name],[1]!Bookings[Unit No.])</f>
        <v>618</v>
      </c>
      <c r="M149" s="36" t="str">
        <f>_xlfn.XLOOKUP(E149,[1]!Bookings[Booking Name],[1]!Bookings[Inventory Unit Status])</f>
        <v>SPA Executed</v>
      </c>
      <c r="N149" s="2" t="str">
        <f>_xlfn.XLOOKUP(E149,[1]!Bookings[Booking Name],[1]!Bookings[Booking Status])</f>
        <v>Rejected</v>
      </c>
      <c r="O149" s="52" t="str">
        <f>_xlfn.XLOOKUP(E149,[1]!Bookings[Booking Name],[1]!Bookings[Customer Name])</f>
        <v>GIORGIO SAIU</v>
      </c>
      <c r="P149" s="2" t="str">
        <f>_xlfn.XLOOKUP(E149,[1]!Bookings[Booking Name],[1]!Bookings[Nationality])</f>
        <v>Italy</v>
      </c>
      <c r="Q149" s="4">
        <f>_xlfn.XLOOKUP(E149,[1]!Bookings[Booking Name],[1]!Bookings[Discount Amount])</f>
        <v>0</v>
      </c>
      <c r="R149" s="27">
        <f>_xlfn.XLOOKUP(E149,[1]!Bookings[Booking Name],[1]!Bookings[Discount Percentage])</f>
        <v>0</v>
      </c>
      <c r="S149" s="4">
        <f>_xlfn.XLOOKUP(E149,[1]!Bookings[Booking Name],[1]!Bookings[Final Sale Value After Discount])</f>
        <v>1184000</v>
      </c>
      <c r="T149" s="4">
        <f>_xlfn.XLOOKUP(E149,[1]!Bookings[Booking Name],[1]!Bookings[Inv Final Sale Value])</f>
        <v>1184000</v>
      </c>
      <c r="U149" s="34" t="str">
        <f>_xlfn.XLOOKUP(E149,[1]!Bookings[Booking Name],[1]!Bookings[Sales])</f>
        <v>Amal El Gendy</v>
      </c>
      <c r="V149" s="2" t="str">
        <f>_xlfn.XLOOKUP(E149,[1]!Bookings[Booking Name],[1]!Bookings[Agency Name])</f>
        <v>Aarniko Consulting/Mr. FELICE LAFORZA</v>
      </c>
      <c r="W149" s="2" t="str">
        <f>_xlfn.XLOOKUP(E149,[1]!Bookings[Booking Name],[1]!Bookings[Booking ID])</f>
        <v>a03J6000009mQVN</v>
      </c>
      <c r="X149" s="2" t="str">
        <f>_xlfn.XLOOKUP(E149,[1]!Bookings[Booking Name],[1]!Bookings[Oracle Id])</f>
        <v>-</v>
      </c>
      <c r="Y149" s="70" t="s">
        <v>209</v>
      </c>
      <c r="Z149" s="3" t="s">
        <v>25</v>
      </c>
      <c r="AA149" s="3" t="s">
        <v>26</v>
      </c>
      <c r="AB149" s="3" t="s">
        <v>26</v>
      </c>
      <c r="AC149" s="9" t="s">
        <v>34</v>
      </c>
      <c r="AD149" s="106" t="s">
        <v>298</v>
      </c>
      <c r="AE149" s="28" t="s">
        <v>94</v>
      </c>
      <c r="AF149" s="28" t="s">
        <v>79</v>
      </c>
    </row>
    <row r="150" spans="2:32" ht="50.25" customHeight="1" x14ac:dyDescent="0.3">
      <c r="B150" s="2" t="s">
        <v>161</v>
      </c>
      <c r="C150" s="2">
        <v>45853</v>
      </c>
      <c r="D150" s="2">
        <f>_xlfn.XLOOKUP(E150,[1]!Bookings[Booking Name],[1]!Bookings[Rejected Date])</f>
        <v>45859</v>
      </c>
      <c r="E150" s="39" t="s">
        <v>35</v>
      </c>
      <c r="F150" s="76" t="str">
        <f>_xlfn.XLOOKUP(E150,[1]!Bookings[Booking Name],[1]!Bookings[Booking Status])</f>
        <v>Rejected</v>
      </c>
      <c r="G150" s="2">
        <f>_xlfn.XLOOKUP(E150,[1]!Bookings[Booking Name],[1]!Bookings[Booking Date])</f>
        <v>45818</v>
      </c>
      <c r="H150" s="3">
        <f>_xlfn.XLOOKUP(E150,[1]!Bookings[Booking Name],[1]!Bookings[Booking Aging])</f>
        <v>241</v>
      </c>
      <c r="I150" s="2" t="str">
        <f>_xlfn.XLOOKUP(E150,[1]!Bookings[Booking Name],[1]!Bookings[Project Name])</f>
        <v>Do Dubai Island</v>
      </c>
      <c r="J150" s="2" t="str">
        <f>_xlfn.XLOOKUP(E150,[1]!Bookings[Booking Name],[1]!Bookings[Building])</f>
        <v>Tower 1</v>
      </c>
      <c r="K150" s="2" t="str">
        <f>_xlfn.XLOOKUP(E150,[1]!Bookings[Booking Name],[1]!Bookings[Bedrooms])</f>
        <v>1 Bedroom</v>
      </c>
      <c r="L150" s="2" t="str">
        <f>_xlfn.XLOOKUP(E150,[1]!Bookings[Booking Name],[1]!Bookings[Unit No.])</f>
        <v>509</v>
      </c>
      <c r="M150" s="36" t="str">
        <f>_xlfn.XLOOKUP(E150,[1]!Bookings[Booking Name],[1]!Bookings[Inventory Unit Status])</f>
        <v>SPA Executed</v>
      </c>
      <c r="N150" s="2" t="str">
        <f>_xlfn.XLOOKUP(E150,[1]!Bookings[Booking Name],[1]!Bookings[Booking Status])</f>
        <v>Rejected</v>
      </c>
      <c r="O150" s="52" t="str">
        <f>_xlfn.XLOOKUP(E150,[1]!Bookings[Booking Name],[1]!Bookings[Customer Name])</f>
        <v>Ramazan ozturk</v>
      </c>
      <c r="P150" s="2" t="str">
        <f>_xlfn.XLOOKUP(E150,[1]!Bookings[Booking Name],[1]!Bookings[Nationality])</f>
        <v>Turkey</v>
      </c>
      <c r="Q150" s="4">
        <f>_xlfn.XLOOKUP(E150,[1]!Bookings[Booking Name],[1]!Bookings[Discount Amount])</f>
        <v>0</v>
      </c>
      <c r="R150" s="27">
        <f>_xlfn.XLOOKUP(E150,[1]!Bookings[Booking Name],[1]!Bookings[Discount Percentage])</f>
        <v>0</v>
      </c>
      <c r="S150" s="4">
        <f>_xlfn.XLOOKUP(E150,[1]!Bookings[Booking Name],[1]!Bookings[Final Sale Value After Discount])</f>
        <v>2274000</v>
      </c>
      <c r="T150" s="4">
        <f>_xlfn.XLOOKUP(E150,[1]!Bookings[Booking Name],[1]!Bookings[Inv Final Sale Value])</f>
        <v>2274000</v>
      </c>
      <c r="U150" s="34" t="str">
        <f>_xlfn.XLOOKUP(E150,[1]!Bookings[Booking Name],[1]!Bookings[Sales])</f>
        <v>Zeynep Mustekin</v>
      </c>
      <c r="V150" s="2" t="str">
        <f>_xlfn.XLOOKUP(E150,[1]!Bookings[Booking Name],[1]!Bookings[Agency Name])</f>
        <v>Seven Luxury Real Estate L.L.C</v>
      </c>
      <c r="W150" s="2" t="str">
        <f>_xlfn.XLOOKUP(E150,[1]!Bookings[Booking Name],[1]!Bookings[Booking ID])</f>
        <v>a03J6000009la3Y</v>
      </c>
      <c r="X150" s="2" t="str">
        <f>_xlfn.XLOOKUP(E150,[1]!Bookings[Booking Name],[1]!Bookings[Oracle Id])</f>
        <v>-</v>
      </c>
      <c r="Y150" s="70" t="s">
        <v>209</v>
      </c>
      <c r="Z150" s="3" t="s">
        <v>25</v>
      </c>
      <c r="AA150" s="6" t="s">
        <v>26</v>
      </c>
      <c r="AB150" s="3" t="s">
        <v>31</v>
      </c>
      <c r="AC150" s="103" t="s">
        <v>244</v>
      </c>
      <c r="AD150" s="106" t="s">
        <v>297</v>
      </c>
      <c r="AE150" s="28" t="s">
        <v>93</v>
      </c>
      <c r="AF150" s="28" t="s">
        <v>96</v>
      </c>
    </row>
    <row r="151" spans="2:32" ht="50.25" customHeight="1" x14ac:dyDescent="0.3">
      <c r="B151" s="2" t="s">
        <v>161</v>
      </c>
      <c r="C151" s="2">
        <v>45853</v>
      </c>
      <c r="D151" s="2">
        <f>_xlfn.XLOOKUP(E151,[1]!Bookings[Booking Name],[1]!Bookings[Rejected Date])</f>
        <v>45859</v>
      </c>
      <c r="E151" s="39" t="s">
        <v>36</v>
      </c>
      <c r="F151" s="76" t="str">
        <f>_xlfn.XLOOKUP(E151,[1]!Bookings[Booking Name],[1]!Bookings[Booking Status])</f>
        <v>Rejected</v>
      </c>
      <c r="G151" s="2">
        <f>_xlfn.XLOOKUP(E151,[1]!Bookings[Booking Name],[1]!Bookings[Booking Date])</f>
        <v>45818</v>
      </c>
      <c r="H151" s="3">
        <f>_xlfn.XLOOKUP(E151,[1]!Bookings[Booking Name],[1]!Bookings[Booking Aging])</f>
        <v>241</v>
      </c>
      <c r="I151" s="2" t="str">
        <f>_xlfn.XLOOKUP(E151,[1]!Bookings[Booking Name],[1]!Bookings[Project Name])</f>
        <v>Do Dubai Island</v>
      </c>
      <c r="J151" s="2" t="str">
        <f>_xlfn.XLOOKUP(E151,[1]!Bookings[Booking Name],[1]!Bookings[Building])</f>
        <v>Tower 1</v>
      </c>
      <c r="K151" s="2" t="str">
        <f>_xlfn.XLOOKUP(E151,[1]!Bookings[Booking Name],[1]!Bookings[Bedrooms])</f>
        <v>Studio</v>
      </c>
      <c r="L151" s="2" t="str">
        <f>_xlfn.XLOOKUP(E151,[1]!Bookings[Booking Name],[1]!Bookings[Unit No.])</f>
        <v>612</v>
      </c>
      <c r="M151" s="36" t="str">
        <f>_xlfn.XLOOKUP(E151,[1]!Bookings[Booking Name],[1]!Bookings[Inventory Unit Status])</f>
        <v>SPA Executed</v>
      </c>
      <c r="N151" s="2" t="str">
        <f>_xlfn.XLOOKUP(E151,[1]!Bookings[Booking Name],[1]!Bookings[Booking Status])</f>
        <v>Rejected</v>
      </c>
      <c r="O151" s="52" t="str">
        <f>_xlfn.XLOOKUP(E151,[1]!Bookings[Booking Name],[1]!Bookings[Customer Name])</f>
        <v>Ahmed Bharkhat Roheb</v>
      </c>
      <c r="P151" s="2" t="str">
        <f>_xlfn.XLOOKUP(E151,[1]!Bookings[Booking Name],[1]!Bookings[Nationality])</f>
        <v>United Kingdom</v>
      </c>
      <c r="Q151" s="4">
        <f>_xlfn.XLOOKUP(E151,[1]!Bookings[Booking Name],[1]!Bookings[Discount Amount])</f>
        <v>0</v>
      </c>
      <c r="R151" s="27">
        <f>_xlfn.XLOOKUP(E151,[1]!Bookings[Booking Name],[1]!Bookings[Discount Percentage])</f>
        <v>0</v>
      </c>
      <c r="S151" s="4">
        <f>_xlfn.XLOOKUP(E151,[1]!Bookings[Booking Name],[1]!Bookings[Final Sale Value After Discount])</f>
        <v>1215000</v>
      </c>
      <c r="T151" s="4">
        <f>_xlfn.XLOOKUP(E151,[1]!Bookings[Booking Name],[1]!Bookings[Inv Final Sale Value])</f>
        <v>1215000</v>
      </c>
      <c r="U151" s="34" t="str">
        <f>_xlfn.XLOOKUP(E151,[1]!Bookings[Booking Name],[1]!Bookings[Sales])</f>
        <v>Claire Moussa</v>
      </c>
      <c r="V151" s="2" t="str">
        <f>_xlfn.XLOOKUP(E151,[1]!Bookings[Booking Name],[1]!Bookings[Agency Name])</f>
        <v>GOLD MILE PROPERTIES</v>
      </c>
      <c r="W151" s="2" t="str">
        <f>_xlfn.XLOOKUP(E151,[1]!Bookings[Booking Name],[1]!Bookings[Booking ID])</f>
        <v>a03J6000009la30</v>
      </c>
      <c r="X151" s="2" t="str">
        <f>_xlfn.XLOOKUP(E151,[1]!Bookings[Booking Name],[1]!Bookings[Oracle Id])</f>
        <v>-</v>
      </c>
      <c r="Y151" s="70" t="s">
        <v>209</v>
      </c>
      <c r="Z151" s="90">
        <v>50010</v>
      </c>
      <c r="AA151" s="6">
        <v>4.1160493827160492E-2</v>
      </c>
      <c r="AB151" s="3" t="s">
        <v>37</v>
      </c>
      <c r="AC151" s="103" t="s">
        <v>244</v>
      </c>
      <c r="AD151" s="106" t="s">
        <v>296</v>
      </c>
      <c r="AE151" s="28" t="s">
        <v>93</v>
      </c>
      <c r="AF151" s="28" t="s">
        <v>96</v>
      </c>
    </row>
    <row r="152" spans="2:32" ht="50.25" customHeight="1" x14ac:dyDescent="0.3">
      <c r="B152" s="2" t="s">
        <v>161</v>
      </c>
      <c r="C152" s="2">
        <v>45853</v>
      </c>
      <c r="D152" s="2">
        <f>_xlfn.XLOOKUP(E152,[1]!Bookings[Booking Name],[1]!Bookings[Rejected Date])</f>
        <v>45855</v>
      </c>
      <c r="E152" s="39" t="s">
        <v>38</v>
      </c>
      <c r="F152" s="76" t="str">
        <f>_xlfn.XLOOKUP(E152,[1]!Bookings[Booking Name],[1]!Bookings[Booking Status])</f>
        <v>Rejected</v>
      </c>
      <c r="G152" s="2">
        <f>_xlfn.XLOOKUP(E152,[1]!Bookings[Booking Name],[1]!Bookings[Booking Date])</f>
        <v>45817</v>
      </c>
      <c r="H152" s="3">
        <f>_xlfn.XLOOKUP(E152,[1]!Bookings[Booking Name],[1]!Bookings[Booking Aging])</f>
        <v>242</v>
      </c>
      <c r="I152" s="2" t="str">
        <f>_xlfn.XLOOKUP(E152,[1]!Bookings[Booking Name],[1]!Bookings[Project Name])</f>
        <v>Do Dubai Island</v>
      </c>
      <c r="J152" s="2" t="str">
        <f>_xlfn.XLOOKUP(E152,[1]!Bookings[Booking Name],[1]!Bookings[Building])</f>
        <v>Tower 1</v>
      </c>
      <c r="K152" s="2" t="str">
        <f>_xlfn.XLOOKUP(E152,[1]!Bookings[Booking Name],[1]!Bookings[Bedrooms])</f>
        <v>1 Bedroom</v>
      </c>
      <c r="L152" s="2" t="str">
        <f>_xlfn.XLOOKUP(E152,[1]!Bookings[Booking Name],[1]!Bookings[Unit No.])</f>
        <v>502</v>
      </c>
      <c r="M152" s="36" t="str">
        <f>_xlfn.XLOOKUP(E152,[1]!Bookings[Booking Name],[1]!Bookings[Inventory Unit Status])</f>
        <v>SPA Executed</v>
      </c>
      <c r="N152" s="2" t="str">
        <f>_xlfn.XLOOKUP(E152,[1]!Bookings[Booking Name],[1]!Bookings[Booking Status])</f>
        <v>Rejected</v>
      </c>
      <c r="O152" s="52" t="str">
        <f>_xlfn.XLOOKUP(E152,[1]!Bookings[Booking Name],[1]!Bookings[Customer Name])</f>
        <v>MAXIMILIAN WINZLMEIER</v>
      </c>
      <c r="P152" s="2" t="str">
        <f>_xlfn.XLOOKUP(E152,[1]!Bookings[Booking Name],[1]!Bookings[Nationality])</f>
        <v>Germany</v>
      </c>
      <c r="Q152" s="4">
        <f>_xlfn.XLOOKUP(E152,[1]!Bookings[Booking Name],[1]!Bookings[Discount Amount])</f>
        <v>0</v>
      </c>
      <c r="R152" s="27">
        <f>_xlfn.XLOOKUP(E152,[1]!Bookings[Booking Name],[1]!Bookings[Discount Percentage])</f>
        <v>0</v>
      </c>
      <c r="S152" s="4">
        <f>_xlfn.XLOOKUP(E152,[1]!Bookings[Booking Name],[1]!Bookings[Final Sale Value After Discount])</f>
        <v>2654000</v>
      </c>
      <c r="T152" s="4">
        <f>_xlfn.XLOOKUP(E152,[1]!Bookings[Booking Name],[1]!Bookings[Inv Final Sale Value])</f>
        <v>2654000</v>
      </c>
      <c r="U152" s="34" t="str">
        <f>_xlfn.XLOOKUP(E152,[1]!Bookings[Booking Name],[1]!Bookings[Sales])</f>
        <v>Amal El Gendy</v>
      </c>
      <c r="V152" s="2" t="str">
        <f>_xlfn.XLOOKUP(E152,[1]!Bookings[Booking Name],[1]!Bookings[Agency Name])</f>
        <v>H&amp;S REAL ESTATE LLC</v>
      </c>
      <c r="W152" s="2" t="str">
        <f>_xlfn.XLOOKUP(E152,[1]!Bookings[Booking Name],[1]!Bookings[Booking ID])</f>
        <v>a03J6000009lWlJ</v>
      </c>
      <c r="X152" s="2" t="str">
        <f>_xlfn.XLOOKUP(E152,[1]!Bookings[Booking Name],[1]!Bookings[Oracle Id])</f>
        <v>-</v>
      </c>
      <c r="Y152" s="70" t="s">
        <v>209</v>
      </c>
      <c r="Z152" s="90">
        <v>199268.78</v>
      </c>
      <c r="AA152" s="10">
        <v>7.5082434061793518E-2</v>
      </c>
      <c r="AB152" s="3" t="s">
        <v>37</v>
      </c>
      <c r="AC152" s="9" t="s">
        <v>39</v>
      </c>
      <c r="AD152" s="106" t="s">
        <v>295</v>
      </c>
      <c r="AE152" s="28" t="s">
        <v>32</v>
      </c>
      <c r="AF152" s="29" t="s">
        <v>113</v>
      </c>
    </row>
    <row r="153" spans="2:32" ht="50.25" customHeight="1" x14ac:dyDescent="0.3">
      <c r="B153" s="2" t="s">
        <v>161</v>
      </c>
      <c r="C153" s="2">
        <v>45853</v>
      </c>
      <c r="D153" s="2">
        <f>_xlfn.XLOOKUP(E153,[1]!Bookings[Booking Name],[1]!Bookings[Rejected Date])</f>
        <v>45859</v>
      </c>
      <c r="E153" s="39" t="s">
        <v>40</v>
      </c>
      <c r="F153" s="76" t="str">
        <f>_xlfn.XLOOKUP(E153,[1]!Bookings[Booking Name],[1]!Bookings[Booking Status])</f>
        <v>Rejected</v>
      </c>
      <c r="G153" s="2">
        <f>_xlfn.XLOOKUP(E153,[1]!Bookings[Booking Name],[1]!Bookings[Booking Date])</f>
        <v>45740</v>
      </c>
      <c r="H153" s="3">
        <f>_xlfn.XLOOKUP(E153,[1]!Bookings[Booking Name],[1]!Bookings[Booking Aging])</f>
        <v>319</v>
      </c>
      <c r="I153" s="2" t="str">
        <f>_xlfn.XLOOKUP(E153,[1]!Bookings[Booking Name],[1]!Bookings[Project Name])</f>
        <v>Laguna Residence</v>
      </c>
      <c r="J153" s="2" t="str">
        <f>_xlfn.XLOOKUP(E153,[1]!Bookings[Booking Name],[1]!Bookings[Building])</f>
        <v>Tower A</v>
      </c>
      <c r="K153" s="2" t="str">
        <f>_xlfn.XLOOKUP(E153,[1]!Bookings[Booking Name],[1]!Bookings[Bedrooms])</f>
        <v>Studio</v>
      </c>
      <c r="L153" s="2" t="str">
        <f>_xlfn.XLOOKUP(E153,[1]!Bookings[Booking Name],[1]!Bookings[Unit No.])</f>
        <v>A918</v>
      </c>
      <c r="M153" s="36" t="str">
        <f>_xlfn.XLOOKUP(E153,[1]!Bookings[Booking Name],[1]!Bookings[Inventory Unit Status])</f>
        <v>Booked</v>
      </c>
      <c r="N153" s="2" t="str">
        <f>_xlfn.XLOOKUP(E153,[1]!Bookings[Booking Name],[1]!Bookings[Booking Status])</f>
        <v>Rejected</v>
      </c>
      <c r="O153" s="52" t="str">
        <f>_xlfn.XLOOKUP(E153,[1]!Bookings[Booking Name],[1]!Bookings[Customer Name])</f>
        <v>Hayah Mohammed Abdulla Mohamed Alnuaimi</v>
      </c>
      <c r="P153" s="2" t="str">
        <f>_xlfn.XLOOKUP(E153,[1]!Bookings[Booking Name],[1]!Bookings[Nationality])</f>
        <v>United Arab Emirates</v>
      </c>
      <c r="Q153" s="4">
        <f>_xlfn.XLOOKUP(E153,[1]!Bookings[Booking Name],[1]!Bookings[Discount Amount])</f>
        <v>52000</v>
      </c>
      <c r="R153" s="27">
        <f>_xlfn.XLOOKUP(E153,[1]!Bookings[Booking Name],[1]!Bookings[Discount Percentage])</f>
        <v>6.5822784810126586E-2</v>
      </c>
      <c r="S153" s="4">
        <f>_xlfn.XLOOKUP(E153,[1]!Bookings[Booking Name],[1]!Bookings[Final Sale Value After Discount])</f>
        <v>738000</v>
      </c>
      <c r="T153" s="4">
        <f>_xlfn.XLOOKUP(E153,[1]!Bookings[Booking Name],[1]!Bookings[Inv Final Sale Value])</f>
        <v>790000</v>
      </c>
      <c r="U153" s="34" t="str">
        <f>_xlfn.XLOOKUP(E153,[1]!Bookings[Booking Name],[1]!Bookings[Sales])</f>
        <v>Feriel Dridi</v>
      </c>
      <c r="V153" s="2" t="str">
        <f>_xlfn.XLOOKUP(E153,[1]!Bookings[Booking Name],[1]!Bookings[Agency Name])</f>
        <v>AHYAN REAL ESTATE BROKER</v>
      </c>
      <c r="W153" s="2" t="str">
        <f>_xlfn.XLOOKUP(E153,[1]!Bookings[Booking Name],[1]!Bookings[Booking ID])</f>
        <v>a03J60000080F5C</v>
      </c>
      <c r="X153" s="2" t="str">
        <f>_xlfn.XLOOKUP(E153,[1]!Bookings[Booking Name],[1]!Bookings[Oracle Id])</f>
        <v>23702</v>
      </c>
      <c r="Y153" s="70" t="s">
        <v>209</v>
      </c>
      <c r="Z153" s="90">
        <v>20000</v>
      </c>
      <c r="AA153" s="10">
        <v>2.5316455696202531E-2</v>
      </c>
      <c r="AB153" s="3" t="s">
        <v>31</v>
      </c>
      <c r="AC153" s="3" t="s">
        <v>41</v>
      </c>
      <c r="AD153" s="14" t="s">
        <v>294</v>
      </c>
      <c r="AE153" s="28" t="s">
        <v>93</v>
      </c>
      <c r="AF153" s="28" t="s">
        <v>96</v>
      </c>
    </row>
    <row r="154" spans="2:32" ht="50.25" customHeight="1" x14ac:dyDescent="0.3">
      <c r="B154" s="2" t="s">
        <v>161</v>
      </c>
      <c r="C154" s="2">
        <v>45853</v>
      </c>
      <c r="D154" s="2">
        <f>_xlfn.XLOOKUP(E154,[1]!Bookings[Booking Name],[1]!Bookings[Rejected Date])</f>
        <v>45859</v>
      </c>
      <c r="E154" s="39" t="s">
        <v>42</v>
      </c>
      <c r="F154" s="76" t="str">
        <f>_xlfn.XLOOKUP(E154,[1]!Bookings[Booking Name],[1]!Bookings[Booking Status])</f>
        <v>Rejected</v>
      </c>
      <c r="G154" s="2">
        <f>_xlfn.XLOOKUP(E154,[1]!Bookings[Booking Name],[1]!Bookings[Booking Date])</f>
        <v>45630</v>
      </c>
      <c r="H154" s="3">
        <f>_xlfn.XLOOKUP(E154,[1]!Bookings[Booking Name],[1]!Bookings[Booking Aging])</f>
        <v>429</v>
      </c>
      <c r="I154" s="2" t="str">
        <f>_xlfn.XLOOKUP(E154,[1]!Bookings[Booking Name],[1]!Bookings[Project Name])</f>
        <v>Laguna Residence</v>
      </c>
      <c r="J154" s="2" t="str">
        <f>_xlfn.XLOOKUP(E154,[1]!Bookings[Booking Name],[1]!Bookings[Building])</f>
        <v>Tower A</v>
      </c>
      <c r="K154" s="2" t="str">
        <f>_xlfn.XLOOKUP(E154,[1]!Bookings[Booking Name],[1]!Bookings[Bedrooms])</f>
        <v>3 Bedroom</v>
      </c>
      <c r="L154" s="2" t="str">
        <f>_xlfn.XLOOKUP(E154,[1]!Bookings[Booking Name],[1]!Bookings[Unit No.])</f>
        <v>A4001</v>
      </c>
      <c r="M154" s="36" t="str">
        <f>_xlfn.XLOOKUP(E154,[1]!Bookings[Booking Name],[1]!Bookings[Inventory Unit Status])</f>
        <v>Blocked</v>
      </c>
      <c r="N154" s="2" t="str">
        <f>_xlfn.XLOOKUP(E154,[1]!Bookings[Booking Name],[1]!Bookings[Booking Status])</f>
        <v>Rejected</v>
      </c>
      <c r="O154" s="52" t="str">
        <f>_xlfn.XLOOKUP(E154,[1]!Bookings[Booking Name],[1]!Bookings[Customer Name])</f>
        <v>Alem Mengstu Meles</v>
      </c>
      <c r="P154" s="2" t="str">
        <f>_xlfn.XLOOKUP(E154,[1]!Bookings[Booking Name],[1]!Bookings[Nationality])</f>
        <v>Ethiopia</v>
      </c>
      <c r="Q154" s="4">
        <f>_xlfn.XLOOKUP(E154,[1]!Bookings[Booking Name],[1]!Bookings[Discount Amount])</f>
        <v>797000</v>
      </c>
      <c r="R154" s="27">
        <f>_xlfn.XLOOKUP(E154,[1]!Bookings[Booking Name],[1]!Bookings[Discount Percentage])</f>
        <v>0.15046252595808948</v>
      </c>
      <c r="S154" s="4">
        <f>_xlfn.XLOOKUP(E154,[1]!Bookings[Booking Name],[1]!Bookings[Final Sale Value After Discount])</f>
        <v>4500000</v>
      </c>
      <c r="T154" s="4">
        <f>_xlfn.XLOOKUP(E154,[1]!Bookings[Booking Name],[1]!Bookings[Inv Final Sale Value])</f>
        <v>5297000</v>
      </c>
      <c r="U154" s="34" t="str">
        <f>_xlfn.XLOOKUP(E154,[1]!Bookings[Booking Name],[1]!Bookings[Sales])</f>
        <v>Aiham Addi</v>
      </c>
      <c r="V154" s="2" t="str">
        <f>_xlfn.XLOOKUP(E154,[1]!Bookings[Booking Name],[1]!Bookings[Agency Name])</f>
        <v>GLOBEX REAL ESTATE L L C</v>
      </c>
      <c r="W154" s="2" t="str">
        <f>_xlfn.XLOOKUP(E154,[1]!Bookings[Booking Name],[1]!Bookings[Booking ID])</f>
        <v>a03J6000003iewX</v>
      </c>
      <c r="X154" s="2" t="str">
        <f>_xlfn.XLOOKUP(E154,[1]!Bookings[Booking Name],[1]!Bookings[Oracle Id])</f>
        <v>14633</v>
      </c>
      <c r="Y154" s="70" t="s">
        <v>209</v>
      </c>
      <c r="Z154" s="90">
        <v>680000</v>
      </c>
      <c r="AA154" s="6">
        <v>0.12837455163299982</v>
      </c>
      <c r="AB154" s="3" t="s">
        <v>31</v>
      </c>
      <c r="AC154" s="9" t="s">
        <v>43</v>
      </c>
      <c r="AD154" s="106" t="s">
        <v>293</v>
      </c>
      <c r="AE154" s="28" t="s">
        <v>88</v>
      </c>
      <c r="AF154" s="28" t="s">
        <v>111</v>
      </c>
    </row>
  </sheetData>
  <mergeCells count="2">
    <mergeCell ref="AA146:AA147"/>
    <mergeCell ref="AB146:AB147"/>
  </mergeCells>
  <phoneticPr fontId="69" type="noConversion"/>
  <conditionalFormatting sqref="C76">
    <cfRule type="duplicateValues" dxfId="14" priority="3"/>
    <cfRule type="duplicateValues" dxfId="13" priority="4"/>
  </conditionalFormatting>
  <conditionalFormatting sqref="E1:E1048576">
    <cfRule type="duplicateValues" dxfId="12" priority="1"/>
    <cfRule type="duplicateValues" dxfId="11" priority="2"/>
    <cfRule type="duplicateValues" dxfId="10" priority="40"/>
  </conditionalFormatting>
  <conditionalFormatting sqref="E2:E154">
    <cfRule type="duplicateValues" dxfId="9" priority="75"/>
  </conditionalFormatting>
  <conditionalFormatting sqref="R2:R154">
    <cfRule type="cellIs" dxfId="8" priority="5" operator="greaterThan">
      <formula>0.05</formula>
    </cfRule>
  </conditionalFormatting>
  <hyperlinks>
    <hyperlink ref="E147" r:id="rId1" tooltip="Booking-804" display="https://power-speed-215.lightning.force.com/lightning/r/04iJ6000000lO3mIAE/view" xr:uid="{5AD42B37-2E88-44AC-9C0C-50A1FAB41062}"/>
    <hyperlink ref="E146" r:id="rId2" tooltip="Booking-806" display="https://power-speed-215.lightning.force.com/lightning/r/04iJ6000000lO3hIAE/view" xr:uid="{C32605E8-7D63-41DE-AFBB-A77D48AFEBF2}"/>
    <hyperlink ref="E149" r:id="rId3" tooltip="Booking-786" display="https://power-speed-215.lightning.force.com/lightning/r/04iJ6000000lNgnIAE/view" xr:uid="{B6F55839-2DA4-4CB3-A366-220EF31A1EBE}"/>
    <hyperlink ref="E154" r:id="rId4" tooltip="Booking-208" display="https://power-speed-215.lightning.force.com/lightning/r/04iJ6000000lNgiIAE/view" xr:uid="{FAC1AA98-EB95-4923-B362-C4A1CDA27295}"/>
    <hyperlink ref="E153" r:id="rId5" tooltip="Booking-541" display="https://power-speed-215.lightning.force.com/lightning/r/04iJ6000000lNgTIAU/view" xr:uid="{9CD95EDB-F2AB-4535-97BD-F770794E9ACC}"/>
    <hyperlink ref="E148" r:id="rId6" tooltip="Booking-795" display="https://power-speed-215.lightning.force.com/lightning/r/04iJ6000000lNDgIAM/view" xr:uid="{D25AFF07-9633-4A94-9B8B-2684DA704B87}"/>
    <hyperlink ref="E151" r:id="rId7" tooltip="Booking-734" display="https://power-speed-215.lightning.force.com/lightning/r/04iJ6000000lNDMIA2/view" xr:uid="{66DF6052-038A-41B8-8214-E9D137D6B70B}"/>
    <hyperlink ref="E152" r:id="rId8" tooltip="Booking-722" display="https://power-speed-215.lightning.force.com/lightning/r/04iJ6000000lMpFIAU/view" xr:uid="{AE0019AF-7973-4779-9D7E-E27E9D0DFA87}"/>
    <hyperlink ref="E145" r:id="rId9" display="https://eur10.safelinks.protection.outlook.com/?url=https%3A%2F%2Fpower-speed-215.lightning.force.com%2Flightning%2Fr%2Fa03J6000009no2bIAA%2Fview&amp;data=05%7C02%7Cn.araujo%40oneuae.com%7C553286fb3d0142232dd508ddd57d3e45%7C7b2a6fa5393a405084c00ee4d5834fa9%7C0%7C0%7C638901456123033751%7CUnknown%7CTWFpbGZsb3d8eyJFbXB0eU1hcGkiOnRydWUsIlYiOiIwLjAuMDAwMCIsIlAiOiJXaW4zMiIsIkFOIjoiTWFpbCIsIldUIjoyfQ%3D%3D%7C0%7C%7C%7C&amp;sdata=h%2Fzy0ix4gOJLIKJvr00uSmPp69sn8T%2BkQ09fW6RmRNA%3D&amp;reserved=0" xr:uid="{1FB2687A-D79F-4837-B0E2-791C614C2B73}"/>
    <hyperlink ref="E150" r:id="rId10" tooltip="Booking-735" display="https://power-speed-215.lightning.force.com/lightning/r/04iJ6000000lNDWIA2/view" xr:uid="{2D8B131E-92E4-471E-A73D-534DF60A7B24}"/>
    <hyperlink ref="AD19" r:id="rId11" xr:uid="{89FE9E8C-FFD4-43EA-92F9-402A7B876AA8}"/>
    <hyperlink ref="AD20" r:id="rId12" xr:uid="{73361EE3-F9BC-4A6D-9E43-A54836300CC2}"/>
    <hyperlink ref="AD21" r:id="rId13" xr:uid="{AD3F7AF2-140B-4207-BC9F-F4B96333F9CD}"/>
    <hyperlink ref="AD22" r:id="rId14" xr:uid="{15E9FE3E-0E3E-4E17-9F8B-4779B30BEBCD}"/>
    <hyperlink ref="AD154" r:id="rId15" xr:uid="{7234B6E0-1261-4A45-9FE6-38CFFEA30982}"/>
    <hyperlink ref="AD153" r:id="rId16" xr:uid="{AD3FC4C9-EBF2-4B39-9168-F8ECBD3F600F}"/>
    <hyperlink ref="AD152" r:id="rId17" xr:uid="{75ED8ACD-B2CC-41C2-9740-94589AA63E99}"/>
    <hyperlink ref="AD151" r:id="rId18" xr:uid="{6EC6E22F-D1B9-4BD7-9264-B042B964102F}"/>
    <hyperlink ref="AD150" r:id="rId19" xr:uid="{76D5AA1C-C3A2-4B76-9675-39F09BE315A9}"/>
    <hyperlink ref="AD149" r:id="rId20" xr:uid="{48E7B35A-710C-487B-A7EC-633D90D4D88A}"/>
    <hyperlink ref="AD148" r:id="rId21" xr:uid="{CC514B1F-C1FB-4DDF-974B-78C60EB36A6E}"/>
    <hyperlink ref="AD147" r:id="rId22" xr:uid="{A75CC40E-890D-4571-8361-496B37DB26EF}"/>
    <hyperlink ref="AD146" r:id="rId23" xr:uid="{A6C79AD8-DD0C-4E33-ADA0-58D28F3179DF}"/>
    <hyperlink ref="AD145" r:id="rId24" xr:uid="{CAC05F22-F677-4516-AE63-A4DA9DFC2278}"/>
    <hyperlink ref="AD144" r:id="rId25" xr:uid="{8D4B0256-A881-4A3A-9ACA-0F0345BF1FBA}"/>
    <hyperlink ref="AD143" r:id="rId26" xr:uid="{96397653-DA61-48E6-9CB8-76B18F8F613F}"/>
    <hyperlink ref="AD142" r:id="rId27" xr:uid="{2AB2D764-5C9F-40E8-B7AB-1D4896B07F38}"/>
    <hyperlink ref="AD141" r:id="rId28" xr:uid="{8C8549C9-9E0D-4E46-BA44-1BE0A8C006A5}"/>
    <hyperlink ref="AD140" r:id="rId29" xr:uid="{B9BE5B94-129C-4298-BC2C-2FA49568C29A}"/>
    <hyperlink ref="AD137" r:id="rId30" xr:uid="{7B9F10BF-D331-4AD9-992C-105161A43162}"/>
    <hyperlink ref="AD135" r:id="rId31" xr:uid="{4EEF1287-BE59-4F23-A29D-018453E6567A}"/>
    <hyperlink ref="AD134" r:id="rId32" xr:uid="{B2AF063B-D0BA-4D2C-9B0C-B9DD7A2BBBC9}"/>
    <hyperlink ref="AD133" r:id="rId33" xr:uid="{97F1BB97-1BDA-4218-B241-5C51563900A9}"/>
    <hyperlink ref="AD132" r:id="rId34" xr:uid="{4EFDA98E-BB44-46A1-A706-E8F0E61329C4}"/>
    <hyperlink ref="AD131" r:id="rId35" xr:uid="{B291CD60-EC3D-4D5C-B7B7-027AAF8E06FB}"/>
    <hyperlink ref="AD129" r:id="rId36" xr:uid="{6816E971-A5D5-4B66-ADB3-C2FFB12AE068}"/>
    <hyperlink ref="AD128" r:id="rId37" xr:uid="{634707A0-1D4B-4F79-9927-EEC9408B1808}"/>
    <hyperlink ref="AD127" r:id="rId38" xr:uid="{65F165AB-1CC9-4842-813B-D402EB8ABE60}"/>
    <hyperlink ref="AD126" r:id="rId39" xr:uid="{ADD77CBC-01A4-4681-AF58-95AF15F7DD50}"/>
    <hyperlink ref="AD125" r:id="rId40" xr:uid="{F540587E-C354-412B-A4EE-69718B84A116}"/>
    <hyperlink ref="AD124" r:id="rId41" xr:uid="{E762E8C6-6F53-40D3-8F54-87FFBFACE33D}"/>
    <hyperlink ref="AD123" r:id="rId42" xr:uid="{ACE5A257-7C64-4310-B263-9FE946DE7DA6}"/>
    <hyperlink ref="AD122" r:id="rId43" xr:uid="{959B4262-F551-4DE2-99B7-71B32BD5E720}"/>
    <hyperlink ref="AD121" r:id="rId44" xr:uid="{42610CB0-9A3C-4059-A8E3-97C9D8CED267}"/>
    <hyperlink ref="AD120" r:id="rId45" xr:uid="{70801D2B-9DDD-4B15-83B3-E2CB5623C8D0}"/>
    <hyperlink ref="AD119" r:id="rId46" xr:uid="{BD7EC933-5C52-4187-ABD4-EDE08B940D02}"/>
    <hyperlink ref="AD118" r:id="rId47" xr:uid="{BCCC45AF-5608-40B3-965E-7CD67DF57D24}"/>
    <hyperlink ref="AD117" r:id="rId48" xr:uid="{5B2515F2-FA0F-4DE8-BE6F-6008FDAAE57E}"/>
    <hyperlink ref="AD116" r:id="rId49" xr:uid="{1306E2D1-9CCC-480D-BF54-2397C1064CB3}"/>
    <hyperlink ref="AD115" r:id="rId50" xr:uid="{E102A361-0B46-444C-9E8D-0161E5FD730C}"/>
    <hyperlink ref="AD114" r:id="rId51" xr:uid="{A9BD500B-E9ED-426D-A95D-9DC795D27F65}"/>
    <hyperlink ref="AD23" r:id="rId52" xr:uid="{C98D12FE-0A2D-4705-AE41-BBEE509AFD3E}"/>
    <hyperlink ref="AD24" r:id="rId53" xr:uid="{4305CC23-5262-4705-991A-CBCCC8AEA38D}"/>
    <hyperlink ref="AD25" r:id="rId54" xr:uid="{20A17B53-BC3F-4B5A-8F78-4CED1F4ADB45}"/>
    <hyperlink ref="AD26" r:id="rId55" xr:uid="{AC8B61A3-2DE2-483D-95BD-17A5FAB7A70D}"/>
    <hyperlink ref="AD27" r:id="rId56" xr:uid="{BE50AF03-54D5-4CF6-A71C-B9AF1A93FD4A}"/>
    <hyperlink ref="AD28" r:id="rId57" xr:uid="{3EED48C3-710C-4B20-B8C1-871078764EFE}"/>
    <hyperlink ref="AD29" r:id="rId58" xr:uid="{0AB33B4E-6C24-4C5A-843E-46C57A3A32C9}"/>
    <hyperlink ref="AD30" r:id="rId59" xr:uid="{720DB071-48FC-4967-8097-2AF1AE9C039F}"/>
    <hyperlink ref="AD31" r:id="rId60" xr:uid="{8009D7F3-168B-4027-A2D0-496E75217E4A}"/>
    <hyperlink ref="AD32" r:id="rId61" xr:uid="{D4030F83-5A35-4584-9735-18D2BC2DC98D}"/>
    <hyperlink ref="AD33" r:id="rId62" xr:uid="{8CAEAB4D-3AC9-4ED4-A2CF-CD212B28A7AB}"/>
    <hyperlink ref="AD34" r:id="rId63" xr:uid="{D523D8E7-1D3D-4AD6-BE79-25AECD1D0F25}"/>
    <hyperlink ref="AD35" r:id="rId64" xr:uid="{B54F7EFE-4CA4-406D-9227-ABB6E688030C}"/>
    <hyperlink ref="AD36" r:id="rId65" xr:uid="{EB2B305B-345A-4114-AD70-735D0AF1C2DF}"/>
    <hyperlink ref="AD37" r:id="rId66" xr:uid="{3764BAA0-D55C-4809-B073-6CE41B6022F4}"/>
    <hyperlink ref="AD38" r:id="rId67" xr:uid="{8B10A493-8C16-4EF9-BA38-7FF1651F2EFA}"/>
    <hyperlink ref="AD39" r:id="rId68" xr:uid="{46440612-FE9C-4580-A3C3-3878A7AE4357}"/>
    <hyperlink ref="AD40" r:id="rId69" xr:uid="{CC3CEDE4-1889-4410-8481-15B853CB2A9C}"/>
    <hyperlink ref="AD41" r:id="rId70" xr:uid="{39606A4A-6D34-4254-830B-910CC31E0C72}"/>
    <hyperlink ref="AD42" r:id="rId71" xr:uid="{3E787C46-5754-4956-B9D5-A0EE9DBE8401}"/>
    <hyperlink ref="AD43" r:id="rId72" xr:uid="{7319A0AF-D9BC-407F-B2A4-813AD3CF7FB3}"/>
    <hyperlink ref="AD44" r:id="rId73" xr:uid="{83B52F8B-111C-45FD-A4FF-BB84557374CB}"/>
    <hyperlink ref="AD45" r:id="rId74" xr:uid="{AC815383-0C2D-49E7-93C7-BC0285580AC5}"/>
    <hyperlink ref="AD46" r:id="rId75" xr:uid="{EB342976-32CF-442A-AEF1-AD17DE393B83}"/>
    <hyperlink ref="AD47" r:id="rId76" xr:uid="{B53DFB29-6264-401C-8B4A-B28EE3E0ED14}"/>
    <hyperlink ref="AD48" r:id="rId77" xr:uid="{60CB5531-F216-40AC-A2AB-504B63C7B09E}"/>
    <hyperlink ref="AD51" r:id="rId78" xr:uid="{73836B53-B15E-4BC2-A8EC-E5F1C259F4D2}"/>
    <hyperlink ref="AD52" r:id="rId79" xr:uid="{683873B6-139B-4F34-9D7E-8805EFC19456}"/>
    <hyperlink ref="AD53" r:id="rId80" xr:uid="{B3CBDDC9-73D2-4393-AC72-7A76EAA18F6F}"/>
    <hyperlink ref="AD54" r:id="rId81" xr:uid="{05AB22E7-D38A-4D3E-9752-8515D0ECC87A}"/>
    <hyperlink ref="AD55" r:id="rId82" xr:uid="{237320BE-8D97-44D7-A821-193B05638FFA}"/>
    <hyperlink ref="AD56" r:id="rId83" xr:uid="{E77CAD59-CF74-478D-800A-D91B948A47A5}"/>
    <hyperlink ref="AD57" r:id="rId84" xr:uid="{91BC1F73-5783-493E-8414-E148CF838E61}"/>
    <hyperlink ref="AD58" r:id="rId85" xr:uid="{F901DFAD-375D-435D-841F-6525F16B7FD6}"/>
    <hyperlink ref="AD59" r:id="rId86" xr:uid="{42205048-0E89-44AE-B07E-90B8E9F365C7}"/>
    <hyperlink ref="AD60" r:id="rId87" xr:uid="{96659F1B-2163-46F2-A709-B9CFEEAC9A61}"/>
    <hyperlink ref="AD61" r:id="rId88" xr:uid="{C97CB349-EA01-4BAB-AE05-D8E60875B99B}"/>
    <hyperlink ref="AD62" r:id="rId89" xr:uid="{D313A9D2-55C2-4E03-87C3-F75E6DC4CC3B}"/>
    <hyperlink ref="AD63" r:id="rId90" xr:uid="{8AACFA91-9858-424F-97FB-C4BA969416C5}"/>
    <hyperlink ref="AD64" r:id="rId91" xr:uid="{A3B188BA-3F00-433D-95E2-D2CF4EA31A08}"/>
    <hyperlink ref="AD65" r:id="rId92" xr:uid="{99C7DD2B-241A-4DEB-962B-E690F5B7208C}"/>
    <hyperlink ref="AD66" r:id="rId93" xr:uid="{204FAE0F-8AF6-47D8-9004-3813983F57F1}"/>
    <hyperlink ref="AD67" r:id="rId94" xr:uid="{3ECA1496-D278-4B2B-8D8F-91E74F80F115}"/>
    <hyperlink ref="AD113" r:id="rId95" xr:uid="{251868AE-7CA3-4A8E-8B34-E6B4E0516497}"/>
    <hyperlink ref="AD112" r:id="rId96" xr:uid="{5EBB66F7-9EDE-40FE-9760-327D205A5546}"/>
    <hyperlink ref="AD111" r:id="rId97" xr:uid="{EA091FDA-6001-4B0E-B6A7-8E3BEFE15271}"/>
    <hyperlink ref="AD110" r:id="rId98" xr:uid="{885E374F-3FEC-45F1-9DD5-2DD91B25B8E5}"/>
    <hyperlink ref="AD109" r:id="rId99" xr:uid="{FF68493D-8D9F-46A8-A293-7DB62ABADA40}"/>
    <hyperlink ref="AD108" r:id="rId100" xr:uid="{ABFB8D41-DF74-4CA9-9162-008EA9AE1254}"/>
    <hyperlink ref="AD107" r:id="rId101" xr:uid="{F61DCDCC-A0FE-4FB6-ACB5-72735AE7C168}"/>
    <hyperlink ref="AD106" r:id="rId102" xr:uid="{ACC6DFC3-8809-4E52-AF0D-58B96C791479}"/>
    <hyperlink ref="AD105" r:id="rId103" xr:uid="{DAB940C0-6D70-4EE8-B3C7-DCE8C10F6082}"/>
    <hyperlink ref="AD104" r:id="rId104" xr:uid="{2E890542-0D69-493E-B121-352DDCDC43B7}"/>
    <hyperlink ref="AD103" r:id="rId105" xr:uid="{1F56785E-8037-4DEA-BFDE-7E8105753449}"/>
    <hyperlink ref="AD102" r:id="rId106" xr:uid="{1E291266-1170-4884-97B1-57194AE413DF}"/>
    <hyperlink ref="AD101" r:id="rId107" xr:uid="{288782D2-92AF-4BA6-BE5E-456A72C4C784}"/>
    <hyperlink ref="AD100" r:id="rId108" xr:uid="{13823C9E-D859-43D7-B4AD-F2C2558CDF45}"/>
    <hyperlink ref="AD99" r:id="rId109" xr:uid="{D6C593EF-0956-4B01-A943-8993C2B1DF3A}"/>
    <hyperlink ref="AD98" r:id="rId110" xr:uid="{38A117C1-EBDC-4806-A2FE-703269E5D7E1}"/>
    <hyperlink ref="AD97" r:id="rId111" xr:uid="{A0930C84-B8A0-42DD-8666-5F3755461CBB}"/>
    <hyperlink ref="AD96" r:id="rId112" xr:uid="{2EF0475E-86A7-43E1-AD50-96835AD22768}"/>
    <hyperlink ref="AD95" r:id="rId113" xr:uid="{7345B0AB-4F1B-45B7-AE1E-14EEF2130F8D}"/>
    <hyperlink ref="AD94" r:id="rId114" xr:uid="{CF85FC86-0374-47D3-B7F3-18E3D087B85E}"/>
    <hyperlink ref="AD93" r:id="rId115" xr:uid="{C91192E1-7956-4756-9E7C-02D26EB8B75B}"/>
    <hyperlink ref="AD92" r:id="rId116" xr:uid="{DFFA3FFE-CCAE-49BC-93C0-7F8343E3C185}"/>
    <hyperlink ref="AD91" r:id="rId117" xr:uid="{A29C12D6-DF2F-4CC9-B6C5-279CD827EFB8}"/>
    <hyperlink ref="AD90" r:id="rId118" xr:uid="{338583E2-E230-4328-B6DA-E43D54FD3A75}"/>
    <hyperlink ref="AD89" r:id="rId119" xr:uid="{CCD71B13-0C5A-4D37-84FE-980244DBC317}"/>
    <hyperlink ref="AD88" r:id="rId120" xr:uid="{58A5B558-4B59-46C3-A245-46552046E41F}"/>
    <hyperlink ref="AD87" r:id="rId121" xr:uid="{5B1262CF-30EC-4572-80B0-E651CC0BDE53}"/>
    <hyperlink ref="AD86" r:id="rId122" xr:uid="{90B9B176-2E6F-422F-B435-0A9A7DDF180C}"/>
    <hyperlink ref="AD85" r:id="rId123" xr:uid="{1BD2DCFE-EA88-4088-B457-C26FF5C28B0D}"/>
    <hyperlink ref="AD84" r:id="rId124" xr:uid="{BC9FB265-AB3A-43BD-83B3-79D62E983495}"/>
    <hyperlink ref="AD83" r:id="rId125" xr:uid="{BDAE0906-57E0-4E1A-97C0-ACAE6482540A}"/>
    <hyperlink ref="AD82" r:id="rId126" xr:uid="{5FC8503A-94BA-4BD3-8052-7AE5051AE972}"/>
    <hyperlink ref="AD81" r:id="rId127" xr:uid="{3BCA7868-00EA-449B-BCA2-2E1A3F605B0B}"/>
    <hyperlink ref="AD80" r:id="rId128" xr:uid="{649DD187-7C1C-4640-AFCC-CA2D0E2E3A8E}"/>
    <hyperlink ref="AD79" r:id="rId129" xr:uid="{D42A80F2-8B80-4C80-86C9-0111FA4066BB}"/>
    <hyperlink ref="AD78" r:id="rId130" xr:uid="{8E757ED3-840A-422A-BCD8-AB075643C973}"/>
    <hyperlink ref="AD77" r:id="rId131" xr:uid="{01F97957-ED0F-4D24-B878-6AA7ECC2AD3A}"/>
    <hyperlink ref="AD76" r:id="rId132" xr:uid="{63730FFE-62AB-4320-BD10-7A2221AF73C3}"/>
    <hyperlink ref="AD75" r:id="rId133" xr:uid="{3F473BA7-E9E3-4729-8B3E-AB11D2DC2995}"/>
    <hyperlink ref="AD74" r:id="rId134" xr:uid="{E282BEAB-26A2-47E4-A180-3AD856A08815}"/>
    <hyperlink ref="AD73" r:id="rId135" xr:uid="{2777D459-2BD6-451F-9190-52A5953C96F9}"/>
    <hyperlink ref="AD72" r:id="rId136" xr:uid="{2830BEC0-6B8D-496E-9D0A-E9FEBAE7BE0A}"/>
    <hyperlink ref="AD71" r:id="rId137" xr:uid="{03F4CBC8-9212-4FB3-A371-24144C61FD07}"/>
    <hyperlink ref="AD70" r:id="rId138" xr:uid="{BE148C0E-95E3-4C55-9E04-147769023D4C}"/>
    <hyperlink ref="AD69" r:id="rId139" xr:uid="{5362CC92-ECB9-46CA-901E-12E884976B87}"/>
    <hyperlink ref="AD68" r:id="rId140" xr:uid="{DB2C55BF-841C-485C-85C3-0FDF0185B8C0}"/>
    <hyperlink ref="AD18" r:id="rId141" xr:uid="{B6604619-8B6F-4477-8D4D-445C919004EB}"/>
    <hyperlink ref="AD17" r:id="rId142" xr:uid="{524F36EA-A45D-44F6-9421-EFBE4382626D}"/>
    <hyperlink ref="AD16" r:id="rId143" xr:uid="{0EEF3E07-994F-4255-BBAF-BDC7EBAD8EBF}"/>
    <hyperlink ref="AD15" r:id="rId144" xr:uid="{1CCD1CA1-D283-4C94-AE32-0021D6B7C235}"/>
    <hyperlink ref="AD14" r:id="rId145" xr:uid="{129C040D-5C7F-4CEC-8414-414DFCAA1E92}"/>
    <hyperlink ref="AD49" r:id="rId146" xr:uid="{4A62FBBF-F99B-4382-A0E3-936E1F4FFB98}"/>
    <hyperlink ref="AD50" r:id="rId147" xr:uid="{19A439E4-3383-4552-BF80-700B497A8372}"/>
    <hyperlink ref="AD12" r:id="rId148" xr:uid="{8888032C-2801-4D79-9FC4-2D1C76C29591}"/>
    <hyperlink ref="AD11" r:id="rId149" xr:uid="{328AC559-98AF-4469-8FA4-5C61CFB22751}"/>
    <hyperlink ref="AD10" r:id="rId150" xr:uid="{F92E51C0-039A-4A12-A932-3C66F91F58DC}"/>
    <hyperlink ref="AD9" r:id="rId151" xr:uid="{AF21F756-C337-4879-BF13-646512F8170D}"/>
    <hyperlink ref="AD8" r:id="rId152" xr:uid="{6CEAF5CC-8F27-461D-98A5-C25BB06FF72C}"/>
    <hyperlink ref="AD7" r:id="rId153" xr:uid="{1AF334BE-4D2C-4C3A-A1A2-CBFE9E6A9F11}"/>
    <hyperlink ref="AD13" r:id="rId154" xr:uid="{C96A3A20-2D3A-47C3-9032-B1D8E8A35D80}"/>
    <hyperlink ref="AD6" r:id="rId155" xr:uid="{CDD0D52B-4EE3-4146-80A1-BC7B82A05DAB}"/>
    <hyperlink ref="AD5" r:id="rId156" xr:uid="{63B6E8AA-9C80-44B9-A043-3DB5D979FFA8}"/>
    <hyperlink ref="AD4" r:id="rId157" xr:uid="{625CB5E9-1985-49B9-8B73-FAE87AA1E9FD}"/>
    <hyperlink ref="AD3" r:id="rId158" xr:uid="{6A5748D4-307E-4886-8164-6288B30F7122}"/>
    <hyperlink ref="AD2" r:id="rId159" xr:uid="{9B1603FD-B7F7-40A3-8EC9-8D1F36E8A730}"/>
  </hyperlinks>
  <pageMargins left="0.7" right="0.7" top="0.75" bottom="0.75" header="0.3" footer="0.3"/>
  <pageSetup orientation="portrait" r:id="rId160"/>
  <drawing r:id="rId161"/>
  <legacyDrawing r:id="rId16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C52C4A-B54D-4472-85CD-608E7E87D056}">
  <dimension ref="B2:F70"/>
  <sheetViews>
    <sheetView showGridLines="0" zoomScale="85" zoomScaleNormal="85" workbookViewId="0">
      <selection activeCell="C16" sqref="C16"/>
    </sheetView>
  </sheetViews>
  <sheetFormatPr defaultColWidth="9" defaultRowHeight="16.5" x14ac:dyDescent="0.3"/>
  <cols>
    <col min="1" max="1" width="3" style="1" customWidth="1"/>
    <col min="2" max="2" width="18.5" style="1" bestFit="1" customWidth="1"/>
    <col min="3" max="3" width="6.375" style="1" bestFit="1" customWidth="1"/>
    <col min="4" max="4" width="5.125" style="1" customWidth="1"/>
    <col min="5" max="5" width="117.875" style="1" bestFit="1" customWidth="1"/>
    <col min="6" max="6" width="6.375" style="1" bestFit="1" customWidth="1"/>
    <col min="7" max="16384" width="9" style="1"/>
  </cols>
  <sheetData>
    <row r="2" spans="2:6" x14ac:dyDescent="0.3">
      <c r="E2" s="119" t="s">
        <v>118</v>
      </c>
      <c r="F2" s="119"/>
    </row>
    <row r="3" spans="2:6" x14ac:dyDescent="0.3">
      <c r="E3" s="31" t="s">
        <v>86</v>
      </c>
      <c r="F3" s="31" t="s">
        <v>116</v>
      </c>
    </row>
    <row r="4" spans="2:6" x14ac:dyDescent="0.3">
      <c r="E4" s="32" t="s">
        <v>93</v>
      </c>
      <c r="F4" s="33">
        <v>51</v>
      </c>
    </row>
    <row r="5" spans="2:6" x14ac:dyDescent="0.3">
      <c r="E5" s="107" t="s">
        <v>96</v>
      </c>
      <c r="F5" s="108">
        <v>35</v>
      </c>
    </row>
    <row r="6" spans="2:6" x14ac:dyDescent="0.3">
      <c r="E6" s="107" t="s">
        <v>139</v>
      </c>
      <c r="F6" s="108">
        <v>11</v>
      </c>
    </row>
    <row r="7" spans="2:6" x14ac:dyDescent="0.3">
      <c r="E7" s="107" t="s">
        <v>241</v>
      </c>
      <c r="F7" s="33">
        <v>4</v>
      </c>
    </row>
    <row r="8" spans="2:6" x14ac:dyDescent="0.3">
      <c r="E8" s="107" t="s">
        <v>109</v>
      </c>
      <c r="F8" s="108">
        <v>1</v>
      </c>
    </row>
    <row r="9" spans="2:6" x14ac:dyDescent="0.3">
      <c r="E9" s="32" t="s">
        <v>32</v>
      </c>
      <c r="F9" s="33">
        <v>23</v>
      </c>
    </row>
    <row r="10" spans="2:6" x14ac:dyDescent="0.3">
      <c r="E10" s="107" t="s">
        <v>97</v>
      </c>
      <c r="F10" s="108">
        <v>12</v>
      </c>
    </row>
    <row r="11" spans="2:6" x14ac:dyDescent="0.3">
      <c r="E11" s="107" t="s">
        <v>114</v>
      </c>
      <c r="F11" s="108">
        <v>5</v>
      </c>
    </row>
    <row r="12" spans="2:6" x14ac:dyDescent="0.3">
      <c r="E12" s="107" t="s">
        <v>110</v>
      </c>
      <c r="F12" s="108">
        <v>2</v>
      </c>
    </row>
    <row r="13" spans="2:6" x14ac:dyDescent="0.3">
      <c r="E13" s="107" t="s">
        <v>194</v>
      </c>
      <c r="F13" s="33">
        <v>1</v>
      </c>
    </row>
    <row r="14" spans="2:6" x14ac:dyDescent="0.3">
      <c r="B14" s="119" t="s">
        <v>117</v>
      </c>
      <c r="C14" s="119"/>
      <c r="E14" s="107" t="s">
        <v>104</v>
      </c>
      <c r="F14" s="108">
        <v>1</v>
      </c>
    </row>
    <row r="15" spans="2:6" x14ac:dyDescent="0.3">
      <c r="B15" s="31" t="s">
        <v>10</v>
      </c>
      <c r="C15" s="31" t="s">
        <v>116</v>
      </c>
      <c r="E15" s="107" t="s">
        <v>112</v>
      </c>
      <c r="F15" s="108">
        <v>1</v>
      </c>
    </row>
    <row r="16" spans="2:6" x14ac:dyDescent="0.3">
      <c r="B16" s="33" t="s">
        <v>92</v>
      </c>
      <c r="C16" s="33">
        <v>134</v>
      </c>
      <c r="E16" s="107" t="s">
        <v>113</v>
      </c>
      <c r="F16" s="108">
        <v>1</v>
      </c>
    </row>
    <row r="17" spans="2:6" x14ac:dyDescent="0.3">
      <c r="B17" s="33" t="s">
        <v>260</v>
      </c>
      <c r="C17" s="33">
        <v>1</v>
      </c>
      <c r="E17" s="32" t="s">
        <v>246</v>
      </c>
      <c r="F17" s="33">
        <v>16</v>
      </c>
    </row>
    <row r="18" spans="2:6" x14ac:dyDescent="0.3">
      <c r="B18" s="42" t="s">
        <v>115</v>
      </c>
      <c r="C18" s="42">
        <v>135</v>
      </c>
      <c r="E18" s="107" t="s">
        <v>246</v>
      </c>
      <c r="F18" s="33">
        <v>16</v>
      </c>
    </row>
    <row r="19" spans="2:6" x14ac:dyDescent="0.3">
      <c r="B19"/>
      <c r="C19"/>
      <c r="E19" s="32" t="s">
        <v>88</v>
      </c>
      <c r="F19" s="33">
        <v>15</v>
      </c>
    </row>
    <row r="20" spans="2:6" x14ac:dyDescent="0.3">
      <c r="E20" s="107" t="s">
        <v>105</v>
      </c>
      <c r="F20" s="108">
        <v>1</v>
      </c>
    </row>
    <row r="21" spans="2:6" x14ac:dyDescent="0.3">
      <c r="E21" s="107" t="s">
        <v>195</v>
      </c>
      <c r="F21" s="33">
        <v>1</v>
      </c>
    </row>
    <row r="22" spans="2:6" x14ac:dyDescent="0.3">
      <c r="E22" s="107" t="s">
        <v>170</v>
      </c>
      <c r="F22" s="33">
        <v>1</v>
      </c>
    </row>
    <row r="23" spans="2:6" x14ac:dyDescent="0.3">
      <c r="E23" s="107" t="s">
        <v>106</v>
      </c>
      <c r="F23" s="108">
        <v>1</v>
      </c>
    </row>
    <row r="24" spans="2:6" x14ac:dyDescent="0.3">
      <c r="E24" s="107" t="s">
        <v>250</v>
      </c>
      <c r="F24" s="33">
        <v>1</v>
      </c>
    </row>
    <row r="25" spans="2:6" x14ac:dyDescent="0.3">
      <c r="E25" s="107" t="s">
        <v>111</v>
      </c>
      <c r="F25" s="108">
        <v>1</v>
      </c>
    </row>
    <row r="26" spans="2:6" x14ac:dyDescent="0.3">
      <c r="E26" s="107" t="s">
        <v>163</v>
      </c>
      <c r="F26" s="33">
        <v>1</v>
      </c>
    </row>
    <row r="27" spans="2:6" x14ac:dyDescent="0.3">
      <c r="E27" s="107" t="s">
        <v>99</v>
      </c>
      <c r="F27" s="108">
        <v>1</v>
      </c>
    </row>
    <row r="28" spans="2:6" x14ac:dyDescent="0.3">
      <c r="E28" s="107" t="s">
        <v>198</v>
      </c>
      <c r="F28" s="33">
        <v>1</v>
      </c>
    </row>
    <row r="29" spans="2:6" x14ac:dyDescent="0.3">
      <c r="E29" s="107" t="s">
        <v>102</v>
      </c>
      <c r="F29" s="108">
        <v>1</v>
      </c>
    </row>
    <row r="30" spans="2:6" x14ac:dyDescent="0.3">
      <c r="E30" s="107" t="s">
        <v>267</v>
      </c>
      <c r="F30" s="33">
        <v>1</v>
      </c>
    </row>
    <row r="31" spans="2:6" x14ac:dyDescent="0.3">
      <c r="E31" s="107" t="s">
        <v>137</v>
      </c>
      <c r="F31" s="108">
        <v>1</v>
      </c>
    </row>
    <row r="32" spans="2:6" x14ac:dyDescent="0.3">
      <c r="E32" s="107" t="s">
        <v>284</v>
      </c>
      <c r="F32" s="33">
        <v>1</v>
      </c>
    </row>
    <row r="33" spans="5:6" x14ac:dyDescent="0.3">
      <c r="E33" s="107" t="s">
        <v>138</v>
      </c>
      <c r="F33" s="108">
        <v>1</v>
      </c>
    </row>
    <row r="34" spans="5:6" x14ac:dyDescent="0.3">
      <c r="E34" s="107" t="s">
        <v>157</v>
      </c>
      <c r="F34" s="33">
        <v>1</v>
      </c>
    </row>
    <row r="35" spans="5:6" x14ac:dyDescent="0.3">
      <c r="E35" s="32" t="s">
        <v>87</v>
      </c>
      <c r="F35" s="33">
        <v>8</v>
      </c>
    </row>
    <row r="36" spans="5:6" x14ac:dyDescent="0.3">
      <c r="E36" s="107" t="s">
        <v>213</v>
      </c>
      <c r="F36" s="33">
        <v>1</v>
      </c>
    </row>
    <row r="37" spans="5:6" x14ac:dyDescent="0.3">
      <c r="E37" s="107" t="s">
        <v>100</v>
      </c>
      <c r="F37" s="108">
        <v>1</v>
      </c>
    </row>
    <row r="38" spans="5:6" x14ac:dyDescent="0.3">
      <c r="E38" s="107" t="s">
        <v>107</v>
      </c>
      <c r="F38" s="108">
        <v>1</v>
      </c>
    </row>
    <row r="39" spans="5:6" x14ac:dyDescent="0.3">
      <c r="E39" s="107" t="s">
        <v>95</v>
      </c>
      <c r="F39" s="108">
        <v>1</v>
      </c>
    </row>
    <row r="40" spans="5:6" x14ac:dyDescent="0.3">
      <c r="E40" s="107" t="s">
        <v>145</v>
      </c>
      <c r="F40" s="33">
        <v>1</v>
      </c>
    </row>
    <row r="41" spans="5:6" x14ac:dyDescent="0.3">
      <c r="E41" s="107" t="s">
        <v>98</v>
      </c>
      <c r="F41" s="108">
        <v>1</v>
      </c>
    </row>
    <row r="42" spans="5:6" x14ac:dyDescent="0.3">
      <c r="E42" s="107" t="s">
        <v>108</v>
      </c>
      <c r="F42" s="108">
        <v>1</v>
      </c>
    </row>
    <row r="43" spans="5:6" x14ac:dyDescent="0.3">
      <c r="E43" s="107" t="s">
        <v>103</v>
      </c>
      <c r="F43" s="108">
        <v>1</v>
      </c>
    </row>
    <row r="44" spans="5:6" x14ac:dyDescent="0.3">
      <c r="E44" s="32" t="s">
        <v>221</v>
      </c>
      <c r="F44" s="33">
        <v>4</v>
      </c>
    </row>
    <row r="45" spans="5:6" x14ac:dyDescent="0.3">
      <c r="E45" s="107" t="s">
        <v>221</v>
      </c>
      <c r="F45" s="33">
        <v>4</v>
      </c>
    </row>
    <row r="46" spans="5:6" x14ac:dyDescent="0.3">
      <c r="E46" s="32" t="s">
        <v>94</v>
      </c>
      <c r="F46" s="33">
        <v>3</v>
      </c>
    </row>
    <row r="47" spans="5:6" x14ac:dyDescent="0.3">
      <c r="E47" s="107" t="s">
        <v>79</v>
      </c>
      <c r="F47" s="108">
        <v>2</v>
      </c>
    </row>
    <row r="48" spans="5:6" x14ac:dyDescent="0.3">
      <c r="E48" s="107" t="s">
        <v>101</v>
      </c>
      <c r="F48" s="108">
        <v>1</v>
      </c>
    </row>
    <row r="49" spans="5:6" x14ac:dyDescent="0.3">
      <c r="E49" s="32" t="s">
        <v>193</v>
      </c>
      <c r="F49" s="33">
        <v>2</v>
      </c>
    </row>
    <row r="50" spans="5:6" x14ac:dyDescent="0.3">
      <c r="E50" s="107" t="s">
        <v>192</v>
      </c>
      <c r="F50" s="33">
        <v>2</v>
      </c>
    </row>
    <row r="51" spans="5:6" x14ac:dyDescent="0.3">
      <c r="E51" s="32" t="s">
        <v>276</v>
      </c>
      <c r="F51" s="33">
        <v>2</v>
      </c>
    </row>
    <row r="52" spans="5:6" x14ac:dyDescent="0.3">
      <c r="E52" s="107" t="s">
        <v>282</v>
      </c>
      <c r="F52" s="33">
        <v>1</v>
      </c>
    </row>
    <row r="53" spans="5:6" x14ac:dyDescent="0.3">
      <c r="E53" s="107" t="s">
        <v>277</v>
      </c>
      <c r="F53" s="33">
        <v>1</v>
      </c>
    </row>
    <row r="54" spans="5:6" x14ac:dyDescent="0.3">
      <c r="E54" s="32" t="s">
        <v>289</v>
      </c>
      <c r="F54" s="33">
        <v>2</v>
      </c>
    </row>
    <row r="55" spans="5:6" x14ac:dyDescent="0.3">
      <c r="E55" s="107" t="s">
        <v>277</v>
      </c>
      <c r="F55" s="33">
        <v>2</v>
      </c>
    </row>
    <row r="56" spans="5:6" x14ac:dyDescent="0.3">
      <c r="E56" s="32" t="s">
        <v>131</v>
      </c>
      <c r="F56" s="33">
        <v>2</v>
      </c>
    </row>
    <row r="57" spans="5:6" x14ac:dyDescent="0.3">
      <c r="E57" s="107" t="s">
        <v>132</v>
      </c>
      <c r="F57" s="108">
        <v>2</v>
      </c>
    </row>
    <row r="58" spans="5:6" x14ac:dyDescent="0.3">
      <c r="E58" s="32" t="s">
        <v>146</v>
      </c>
      <c r="F58" s="33">
        <v>2</v>
      </c>
    </row>
    <row r="59" spans="5:6" x14ac:dyDescent="0.3">
      <c r="E59" s="107" t="s">
        <v>147</v>
      </c>
      <c r="F59" s="33">
        <v>2</v>
      </c>
    </row>
    <row r="60" spans="5:6" x14ac:dyDescent="0.3">
      <c r="E60" s="32" t="s">
        <v>290</v>
      </c>
      <c r="F60" s="33">
        <v>1</v>
      </c>
    </row>
    <row r="61" spans="5:6" x14ac:dyDescent="0.3">
      <c r="E61" s="107" t="s">
        <v>290</v>
      </c>
      <c r="F61" s="33">
        <v>1</v>
      </c>
    </row>
    <row r="62" spans="5:6" x14ac:dyDescent="0.3">
      <c r="E62" s="32" t="s">
        <v>176</v>
      </c>
      <c r="F62" s="33">
        <v>1</v>
      </c>
    </row>
    <row r="63" spans="5:6" x14ac:dyDescent="0.3">
      <c r="E63" s="107" t="s">
        <v>176</v>
      </c>
      <c r="F63" s="33">
        <v>1</v>
      </c>
    </row>
    <row r="64" spans="5:6" x14ac:dyDescent="0.3">
      <c r="E64" s="32" t="s">
        <v>141</v>
      </c>
      <c r="F64" s="33">
        <v>1</v>
      </c>
    </row>
    <row r="65" spans="5:6" x14ac:dyDescent="0.3">
      <c r="E65" s="107" t="s">
        <v>152</v>
      </c>
      <c r="F65" s="33">
        <v>1</v>
      </c>
    </row>
    <row r="66" spans="5:6" x14ac:dyDescent="0.3">
      <c r="E66" s="32" t="s">
        <v>253</v>
      </c>
      <c r="F66" s="33">
        <v>1</v>
      </c>
    </row>
    <row r="67" spans="5:6" x14ac:dyDescent="0.3">
      <c r="E67" s="107" t="s">
        <v>253</v>
      </c>
      <c r="F67" s="33">
        <v>1</v>
      </c>
    </row>
    <row r="68" spans="5:6" x14ac:dyDescent="0.3">
      <c r="E68" s="32" t="s">
        <v>178</v>
      </c>
      <c r="F68" s="33">
        <v>1</v>
      </c>
    </row>
    <row r="69" spans="5:6" x14ac:dyDescent="0.3">
      <c r="E69" s="107" t="s">
        <v>179</v>
      </c>
      <c r="F69" s="33">
        <v>1</v>
      </c>
    </row>
    <row r="70" spans="5:6" x14ac:dyDescent="0.3">
      <c r="E70" s="31" t="s">
        <v>115</v>
      </c>
      <c r="F70" s="31">
        <v>135</v>
      </c>
    </row>
  </sheetData>
  <mergeCells count="2">
    <mergeCell ref="E2:F2"/>
    <mergeCell ref="B14:C1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45A699CB07A064196BBEBF5EFDF8D2B" ma:contentTypeVersion="12" ma:contentTypeDescription="Create a new document." ma:contentTypeScope="" ma:versionID="fa8c2141ed10354e8e6f10fb0ee33d29">
  <xsd:schema xmlns:xsd="http://www.w3.org/2001/XMLSchema" xmlns:xs="http://www.w3.org/2001/XMLSchema" xmlns:p="http://schemas.microsoft.com/office/2006/metadata/properties" xmlns:ns2="c7f59a0b-1b42-46b6-8657-dd6335d9912e" xmlns:ns3="9664fe52-1f57-4564-8c31-42882f7d6b14" targetNamespace="http://schemas.microsoft.com/office/2006/metadata/properties" ma:root="true" ma:fieldsID="3786aa672823bf3698a4eda5e7fa9ce7" ns2:_="" ns3:_="">
    <xsd:import namespace="c7f59a0b-1b42-46b6-8657-dd6335d9912e"/>
    <xsd:import namespace="9664fe52-1f57-4564-8c31-42882f7d6b14"/>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7f59a0b-1b42-46b6-8657-dd6335d9912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6a5c31-0e00-4f4c-8e7b-7a1927c7b147"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664fe52-1f57-4564-8c31-42882f7d6b14"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50b7ea71-8f9d-4571-883a-a59026d93b34}" ma:internalName="TaxCatchAll" ma:showField="CatchAllData" ma:web="9664fe52-1f57-4564-8c31-42882f7d6b1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7f59a0b-1b42-46b6-8657-dd6335d9912e">
      <Terms xmlns="http://schemas.microsoft.com/office/infopath/2007/PartnerControls"/>
    </lcf76f155ced4ddcb4097134ff3c332f>
    <TaxCatchAll xmlns="9664fe52-1f57-4564-8c31-42882f7d6b14" xsi:nil="true"/>
  </documentManagement>
</p:properties>
</file>

<file path=customXml/itemProps1.xml><?xml version="1.0" encoding="utf-8"?>
<ds:datastoreItem xmlns:ds="http://schemas.openxmlformats.org/officeDocument/2006/customXml" ds:itemID="{87BCE70C-AECF-4407-BA9A-F693A6D52121}">
  <ds:schemaRefs>
    <ds:schemaRef ds:uri="http://schemas.microsoft.com/sharepoint/v3/contenttype/forms"/>
  </ds:schemaRefs>
</ds:datastoreItem>
</file>

<file path=customXml/itemProps2.xml><?xml version="1.0" encoding="utf-8"?>
<ds:datastoreItem xmlns:ds="http://schemas.openxmlformats.org/officeDocument/2006/customXml" ds:itemID="{48B54404-DE12-4895-B77E-7320CA6AF17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7f59a0b-1b42-46b6-8657-dd6335d9912e"/>
    <ds:schemaRef ds:uri="9664fe52-1f57-4564-8c31-42882f7d6b1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A3DEEE9-5E21-493C-9A97-BFFB2316A78D}">
  <ds:schemaRefs>
    <ds:schemaRef ds:uri="http://schemas.microsoft.com/office/2006/metadata/properties"/>
    <ds:schemaRef ds:uri="http://schemas.microsoft.com/office/infopath/2007/PartnerControls"/>
    <ds:schemaRef ds:uri="c7f59a0b-1b42-46b6-8657-dd6335d9912e"/>
    <ds:schemaRef ds:uri="9664fe52-1f57-4564-8c31-42882f7d6b1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Rejected Bookings</vt:lpstr>
      <vt:lpstr>Summary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Norton Araujo</dc:creator>
  <cp:lastModifiedBy>Norton Araujo</cp:lastModifiedBy>
  <dcterms:created xsi:type="dcterms:W3CDTF">2025-08-07T07:09:21Z</dcterms:created>
  <dcterms:modified xsi:type="dcterms:W3CDTF">2026-02-06T11:27:00Z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0x010100745A699CB07A064196BBEBF5EFDF8D2B</vt:lpwstr>
  </property>
  <property fmtid="{D5CDD505-2E9C-101B-9397-08002B2CF9AE}" pid="3" name="MediaServiceImageTags">
    <vt:lpwstr/>
  </property>
</Properties>
</file>