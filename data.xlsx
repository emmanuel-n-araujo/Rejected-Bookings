
<file path=[Content_Types].xml><?xml version="1.0" encoding="utf-8"?>
<Types xmlns="http://schemas.openxmlformats.org/package/2006/content-types">
  <Default Extension="bin" ContentType="application/vnd.ms-excel.sheet.binary.macroEnabled.main"/>
  <Default Extension="bmp" ContentType="image/bmp"/>
  <Default Extension="data" ContentType="application/vnd.openxmlformats-officedocument.model+data"/>
  <Default Extension="emf" ContentType="image/x-emf"/>
  <Default Extension="gif" ContentType="image/gif"/>
  <Default Extension="jpeg" ContentType="image/jpeg"/>
  <Default Extension="jpg" ContentType="image/jpeg"/>
  <Default Extension="pdf" ContentType="application/pdf"/>
  <Default Extension="png" ContentType="image/png"/>
  <Default Extension="rels" ContentType="application/vnd.openxmlformats-package.relationships+xml"/>
  <Default Extension="tif" ContentType="image/tiff"/>
  <Default Extension="tiff" ContentType="image/tiff"/>
  <Default Extension="vml" ContentType="application/vnd.openxmlformats-officedocument.vmlDrawing"/>
  <Default Extension="wmf" ContentType="image/x-wmf"/>
  <Default Extension="xml" ContentType="applicatio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metadata.xml" ContentType="application/vnd.openxmlformats-officedocument.spreadsheetml.sheetMetadata+xml"/>
  <Override PartName="/xl/workbook.xml" ContentType="application/vnd.openxmlformats-officedocument.spreadsheetml.sheet.main+xml"/>
  <Override PartName="/xl/comments1.xml" ContentType="application/vnd.openxmlformats-officedocument.spreadsheetml.comment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Rejected Bookings" sheetId="1" r:id="rId1"/>
    <sheet name="Summary" sheetId="2" r:id="rId2"/>
  </sheets>
  <definedNames>
    <definedName name="_xlnm._FilterDatabase" localSheetId="0" hidden="1">'Rejected Bookings'!$B$1:$AF$154</definedName>
  </definedNames>
</workbook>
</file>

<file path=xl/comments1.xml><?xml version="1.0" encoding="utf-8"?>
<comments xmlns="http://schemas.openxmlformats.org/spreadsheetml/2006/main">
  <authors>
    <author>Norton Araujo</author>
  </authors>
  <commentList>
    <comment ref="E52" authorId="0">
      <text>
        <t xml:space="preserve">Norton Araujo:
Customer Name changed by IT on 15-Oct-25.
From Jaber to Osha</t>
      </text>
    </comment>
    <comment ref="E59" authorId="0">
      <text>
        <t xml:space="preserve">Norton Araujo:
Customer Name changed by IT on 15-Oct-25.
From Jaber to Saleha</t>
      </text>
    </comment>
    <comment ref="L123" authorId="0">
      <text>
        <t xml:space="preserve">Norton Araujo:
Payment &amp; Refund Requested on the same day</t>
      </text>
    </comment>
    <comment ref="Z123" authorId="0">
      <text>
        <t xml:space="preserve">Norton Araujo:
Customer paid 6,900 USD Cash</t>
      </text>
    </comment>
    <comment ref="Z125" authorId="0">
      <text>
        <t xml:space="preserve">Norton Araujo:
DLD &amp; Admin Fees Paid</t>
      </text>
    </comment>
    <comment ref="Z128" authorId="0">
      <text>
        <t xml:space="preserve">Norton Araujo:
No Receipt issued on the system</t>
      </text>
    </comment>
    <comment ref="Z133" authorId="0">
      <text>
        <t xml:space="preserve">Norton Araujo:
Payment-6820
Receipt-2128 -   AED 40,000
Receipt-3383 -   AED 20,000
Payment-6726
Receipt-2106 -  AED 40,000 - Rejected by Finance
Receipt-4435 -  AED 40,000</t>
      </text>
    </comment>
    <comment ref="Z135" authorId="0">
      <text>
        <t xml:space="preserve">Norton Araujo:
No Trace of payment on the system</t>
      </text>
    </comment>
    <comment ref="AC135" authorId="0">
      <text>
        <t xml:space="preserve">Norton Araujo:
Please recheck as Booking-978 is for a different customer. 
Booking-975 (Unit B3112)  is under the same customer name </t>
      </text>
    </comment>
    <comment ref="Z137" authorId="0">
      <text>
        <t xml:space="preserve">Norton Araujo:
Payment-10801
Receipt-5445 - AED 50,000</t>
      </text>
    </comment>
    <comment ref="Z140" authorId="0">
      <text>
        <t xml:space="preserve">Norton Araujo:
Payment-10571
Receipt-5654 - AED 25,000</t>
      </text>
    </comment>
    <comment ref="Z141" authorId="0">
      <text>
        <t xml:space="preserve">Norton Araujo:
Below payments rejected by Finance
Payment-10379 - Down Payment
Receipt-4912 - AED 5,000</t>
      </text>
    </comment>
    <comment ref="L142" authorId="0">
      <text>
        <t xml:space="preserve">Norton Araujo:
Refer to Sticky notes</t>
      </text>
    </comment>
    <comment ref="Z142" authorId="0">
      <text>
        <t xml:space="preserve">Norton Araujo:
Below payments rejected by Finance
Payment-7822 - DLD
Receipt-5485 - AED 17,400
Receipt-4644 - AED 11,000
Payment-7823 - Down payment
Receipt-2331 - AED 15,000
Receipt-3188 - AED 10,000
Receipt-4257 - AED 10,000
Receipt-4397 - AED 50,000
Receipt-4398 - AED 15,000
Receipt-4403 - AED 15,000
Receipt-4513 - AED 27,000
Payment-7824 - Admin
Receipt-5486 - AED 3,675
Payment-7825 - 1st Installment
Receipt-5487 - AED 8,925</t>
      </text>
    </comment>
    <comment ref="Z143" authorId="0">
      <text>
        <t xml:space="preserve">Norton Araujo:
Below payments rejected by Finance
Payment-9375 - Down Payment
Receipt-4478 - AED 100,000</t>
      </text>
    </comment>
    <comment ref="AB143" authorId="0">
      <text>
        <t xml:space="preserve">Norton Araujo:
Note against receipt "Receipt-4478" - Rejected with No Refund as per CCO.</t>
      </text>
    </comment>
    <comment ref="Z144" authorId="0">
      <text>
        <t xml:space="preserve">Norton Araujo:
No trace of payment on the system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8" formatCode="&quot;AED&quot;#,##0.00;[Red]\-&quot;AED&quot;#,##0.00"/>
    <numFmt numFmtId="56" formatCode="&quot;上午/下午 &quot;hh&quot;時&quot;mm&quot;分&quot;ss&quot;秒 &quot;"/>
    <numFmt numFmtId="164" formatCode="0.0%"/>
    <numFmt numFmtId="165" formatCode="[$AED]\ #,##0.00;[Red]\-[$AED]\ #,##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eetMetadata" Target="metadata.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nedevelopmentuae-my.sharepoint.com/personal/n_araujo_oneuae_com/Documents/Desktop/Norton-Local/Requests/Rejected%20Bookings/Booking-1475-%20Booking%20Rejection%20Request.msg" TargetMode="External"/><Relationship Id="rId2" Type="http://schemas.openxmlformats.org/officeDocument/2006/relationships/hyperlink" Target="https://onedevelopmentuae-my.sharepoint.com/personal/n_araujo_oneuae_com/Documents/Desktop/Norton-Local/Requests/Rejected%20Bookings/Booking-1436%20-%20Booking%20Rejection%20Request.msg" TargetMode="External"/><Relationship Id="rId3" Type="http://schemas.openxmlformats.org/officeDocument/2006/relationships/hyperlink" Target="https://onedevelopmentuae-my.sharepoint.com/personal/n_araujo_oneuae_com/Documents/Desktop/Norton-Local/Requests/Rejected%20Bookings/Booking-1328%20-%20Booking%20Rejection%20Request.msg" TargetMode="External"/><Relationship Id="rId4" Type="http://schemas.openxmlformats.org/officeDocument/2006/relationships/hyperlink" Target="https://onedevelopmentuae-my.sharepoint.com/personal/n_araujo_oneuae_com/Documents/Desktop/Norton-Local/Requests/Rejected%20Bookings/Booking-1222%20-%20Booking%20Rejection%20Request.msg" TargetMode="External"/><Relationship Id="rId5" Type="http://schemas.openxmlformats.org/officeDocument/2006/relationships/hyperlink" Target="https://onedevelopmentuae-my.sharepoint.com/personal/n_araujo_oneuae_com/Documents/Desktop/Norton-Local/Requests/Rejected%20Bookings/Booking-1510%20-%20Booking%20Rejection%20Request.msg" TargetMode="External"/><Relationship Id="rId6" Type="http://schemas.openxmlformats.org/officeDocument/2006/relationships/hyperlink" Target="https://onedevelopmentuae-my.sharepoint.com/personal/n_araujo_oneuae_com/Documents/Desktop/Norton-Local/Requests/Rejected%20Bookings/Booking-1450%20-%20Booking%20Rejection%20Request.pdf" TargetMode="External"/><Relationship Id="rId7" Type="http://schemas.openxmlformats.org/officeDocument/2006/relationships/hyperlink" Target="https://onedevelopmentuae-my.sharepoint.com/personal/n_araujo_oneuae_com/Documents/Desktop/Norton-Local/Requests/Rejected%20Bookings/Booking-1449%20-%20Booking%20Rejection%20Request.pdf" TargetMode="External"/><Relationship Id="rId8" Type="http://schemas.openxmlformats.org/officeDocument/2006/relationships/hyperlink" Target="https://onedevelopmentuae-my.sharepoint.com/personal/n_araujo_oneuae_com/Documents/Desktop/Norton-Local/Requests/Rejected%20Bookings/Booking-1448%20-%20Booking%20Rejection%20Request.pdf" TargetMode="External"/><Relationship Id="rId9" Type="http://schemas.openxmlformats.org/officeDocument/2006/relationships/hyperlink" Target="https://onedevelopmentuae-my.sharepoint.com/personal/n_araujo_oneuae_com/Documents/Desktop/Norton-Local/Requests/Rejected%20Bookings/Booking-1447%20-%20Booking%20Rejection%20Request.pdf" TargetMode="External"/><Relationship Id="rId10" Type="http://schemas.openxmlformats.org/officeDocument/2006/relationships/hyperlink" Target="https://onedevelopmentuae-my.sharepoint.com/personal/n_araujo_oneuae_com/Documents/Desktop/Norton-Local/Requests/Rejected%20Bookings/Booking-1441%20-%20Booking%20Rejection%20Request.msg" TargetMode="External"/><Relationship Id="rId11" Type="http://schemas.openxmlformats.org/officeDocument/2006/relationships/hyperlink" Target="https://onedevelopmentuae-my.sharepoint.com/personal/n_araujo_oneuae_com/Documents/Desktop/Norton-Local/Requests/Rejected%20Bookings/Booking-1119%20-%20Booking%20Rejection%20Request.msg" TargetMode="External"/><Relationship Id="rId12" Type="http://schemas.openxmlformats.org/officeDocument/2006/relationships/hyperlink" Target="https://onedevelopmentuae-my.sharepoint.com/personal/n_araujo_oneuae_com/Documents/Desktop/Norton-Local/Requests/Rejected%20Bookings/Booking-1417%20-%20Booking%20Rejection%20Request.msg" TargetMode="External"/><Relationship Id="rId13" Type="http://schemas.openxmlformats.org/officeDocument/2006/relationships/hyperlink" Target="https://onedevelopmentuae-my.sharepoint.com/personal/n_araujo_oneuae_com/Documents/Desktop/Norton-Local/Requests/Rejected%20Bookings/Booking-1467%20-%20Booking%20Rejection%20Request.msg" TargetMode="External"/><Relationship Id="rId14" Type="http://schemas.openxmlformats.org/officeDocument/2006/relationships/hyperlink" Target="https://onedevelopmentuae-my.sharepoint.com/personal/n_araujo_oneuae_com/Documents/Desktop/Norton-Local/Requests/Rejected%20Bookings/Booking-1445%20-%20Booking%20Rejection%20Request.msg" TargetMode="External"/><Relationship Id="rId15" Type="http://schemas.openxmlformats.org/officeDocument/2006/relationships/hyperlink" Target="https://onedevelopmentuae-my.sharepoint.com/personal/n_araujo_oneuae_com/Documents/Desktop/Norton-Local/Requests/Rejected%20Bookings/Booking-1502%20-%20Booking%20Rejection%20Request.msg" TargetMode="External"/><Relationship Id="rId16" Type="http://schemas.openxmlformats.org/officeDocument/2006/relationships/hyperlink" Target="https://onedevelopmentuae-my.sharepoint.com/personal/n_araujo_oneuae_com/Documents/Desktop/Norton-Local/Requests/Rejected%20Bookings/Booking-1255%20-%20Booking%20Rejection%20Request.pdf" TargetMode="External"/><Relationship Id="rId17" Type="http://schemas.openxmlformats.org/officeDocument/2006/relationships/hyperlink" Target="https://onedevelopmentuae-my.sharepoint.com/personal/n_araujo_oneuae_com/Documents/Desktop/Norton-Local/Requests/Rejected%20Bookings/Booking-1352%20-%20Booking%20Rejection%20Request.msg" TargetMode="External"/><Relationship Id="rId18" Type="http://schemas.openxmlformats.org/officeDocument/2006/relationships/hyperlink" Target="https://onedevelopmentuae-my.sharepoint.com/personal/n_araujo_oneuae_com/Documents/Desktop/Norton-Local/Requests/Rejected%20Bookings/Booking-1474%20-%20Booking%20Rejection%20Request.msg" TargetMode="External"/><Relationship Id="rId19" Type="http://schemas.openxmlformats.org/officeDocument/2006/relationships/hyperlink" Target="https://onedevelopmentuae-my.sharepoint.com/personal/n_araujo_oneuae_com/Documents/Desktop/Norton-Local/Requests/Rejected%20Bookings/Booking-1437%20-%20Booking%20Rejection%20Request.msg" TargetMode="External"/><Relationship Id="rId20" Type="http://schemas.openxmlformats.org/officeDocument/2006/relationships/hyperlink" Target="https://onedevelopmentuae-my.sharepoint.com/personal/n_araujo_oneuae_com/Documents/Desktop/Norton-Local/Requests/Rejected%20Bookings/Booking-1480%20-%20Booking%20Rejection%20Request.msg" TargetMode="External"/><Relationship Id="rId21" Type="http://schemas.openxmlformats.org/officeDocument/2006/relationships/hyperlink" Target="https://onedevelopmentuae-my.sharepoint.com/personal/n_araujo_oneuae_com/Documents/Desktop/Norton-Local/Requests/Rejected%20Bookings/Booking-1428%20-%20Booking%20Rejection%20Request.msg" TargetMode="External"/><Relationship Id="rId22" Type="http://schemas.openxmlformats.org/officeDocument/2006/relationships/hyperlink" Target="https://onedevelopmentuae-my.sharepoint.com/personal/n_araujo_oneuae_com/Documents/Desktop/Norton-Local/Requests/Rejected%20Bookings/Booking-1491%20-%20Booking%20Rejection%20Request.msg" TargetMode="External"/><Relationship Id="rId23" Type="http://schemas.openxmlformats.org/officeDocument/2006/relationships/hyperlink" Target="https://onedevelopmentuae-my.sharepoint.com/personal/n_araujo_oneuae_com/Documents/Desktop/Norton-Local/Requests/Rejected%20Bookings/Booking-1489%20-%20Booking%20Rejection%20Request.msg" TargetMode="External"/><Relationship Id="rId24" Type="http://schemas.openxmlformats.org/officeDocument/2006/relationships/hyperlink" Target="https://onedevelopmentuae-my.sharepoint.com/personal/n_araujo_oneuae_com/Documents/Desktop/Norton-Local/Requests/Rejected%20Bookings/Booking-1340%20-%20Booking%20Rejection%20Request.msg" TargetMode="External"/><Relationship Id="rId25" Type="http://schemas.openxmlformats.org/officeDocument/2006/relationships/hyperlink" Target="https://onedevelopmentuae-my.sharepoint.com/personal/n_araujo_oneuae_com/Documents/Desktop/Norton-Local/Requests/Rejected%20Bookings/Booking-1477%20-%20Booking%20Rejection%20Request.msg" TargetMode="External"/><Relationship Id="rId26" Type="http://schemas.openxmlformats.org/officeDocument/2006/relationships/hyperlink" Target="https://onedevelopmentuae-my.sharepoint.com/personal/n_araujo_oneuae_com/Documents/Desktop/Norton-Local/Requests/Rejected%20Bookings/Booking-1425%20-%20Booking%20Rejection%20Request.msg" TargetMode="External"/><Relationship Id="rId27" Type="http://schemas.openxmlformats.org/officeDocument/2006/relationships/hyperlink" Target="https://onedevelopmentuae-my.sharepoint.com/personal/n_araujo_oneuae_com/Documents/Desktop/Norton-Local/Requests/Rejected%20Bookings/Booking-1250%20-%20Booking%20Rejection%20Request.msg" TargetMode="External"/><Relationship Id="rId28" Type="http://schemas.openxmlformats.org/officeDocument/2006/relationships/hyperlink" Target="https://onedevelopmentuae-my.sharepoint.com/personal/n_araujo_oneuae_com/Documents/Desktop/Norton-Local/Requests/Rejected%20Bookings/Booking-1461%20-%20Booking%20Rejection%20Request.msg" TargetMode="External"/><Relationship Id="rId29" Type="http://schemas.openxmlformats.org/officeDocument/2006/relationships/hyperlink" Target="https://onedevelopmentuae-my.sharepoint.com/personal/n_araujo_oneuae_com/Documents/Desktop/Norton-Local/Requests/Rejected%20Bookings/Booking-1394%20-%20Booking%20Rejection%20Request.msg" TargetMode="External"/><Relationship Id="rId30" Type="http://schemas.openxmlformats.org/officeDocument/2006/relationships/hyperlink" Target="https://onedevelopmentuae-my.sharepoint.com/personal/n_araujo_oneuae_com/Documents/Desktop/Norton-Local/Requests/Rejected%20Bookings/Booking-1424%20-%20Booking%20Rejection%20Request.msg" TargetMode="External"/><Relationship Id="rId31" Type="http://schemas.openxmlformats.org/officeDocument/2006/relationships/hyperlink" Target="https://onedevelopmentuae-my.sharepoint.com/personal/n_araujo_oneuae_com/Documents/Desktop/Norton-Local/Requests/Rejected%20Bookings/Booking-1420%20-%20Booking%20Rejection%20Request.msg" TargetMode="External"/><Relationship Id="rId32" Type="http://schemas.openxmlformats.org/officeDocument/2006/relationships/hyperlink" Target="https://onedevelopmentuae-my.sharepoint.com/personal/n_araujo_oneuae_com/Documents/Desktop/Norton-Local/Requests/Rejected%20Bookings/Booking-1462%20-%20Booking%20Rejection%20Request.msg" TargetMode="External"/><Relationship Id="rId33" Type="http://schemas.openxmlformats.org/officeDocument/2006/relationships/hyperlink" Target="https://onedevelopmentuae-my.sharepoint.com/personal/n_araujo_oneuae_com/Documents/Desktop/Norton-Local/Requests/Rejected%20Bookings/Booking-1330%20-%20Booking%20Rejection%20Request.msg" TargetMode="External"/><Relationship Id="rId34" Type="http://schemas.openxmlformats.org/officeDocument/2006/relationships/hyperlink" Target="https://onedevelopmentuae-my.sharepoint.com/personal/n_araujo_oneuae_com/Documents/Desktop/Norton-Local/Requests/Rejected%20Bookings/Booking-1423%20-%20Booking%20Rejection%20Request.msg" TargetMode="External"/><Relationship Id="rId35" Type="http://schemas.openxmlformats.org/officeDocument/2006/relationships/hyperlink" Target="https://onedevelopmentuae-my.sharepoint.com/personal/n_araujo_oneuae_com/Documents/Desktop/Norton-Local/Requests/Rejected%20Bookings/Booking-1434%20-%20Booking%20Rejection%20Request.msg" TargetMode="External"/><Relationship Id="rId36" Type="http://schemas.openxmlformats.org/officeDocument/2006/relationships/hyperlink" Target="https://onedevelopmentuae-my.sharepoint.com/personal/n_araujo_oneuae_com/Documents/Desktop/Norton-Local/Requests/Rejected%20Bookings/Booking-1254%20-%20Booking%20Rejection%20Request.msg" TargetMode="External"/><Relationship Id="rId37" Type="http://schemas.openxmlformats.org/officeDocument/2006/relationships/hyperlink" Target="https://onedevelopmentuae-my.sharepoint.com/personal/n_araujo_oneuae_com/Documents/Desktop/Norton-Local/Requests/Rejected%20Bookings/Booking-1253%20-%20Booking%20Rejection%20Request.msg" TargetMode="External"/><Relationship Id="rId38" Type="http://schemas.openxmlformats.org/officeDocument/2006/relationships/hyperlink" Target="https://onedevelopmentuae-my.sharepoint.com/personal/n_araujo_oneuae_com/Documents/Desktop/Norton-Local/Requests/Rejected%20Bookings/Booking-1252%20-%20Booking%20Rejection%20Request.msg" TargetMode="External"/><Relationship Id="rId39" Type="http://schemas.openxmlformats.org/officeDocument/2006/relationships/hyperlink" Target="https://onedevelopmentuae-my.sharepoint.com/personal/n_araujo_oneuae_com/Documents/Desktop/Norton-Local/Requests/Rejected%20Bookings/Booking-1443%20-%20Booking%20Rejection%20Request.msg" TargetMode="External"/><Relationship Id="rId40" Type="http://schemas.openxmlformats.org/officeDocument/2006/relationships/hyperlink" Target="https://onedevelopmentuae-my.sharepoint.com/personal/n_araujo_oneuae_com/Documents/Desktop/Norton-Local/Requests/Rejected%20Bookings/Booking-1392%20-%20Booking%20Rejection%20Request.msg" TargetMode="External"/><Relationship Id="rId41" Type="http://schemas.openxmlformats.org/officeDocument/2006/relationships/hyperlink" Target="https://onedevelopmentuae-my.sharepoint.com/personal/n_araujo_oneuae_com/Documents/Desktop/Norton-Local/Requests/Rejected%20Bookings/Booking-1451%20-%20Booking%20Rejection%20Request.msg" TargetMode="External"/><Relationship Id="rId42" Type="http://schemas.openxmlformats.org/officeDocument/2006/relationships/hyperlink" Target="https://onedevelopmentuae-my.sharepoint.com/personal/n_araujo_oneuae_com/Documents/Desktop/Norton-Local/Requests/Rejected%20Bookings/Booking-1406%20-%20Booking%20Rejection%20Request.msg" TargetMode="External"/><Relationship Id="rId43" Type="http://schemas.openxmlformats.org/officeDocument/2006/relationships/hyperlink" Target="https://onedevelopmentuae-my.sharepoint.com/personal/n_araujo_oneuae_com/Documents/Desktop/Norton-Local/Requests/Rejected%20Bookings/Booking-1446%20-%20Booking%20Rejection%20Request.msg" TargetMode="External"/><Relationship Id="rId44" Type="http://schemas.openxmlformats.org/officeDocument/2006/relationships/hyperlink" Target="https://onedevelopmentuae-my.sharepoint.com/personal/n_araujo_oneuae_com/Documents/Desktop/Norton-Local/Requests/Rejected%20Bookings/Booking-800%20-%20Booking%20Rejection%20Request.msg" TargetMode="External"/><Relationship Id="rId45" Type="http://schemas.openxmlformats.org/officeDocument/2006/relationships/hyperlink" Target="https://onedevelopmentuae-my.sharepoint.com/personal/n_araujo_oneuae_com/Documents/Desktop/Norton-Local/Requests/Rejected%20Bookings/Booking-1345%20-%20Booking%20Rejection%20Request.msg" TargetMode="External"/><Relationship Id="rId46" Type="http://schemas.openxmlformats.org/officeDocument/2006/relationships/hyperlink" Target="https://onedevelopmentuae-my.sharepoint.com/personal/n_araujo_oneuae_com/Documents/Desktop/Norton-Local/Requests/Rejected%20Bookings/Booking-1085%20-%20Booking%20Rejection%20Request.msg" TargetMode="External"/><Relationship Id="rId47" Type="http://schemas.openxmlformats.org/officeDocument/2006/relationships/hyperlink" Target="https://onedevelopmentuae-my.sharepoint.com/personal/n_araujo_oneuae_com/Documents/Desktop/Norton-Local/Requests/Rejected%20Bookings/Booking-1111%20-%20Booking%20Rejection%20Request.msg" TargetMode="External"/><Relationship Id="rId48" Type="http://schemas.openxmlformats.org/officeDocument/2006/relationships/hyperlink" Target="https://onedevelopmentuae-my.sharepoint.com/personal/n_araujo_oneuae_com/Documents/Desktop/Norton-Local/Requests/Rejected%20Bookings/Booking-818%20-%20Booking%20Rejection%20Request.pdf" TargetMode="External"/><Relationship Id="rId49" Type="http://schemas.openxmlformats.org/officeDocument/2006/relationships/hyperlink" Target="https://onedevelopmentuae-my.sharepoint.com/personal/n_araujo_oneuae_com/Documents/Desktop/Norton-Local/Requests/Rejected%20Bookings/Booking-906%20-%20Booking%20Rejection%20Request.pdf" TargetMode="External"/><Relationship Id="rId50" Type="http://schemas.openxmlformats.org/officeDocument/2006/relationships/hyperlink" Target="https://onedevelopmentuae-my.sharepoint.com/personal/n_araujo_oneuae_com/Documents/Desktop/Norton-Local/Requests/Rejected%20Bookings/Booking-1226%20-%20Booking%20Rejection%20Request.pdf" TargetMode="External"/><Relationship Id="rId51" Type="http://schemas.openxmlformats.org/officeDocument/2006/relationships/hyperlink" Target="https://onedevelopmentuae-my.sharepoint.com/personal/n_araujo_oneuae_com/Documents/Desktop/Norton-Local/Requests/Rejected%20Bookings/Booking-951%20-%20Booking%20Rejection%20Request.msg" TargetMode="External"/><Relationship Id="rId52" Type="http://schemas.openxmlformats.org/officeDocument/2006/relationships/hyperlink" Target="https://onedevelopmentuae-my.sharepoint.com/personal/n_araujo_oneuae_com/Documents/Desktop/Norton-Local/Requests/Rejected%20Bookings/Booking-1224%20-%20Booking%20Rejection%20Request.pdf" TargetMode="External"/><Relationship Id="rId53" Type="http://schemas.openxmlformats.org/officeDocument/2006/relationships/hyperlink" Target="https://onedevelopmentuae-my.sharepoint.com/personal/n_araujo_oneuae_com/Documents/Desktop/Norton-Local/Requests/Rejected%20Bookings/Booking-1101%20-%20Booking%20Rejection%20Request.pdf" TargetMode="External"/><Relationship Id="rId54" Type="http://schemas.openxmlformats.org/officeDocument/2006/relationships/hyperlink" Target="https://onedevelopmentuae-my.sharepoint.com/personal/n_araujo_oneuae_com/Documents/Desktop/Norton-Local/Requests/Rejected%20Bookings/Booking-1231%20-%20Booking%20Rejection%20Request.pdf" TargetMode="External"/><Relationship Id="rId55" Type="http://schemas.openxmlformats.org/officeDocument/2006/relationships/hyperlink" Target="https://onedevelopmentuae-my.sharepoint.com/personal/n_araujo_oneuae_com/Documents/Desktop/Norton-Local/Requests/Rejected%20Bookings/Booking-864%20-%20Booking%20Rejection%20Request.pdf" TargetMode="External"/><Relationship Id="rId56" Type="http://schemas.openxmlformats.org/officeDocument/2006/relationships/hyperlink" Target="https://onedevelopmentuae-my.sharepoint.com/personal/n_araujo_oneuae_com/Documents/Desktop/Norton-Local/Requests/Rejected%20Bookings/Booking-1054%20-%20Booking%20Rejection%20Request.msg" TargetMode="External"/><Relationship Id="rId57" Type="http://schemas.openxmlformats.org/officeDocument/2006/relationships/hyperlink" Target="https://onedevelopmentuae-my.sharepoint.com/personal/n_araujo_oneuae_com/Documents/Desktop/Norton-Local/Requests/Rejected%20Bookings/Booking-1029%20-%20Booking%20Rejection%20Request.msg" TargetMode="External"/><Relationship Id="rId58" Type="http://schemas.openxmlformats.org/officeDocument/2006/relationships/hyperlink" Target="https://onedevelopmentuae-my.sharepoint.com/personal/n_araujo_oneuae_com/Documents/Desktop/Norton-Local/Requests/Rejected%20Bookings/Booking-948%20-%20Booking%20Rejection%20Request.msg" TargetMode="External"/><Relationship Id="rId59" Type="http://schemas.openxmlformats.org/officeDocument/2006/relationships/hyperlink" Target="https://onedevelopmentuae-my.sharepoint.com/personal/n_araujo_oneuae_com/Documents/Desktop/Norton-Local/Requests/Rejected%20Bookings/Booking-950%20-%20Booking%20Rejection%20Request.msg" TargetMode="External"/><Relationship Id="rId60" Type="http://schemas.openxmlformats.org/officeDocument/2006/relationships/hyperlink" Target="https://onedevelopmentuae-my.sharepoint.com/personal/n_araujo_oneuae_com/Documents/Desktop/Norton-Local/Requests/Rejected%20Bookings/Booking-1100%20-%20Booking%20Rejection%20Request.msg" TargetMode="External"/><Relationship Id="rId61" Type="http://schemas.openxmlformats.org/officeDocument/2006/relationships/hyperlink" Target="https://onedevelopmentuae-my.sharepoint.com/personal/n_araujo_oneuae_com/Documents/Desktop/Norton-Local/Requests/Rejected%20Bookings/Booking-1162%20-%20Booking%20Rejection%20Request.msg" TargetMode="External"/><Relationship Id="rId62" Type="http://schemas.openxmlformats.org/officeDocument/2006/relationships/hyperlink" Target="https://onedevelopmentuae-my.sharepoint.com/personal/n_araujo_oneuae_com/Documents/Desktop/Norton-Local/Requests/Rejected%20Bookings/Booking-1171%20-%20Booking%20Rejection%20Request.msg" TargetMode="External"/><Relationship Id="rId63" Type="http://schemas.openxmlformats.org/officeDocument/2006/relationships/hyperlink" Target="https://onedevelopmentuae-my.sharepoint.com/personal/n_araujo_oneuae_com/Documents/Desktop/Norton-Local/Requests/Rejected%20Bookings/Booking-1180%20-%20Booking%20Rejection%20Request.msg" TargetMode="External"/><Relationship Id="rId64" Type="http://schemas.openxmlformats.org/officeDocument/2006/relationships/hyperlink" Target="https://onedevelopmentuae-my.sharepoint.com/personal/n_araujo_oneuae_com/Documents/Desktop/Norton-Local/Requests/Rejected%20Bookings/Booking-1192%20-%20Booking%20Rejection%20Request.msg" TargetMode="External"/><Relationship Id="rId65" Type="http://schemas.openxmlformats.org/officeDocument/2006/relationships/hyperlink" Target="https://onedevelopmentuae-my.sharepoint.com/personal/n_araujo_oneuae_com/Documents/Desktop/Norton-Local/Requests/Rejected%20Bookings/Booking-1181%20-%20Booking%20Rejection%20Request.msg" TargetMode="External"/><Relationship Id="rId66" Type="http://schemas.openxmlformats.org/officeDocument/2006/relationships/hyperlink" Target="https://onedevelopmentuae-my.sharepoint.com/personal/n_araujo_oneuae_com/Documents/Desktop/Norton-Local/Requests/Rejected%20Bookings/Booking%20973%20-%20Booking%20Rejection%20Request.msg" TargetMode="External"/><Relationship Id="rId67" Type="http://schemas.openxmlformats.org/officeDocument/2006/relationships/hyperlink" Target="https://onedevelopmentuae-my.sharepoint.com/personal/n_araujo_oneuae_com/Documents/Desktop/Norton-Local/Requests/Rejected%20Bookings/Booking-1011%20-%20Booking%20Rejection%20Request.msg" TargetMode="External"/><Relationship Id="rId68" Type="http://schemas.openxmlformats.org/officeDocument/2006/relationships/hyperlink" Target="https://onedevelopmentuae-my.sharepoint.com/personal/n_araujo_oneuae_com/Documents/Desktop/Norton-Local/Requests/Rejected%20Bookings/Booking-949%20-%20Booking%20Rejection%20Request.msg" TargetMode="External"/><Relationship Id="rId69" Type="http://schemas.openxmlformats.org/officeDocument/2006/relationships/hyperlink" Target="https://onedevelopmentuae-my.sharepoint.com/personal/n_araujo_oneuae_com/Documents/Desktop/Norton-Local/Requests/Rejected%20Bookings/Booking-1165%20-%20Booking%20Rejection%20Request.msg" TargetMode="External"/><Relationship Id="rId70" Type="http://schemas.openxmlformats.org/officeDocument/2006/relationships/hyperlink" Target="https://onedevelopmentuae-my.sharepoint.com/personal/n_araujo_oneuae_com/Documents/Desktop/Norton-Local/Requests/Rejected%20Bookings/Booking-1212%20-%20Booking%20Rejection%20Request.msg" TargetMode="External"/><Relationship Id="rId71" Type="http://schemas.openxmlformats.org/officeDocument/2006/relationships/hyperlink" Target="https://onedevelopmentuae-my.sharepoint.com/personal/n_araujo_oneuae_com/Documents/Desktop/Norton-Local/Requests/Rejected%20Bookings/Booking-443%20-%20Booking%20Rejection%20Request.msg" TargetMode="External"/><Relationship Id="rId72" Type="http://schemas.openxmlformats.org/officeDocument/2006/relationships/hyperlink" Target="https://onedevelopmentuae-my.sharepoint.com/personal/n_araujo_oneuae_com/Documents/Desktop/Norton-Local/Requests/Rejected%20Bookings/Booking-1153%20-%20Booking%20Rejection%20Request.msg" TargetMode="External"/><Relationship Id="rId73" Type="http://schemas.openxmlformats.org/officeDocument/2006/relationships/hyperlink" Target="https://onedevelopmentuae-my.sharepoint.com/personal/n_araujo_oneuae_com/Documents/Desktop/Norton-Local/Requests/Rejected%20Bookings/Booking-1014%20-%20Booking%20Rejection%20Request.msg" TargetMode="External"/><Relationship Id="rId74" Type="http://schemas.openxmlformats.org/officeDocument/2006/relationships/hyperlink" Target="https://onedevelopmentuae-my.sharepoint.com/personal/n_araujo_oneuae_com/Documents/Desktop/Norton-Local/Requests/Rejected%20Bookings/Booking-1010%20-%20Booking%20Rejection%20Request.msg" TargetMode="External"/><Relationship Id="rId75" Type="http://schemas.openxmlformats.org/officeDocument/2006/relationships/hyperlink" Target="https://onedevelopmentuae-my.sharepoint.com/personal/n_araujo_oneuae_com/Documents/Desktop/Norton-Local/Requests/Rejected%20Bookings/Booking-987%20-%20Booking%20Rejection%20Request.msg" TargetMode="External"/><Relationship Id="rId76" Type="http://schemas.openxmlformats.org/officeDocument/2006/relationships/hyperlink" Target="https://onedevelopmentuae-my.sharepoint.com/personal/n_araujo_oneuae_com/Documents/Desktop/Norton-Local/Requests/Rejected%20Bookings/Booking-1020%20-%20Booking%20Rejection%20Request.msg" TargetMode="External"/><Relationship Id="rId77" Type="http://schemas.openxmlformats.org/officeDocument/2006/relationships/hyperlink" Target="https://onedevelopmentuae-my.sharepoint.com/personal/n_araujo_oneuae_com/Documents/Desktop/Norton-Local/Requests/Rejected%20Bookings/Booking-1044%20-%20Booking%20Rejection%20Request.msg" TargetMode="External"/><Relationship Id="rId78" Type="http://schemas.openxmlformats.org/officeDocument/2006/relationships/hyperlink" Target="https://onedevelopmentuae-my.sharepoint.com/personal/n_araujo_oneuae_com/Documents/Desktop/Norton-Local/Requests/Rejected%20Bookings/Booking-594%20-%20Booking%20Rejection%20Request.msg" TargetMode="External"/><Relationship Id="rId79" Type="http://schemas.openxmlformats.org/officeDocument/2006/relationships/hyperlink" Target="https://onedevelopmentuae-my.sharepoint.com/personal/n_araujo_oneuae_com/Documents/Desktop/Norton-Local/Requests/Rejected%20Bookings/Booking-1000%20-%20Booking%20Rejection%20Request.msg" TargetMode="External"/><Relationship Id="rId80" Type="http://schemas.openxmlformats.org/officeDocument/2006/relationships/hyperlink" Target="https://onedevelopmentuae-my.sharepoint.com/personal/n_araujo_oneuae_com/Documents/Desktop/Norton-Local/Requests/Rejected%20Bookings/Booking-988%20-%20Booking%20Rejection%20Request.msg" TargetMode="External"/><Relationship Id="rId81" Type="http://schemas.openxmlformats.org/officeDocument/2006/relationships/hyperlink" Target="https://onedevelopmentuae-my.sharepoint.com/personal/n_araujo_oneuae_com/Documents/Desktop/Norton-Local/Requests/Rejected%20Bookings/Booking-970%20-%20Booking%20Rejection%20Request.msg" TargetMode="External"/><Relationship Id="rId82" Type="http://schemas.openxmlformats.org/officeDocument/2006/relationships/hyperlink" Target="https://onedevelopmentuae-my.sharepoint.com/personal/n_araujo_oneuae_com/Documents/Desktop/Norton-Local/Requests/Rejected%20Bookings/Booking-1166%20-%20Booking%20Rejection%20Request.pdf" TargetMode="External"/><Relationship Id="rId83" Type="http://schemas.openxmlformats.org/officeDocument/2006/relationships/hyperlink" Target="https://onedevelopmentuae-my.sharepoint.com/personal/n_araujo_oneuae_com/Documents/Desktop/Norton-Local/Requests/Rejected%20Bookings/Booking-1127%20-%20Booking%20Rejection%20Request.pdf" TargetMode="External"/><Relationship Id="rId84" Type="http://schemas.openxmlformats.org/officeDocument/2006/relationships/hyperlink" Target="https://onedevelopmentuae-my.sharepoint.com/personal/n_araujo_oneuae_com/Documents/Desktop/Norton-Local/Requests/Rejected%20Bookings/Booking-1174%20-%20Booking%20Rejection%20Request.msg" TargetMode="External"/><Relationship Id="rId85" Type="http://schemas.openxmlformats.org/officeDocument/2006/relationships/hyperlink" Target="https://onedevelopmentuae-my.sharepoint.com/personal/n_araujo_oneuae_com/Documents/Desktop/Norton-Local/Requests/Rejected%20Bookings/Booking-1173%20-%20Booking%20Rejection%20Request.msg" TargetMode="External"/><Relationship Id="rId86" Type="http://schemas.openxmlformats.org/officeDocument/2006/relationships/hyperlink" Target="https://onedevelopmentuae-my.sharepoint.com/personal/n_araujo_oneuae_com/Documents/Desktop/Norton-Local/Requests/Rejected%20Bookings/Booking-1167%20-%20Booking%20Rejection%20Request.pdf" TargetMode="External"/><Relationship Id="rId87" Type="http://schemas.openxmlformats.org/officeDocument/2006/relationships/hyperlink" Target="https://onedevelopmentuae-my.sharepoint.com/personal/n_araujo_oneuae_com/Documents/Desktop/Norton-Local/Requests/Rejected%20Bookings/Booking-1025%20-%20Booking%20Rejection%20Request.pdf" TargetMode="External"/><Relationship Id="rId88" Type="http://schemas.openxmlformats.org/officeDocument/2006/relationships/hyperlink" Target="https://onedevelopmentuae-my.sharepoint.com/personal/n_araujo_oneuae_com/Documents/Desktop/Norton-Local/Requests/Rejected%20Bookings/Booking-1114%20-Booking%20Rejection%20Request.pdf" TargetMode="External"/><Relationship Id="rId89" Type="http://schemas.openxmlformats.org/officeDocument/2006/relationships/hyperlink" Target="https://onedevelopmentuae-my.sharepoint.com/personal/n_araujo_oneuae_com/Documents/Desktop/Norton-Local/Requests/Rejected%20Bookings/Booking-1110%20-%20Booking%20Rejection%20Request.pdf" TargetMode="External"/><Relationship Id="rId90" Type="http://schemas.openxmlformats.org/officeDocument/2006/relationships/hyperlink" Target="https://onedevelopmentuae-my.sharepoint.com/personal/n_araujo_oneuae_com/Documents/Desktop/Norton-Local/Requests/Rejected%20Bookings/Booking-1133%20-%20Booking%20Rejection%20Request.pdf" TargetMode="External"/><Relationship Id="rId91" Type="http://schemas.openxmlformats.org/officeDocument/2006/relationships/hyperlink" Target="https://onedevelopmentuae-my.sharepoint.com/personal/n_araujo_oneuae_com/Documents/Desktop/Norton-Local/Requests/Rejected%20Bookings/Booking-1129%20-%20Booking%20Rejection%20Request.msg" TargetMode="External"/><Relationship Id="rId92" Type="http://schemas.openxmlformats.org/officeDocument/2006/relationships/hyperlink" Target="https://onedevelopmentuae-my.sharepoint.com/personal/n_araujo_oneuae_com/Documents/Desktop/Norton-Local/Requests/Rejected%20Bookings/Booking-1147%20-%20Booking%20Rejection%20Request.msg" TargetMode="External"/><Relationship Id="rId93" Type="http://schemas.openxmlformats.org/officeDocument/2006/relationships/hyperlink" Target="https://onedevelopmentuae-my.sharepoint.com/personal/n_araujo_oneuae_com/Documents/Desktop/Norton-Local/Requests/Rejected%20Bookings/Booking-1112%20-%20Booking%20Rejection%20Request.msg" TargetMode="External"/><Relationship Id="rId94" Type="http://schemas.openxmlformats.org/officeDocument/2006/relationships/hyperlink" Target="https://onedevelopmentuae-my.sharepoint.com/personal/n_araujo_oneuae_com/Documents/Desktop/Norton-Local/Requests/Rejected%20Bookings/Booking-1028%20-%20Booking%20Rejection%20Request.msg" TargetMode="External"/><Relationship Id="rId95" Type="http://schemas.openxmlformats.org/officeDocument/2006/relationships/hyperlink" Target="https://onedevelopmentuae-my.sharepoint.com/personal/n_araujo_oneuae_com/Documents/Desktop/Norton-Local/Requests/Rejected%20Bookings/Booking-1108%20-%20Booking%20Rejection%20Request.msg" TargetMode="External"/><Relationship Id="rId96" Type="http://schemas.openxmlformats.org/officeDocument/2006/relationships/hyperlink" Target="https://onedevelopmentuae-my.sharepoint.com/personal/n_araujo_oneuae_com/Documents/Desktop/Norton-Local/Requests/Rejected%20Bookings/Booking-1078%20-%20Booking%20Rejection%20Request.pdf" TargetMode="External"/><Relationship Id="rId97" Type="http://schemas.openxmlformats.org/officeDocument/2006/relationships/hyperlink" Target="https://onedevelopmentuae-my.sharepoint.com/personal/n_araujo_oneuae_com/Documents/Desktop/Norton-Local/Requests/Rejected%20Bookings/Booking-1084%20-%20Booking%20Rejection%20Request.msg" TargetMode="External"/><Relationship Id="rId98" Type="http://schemas.openxmlformats.org/officeDocument/2006/relationships/hyperlink" Target="https://onedevelopmentuae-my.sharepoint.com/personal/n_araujo_oneuae_com/Documents/Desktop/Norton-Local/Requests/Rejected%20Bookings/Booking-776%20-%20Booking%20Rejection%20Request.msg" TargetMode="External"/><Relationship Id="rId99" Type="http://schemas.openxmlformats.org/officeDocument/2006/relationships/hyperlink" Target="https://onedevelopmentuae-my.sharepoint.com/personal/n_araujo_oneuae_com/Documents/Desktop/Norton-Local/Requests/Rejected%20Bookings/Booking-1023%20-%20Booking%20Rejection%20Request.msg" TargetMode="External"/><Relationship Id="rId100" Type="http://schemas.openxmlformats.org/officeDocument/2006/relationships/hyperlink" Target="https://onedevelopmentuae-my.sharepoint.com/personal/n_araujo_oneuae_com/Documents/Desktop/Norton-Local/Requests/Rejected%20Bookings/Booking-1019%20-%20Booking%20Rejection%20Request.msg" TargetMode="External"/><Relationship Id="rId101" Type="http://schemas.openxmlformats.org/officeDocument/2006/relationships/hyperlink" Target="https://onedevelopmentuae-my.sharepoint.com/personal/n_araujo_oneuae_com/Documents/Desktop/Norton-Local/Requests/Rejected%20Bookings/Booking-989%20-%20Booking%20Rejection%20Request.msg" TargetMode="External"/><Relationship Id="rId102" Type="http://schemas.openxmlformats.org/officeDocument/2006/relationships/hyperlink" Target="https://onedevelopmentuae-my.sharepoint.com/personal/n_araujo_oneuae_com/Documents/Desktop/Norton-Local/Requests/Rejected%20Bookings/Booking-986%20-%20Booking%20Rejection%20Request.msg" TargetMode="External"/><Relationship Id="rId103" Type="http://schemas.openxmlformats.org/officeDocument/2006/relationships/hyperlink" Target="https://onedevelopmentuae-my.sharepoint.com/personal/n_araujo_oneuae_com/Documents/Desktop/Norton-Local/Requests/Rejected%20Bookings/Booking-966%20-%20Booking%20Rejection%20Request.msg" TargetMode="External"/><Relationship Id="rId104" Type="http://schemas.openxmlformats.org/officeDocument/2006/relationships/hyperlink" Target="https://onedevelopmentuae-my.sharepoint.com/personal/n_araujo_oneuae_com/Documents/Desktop/Norton-Local/Requests/Rejected%20Bookings/Booking-1017%20-%20Booking%20Rejection%20Request.pdf" TargetMode="External"/><Relationship Id="rId105" Type="http://schemas.openxmlformats.org/officeDocument/2006/relationships/hyperlink" Target="https://onedevelopmentuae-my.sharepoint.com/personal/n_araujo_oneuae_com/Documents/Desktop/Norton-Local/Requests/Rejected%20Bookings/Booking-1016%20-%20Booking%20Rejection%20Request.pdf" TargetMode="External"/><Relationship Id="rId106" Type="http://schemas.openxmlformats.org/officeDocument/2006/relationships/hyperlink" Target="https://onedevelopmentuae-my.sharepoint.com/personal/n_araujo_oneuae_com/Documents/Desktop/Norton-Local/Requests/Rejected%20Bookings/Booking-1015%20-%20Booking%20Rejection%20Request.pdf" TargetMode="External"/><Relationship Id="rId107" Type="http://schemas.openxmlformats.org/officeDocument/2006/relationships/hyperlink" Target="https://onedevelopmentuae-my.sharepoint.com/personal/n_araujo_oneuae_com/Documents/Desktop/Norton-Local/Requests/Rejected%20Bookings/Booking-1050%20-%20Booking%20Rejection%20Request.msg" TargetMode="External"/><Relationship Id="rId108" Type="http://schemas.openxmlformats.org/officeDocument/2006/relationships/hyperlink" Target="https://onedevelopmentuae-my.sharepoint.com/personal/n_araujo_oneuae_com/Documents/Desktop/Norton-Local/Requests/Rejected%20Bookings/Booking-1040%20-%20Booking%20Rejection%20Request.msg" TargetMode="External"/><Relationship Id="rId109" Type="http://schemas.openxmlformats.org/officeDocument/2006/relationships/hyperlink" Target="https://onedevelopmentuae-my.sharepoint.com/personal/n_araujo_oneuae_com/Documents/Desktop/Norton-Local/Requests/Rejected%20Bookings/Booking-1021%20%26amp%3B%20Booking-1022%20-%20Booking%20Rejection%20Request.msg" TargetMode="External"/><Relationship Id="rId110" Type="http://schemas.openxmlformats.org/officeDocument/2006/relationships/hyperlink" Target="https://onedevelopmentuae-my.sharepoint.com/personal/n_araujo_oneuae_com/Documents/Desktop/Norton-Local/Requests/Rejected%20Bookings/Booking-1021%20%26amp%3B%20Booking-1022%20-%20Booking%20Rejection%20Request.msg" TargetMode="External"/><Relationship Id="rId111" Type="http://schemas.openxmlformats.org/officeDocument/2006/relationships/hyperlink" Target="https://onedevelopmentuae-my.sharepoint.com/personal/n_araujo_oneuae_com/Documents/Desktop/Norton-Local/Requests/Rejected%20Bookings/Booking-1002%20-%20Booking%20Rejection%20Request.msg" TargetMode="External"/><Relationship Id="rId112" Type="http://schemas.openxmlformats.org/officeDocument/2006/relationships/hyperlink" Target="https://onedevelopmentuae-my.sharepoint.com/personal/n_araujo_oneuae_com/Documents/Desktop/Norton-Local/Requests/Rejected%20Bookings/Booking-1001%20-%20Booking%20Rejection%20Request.msg" TargetMode="External"/><Relationship Id="rId113" Type="http://schemas.openxmlformats.org/officeDocument/2006/relationships/hyperlink" Target="https://onedevelopmentuae-my.sharepoint.com/personal/n_araujo_oneuae_com/Documents/Desktop/Norton-Local/Requests/Rejected%20Bookings/Booking-1030%20-%20Booking%20Rejection%20Request.msg" TargetMode="External"/><Relationship Id="rId114" Type="http://schemas.openxmlformats.org/officeDocument/2006/relationships/hyperlink" Target="https://onedevelopmentuae-my.sharepoint.com/personal/n_araujo_oneuae_com/Documents/Desktop/Norton-Local/Requests/Rejected%20Bookings/Booking-956%20-%20Booking%20Rejection%20Request.msg" TargetMode="External"/><Relationship Id="rId115" Type="http://schemas.openxmlformats.org/officeDocument/2006/relationships/hyperlink" Target="https://onedevelopmentuae-my.sharepoint.com/personal/n_araujo_oneuae_com/Documents/Desktop/Norton-Local/Requests/Rejected%20Bookings/Booking-980%20-%20Booking%20Rejection%20Request.msg" TargetMode="External"/><Relationship Id="rId116" Type="http://schemas.openxmlformats.org/officeDocument/2006/relationships/hyperlink" Target="https://onedevelopmentuae-my.sharepoint.com/personal/n_araujo_oneuae_com/Documents/Desktop/Norton-Local/Requests/Rejected%20Bookings/Booking-700%20%26amp%3B%20701%20-%20Booking%20Rejection%20Request%20(2).msg" TargetMode="External"/><Relationship Id="rId117" Type="http://schemas.openxmlformats.org/officeDocument/2006/relationships/hyperlink" Target="https://onedevelopmentuae-my.sharepoint.com/personal/n_araujo_oneuae_com/Documents/Desktop/Norton-Local/Requests/Rejected%20Bookings/Booking-700%20%26amp%3B%20701%20-%20Booking%20Rejection%20Request%20(1).msg" TargetMode="External"/><Relationship Id="rId118" Type="http://schemas.openxmlformats.org/officeDocument/2006/relationships/hyperlink" Target="https://onedevelopmentuae-my.sharepoint.com/personal/n_araujo_oneuae_com/Documents/Desktop/Norton-Local/Requests/Rejected%20Bookings/Booking-851%20-%20Booking%20Rejection%20Request.msg" TargetMode="External"/><Relationship Id="rId119" Type="http://schemas.openxmlformats.org/officeDocument/2006/relationships/hyperlink" Target="https://onedevelopmentuae-my.sharepoint.com/personal/n_araujo_oneuae_com/Documents/Desktop/Norton-Local/Requests/Rejected%20Bookings/Booking-683%20-%20Booking%20Rejection%20Request.msg" TargetMode="External"/><Relationship Id="rId120" Type="http://schemas.openxmlformats.org/officeDocument/2006/relationships/hyperlink" Target="https://onedevelopmentuae-my.sharepoint.com/personal/n_araujo_oneuae_com/Documents/Desktop/Norton-Local/Requests/Rejected%20Bookings/Booking-957%20-%20Booking%20Rejection%20Request.msg" TargetMode="External"/><Relationship Id="rId121" Type="http://schemas.openxmlformats.org/officeDocument/2006/relationships/hyperlink" Target="https://onedevelopmentuae-my.sharepoint.com/personal/n_araujo_oneuae_com/Documents/Desktop/Norton-Local/Requests/Rejected%20Bookings/Booking-916%20-%20Booking%20Rejection%20Request.msg" TargetMode="External"/><Relationship Id="rId122" Type="http://schemas.openxmlformats.org/officeDocument/2006/relationships/hyperlink" Target="https://onedevelopmentuae-my.sharepoint.com/personal/n_araujo_oneuae_com/Documents/Desktop/Norton-Local/Requests/Rejected%20Bookings/Booking-982%20-%20Booking%20Rejection%20Request.msg" TargetMode="External"/><Relationship Id="rId123" Type="http://schemas.openxmlformats.org/officeDocument/2006/relationships/hyperlink" Target="https://onedevelopmentuae-my.sharepoint.com/personal/n_araujo_oneuae_com/Documents/Desktop/Norton-Local/Requests/Rejected%20Bookings/Booking-774%20-%20Booking%20Rejection%20Request.msg" TargetMode="External"/><Relationship Id="rId124" Type="http://schemas.openxmlformats.org/officeDocument/2006/relationships/hyperlink" Target="https://onedevelopmentuae-my.sharepoint.com/personal/n_araujo_oneuae_com/Documents/Desktop/Norton-Local/Requests/Rejected%20Bookings/Booking-783%20-%20Booking%20Rejection%20Request.msg" TargetMode="External"/><Relationship Id="rId125" Type="http://schemas.openxmlformats.org/officeDocument/2006/relationships/hyperlink" Target="https://onedevelopmentuae-my.sharepoint.com/personal/n_araujo_oneuae_com/Documents/Desktop/Norton-Local/Requests/Rejected%20Bookings/Booking-711%20-%20Booking%20Rejection%20Request.msg" TargetMode="External"/><Relationship Id="rId126" Type="http://schemas.openxmlformats.org/officeDocument/2006/relationships/hyperlink" Target="https://onedevelopmentuae-my.sharepoint.com/personal/n_araujo_oneuae_com/Documents/Desktop/Norton-Local/Requests/Rejected%20Bookings/Booking-657%20-%20Booking%20Rejection%20Request.msg" TargetMode="External"/><Relationship Id="rId127" Type="http://schemas.openxmlformats.org/officeDocument/2006/relationships/hyperlink" Target="https://onedevelopmentuae-my.sharepoint.com/personal/n_araujo_oneuae_com/Documents/Desktop/Norton-Local/Requests/Rejected%20Bookings/Booking-971%20-%20Booking%20Rejection%20Request.msg" TargetMode="External"/><Relationship Id="rId128" Type="http://schemas.openxmlformats.org/officeDocument/2006/relationships/hyperlink" Target="https://onedevelopmentuae-my.sharepoint.com/personal/n_araujo_oneuae_com/Documents/Desktop/Norton-Local/Requests/Rejected%20Bookings/Booking-935%20-%20Booking%20Rejection%20Request.msg" TargetMode="External"/><Relationship Id="rId129" Type="http://schemas.openxmlformats.org/officeDocument/2006/relationships/hyperlink" Target="https://onedevelopmentuae-my.sharepoint.com/personal/n_araujo_oneuae_com/Documents/Desktop/Norton-Local/Requests/Rejected%20Bookings/Booking-879%20-%20Booking%20Rejection%20Request.msg" TargetMode="External"/><Relationship Id="rId130" Type="http://schemas.openxmlformats.org/officeDocument/2006/relationships/hyperlink" Target="https://onedevelopmentuae-my.sharepoint.com/personal/n_araujo_oneuae_com/Documents/Desktop/Norton-Local/Requests/Rejected%20Bookings/Booking-882%20-%20Booking%20Rejection%20Request.msg" TargetMode="External"/><Relationship Id="rId131" Type="http://schemas.openxmlformats.org/officeDocument/2006/relationships/hyperlink" Target="https://onedevelopmentuae-my.sharepoint.com/personal/n_araujo_oneuae_com/Documents/Desktop/Norton-Local/Requests/Rejected%20Bookings/Booking-505%20-%20Booking%20Rejection%20Request.msg" TargetMode="External"/><Relationship Id="rId132" Type="http://schemas.openxmlformats.org/officeDocument/2006/relationships/hyperlink" Target="https://onedevelopmentuae-my.sharepoint.com/personal/n_araujo_oneuae_com/Documents/Desktop/Norton-Local/Requests/Rejected%20Bookings/Booking-972%20-%20Booking%20Rejection%20Request.msg" TargetMode="External"/><Relationship Id="rId133" Type="http://schemas.openxmlformats.org/officeDocument/2006/relationships/hyperlink" Target="https://onedevelopmentuae-my.sharepoint.com/personal/n_araujo_oneuae_com/Documents/Desktop/Norton-Local/Requests/Rejected%20Bookings/Booking-968%20-%20Booking%20Rejection%20Request.msg" TargetMode="External"/><Relationship Id="rId134" Type="http://schemas.openxmlformats.org/officeDocument/2006/relationships/hyperlink" Target="https://onedevelopmentuae-my.sharepoint.com/personal/n_araujo_oneuae_com/Documents/Desktop/Norton-Local/Requests/Rejected%20Bookings/Booking-874%20-%20Booking%20Rejection%20Request.msg" TargetMode="External"/><Relationship Id="rId135" Type="http://schemas.openxmlformats.org/officeDocument/2006/relationships/hyperlink" Target="https://onedevelopmentuae-my.sharepoint.com/personal/n_araujo_oneuae_com/Documents/Desktop/Norton-Local/Requests/Rejected%20Bookings/Booking-853%20-%20Booking%20Rejection%20Request.msg" TargetMode="External"/><Relationship Id="rId136" Type="http://schemas.openxmlformats.org/officeDocument/2006/relationships/hyperlink" Target="https://onedevelopmentuae-my.sharepoint.com/personal/n_araujo_oneuae_com/Documents/Desktop/Norton-Local/Requests/Rejected%20Bookings/Booking-836%20-%20Booking%20Rejection%20Request.msg" TargetMode="External"/><Relationship Id="rId137" Type="http://schemas.openxmlformats.org/officeDocument/2006/relationships/hyperlink" Target="https://onedevelopmentuae-my.sharepoint.com/personal/n_araujo_oneuae_com/Documents/Desktop/Norton-Local/Requests/Rejected%20Bookings/Booking-587%20-%20Booking%20Rejection%20Request.msg" TargetMode="External"/><Relationship Id="rId138" Type="http://schemas.openxmlformats.org/officeDocument/2006/relationships/hyperlink" Target="https://onedevelopmentuae-my.sharepoint.com/personal/n_araujo_oneuae_com/Documents/Desktop/Norton-Local/Requests/Rejected%20Bookings/Booking-726%20-%20Booking%20Rejection%20Request.msg" TargetMode="External"/><Relationship Id="rId139" Type="http://schemas.openxmlformats.org/officeDocument/2006/relationships/hyperlink" Target="https://onedevelopmentuae-my.sharepoint.com/personal/n_araujo_oneuae_com/Documents/Desktop/Norton-Local/Requests/Rejected%20Bookings/Booking-865%20-%20Booking%20Rejection%20Request.msg" TargetMode="External"/><Relationship Id="rId140" Type="http://schemas.openxmlformats.org/officeDocument/2006/relationships/hyperlink" Target="https://eur10.safelinks.protection.outlook.com/?url=https%3A%2F%2Fpower-speed-215.lightning.force.com%2Flightning%2Fr%2Fa03J6000009no2bIAA%2Fview&amp;amp;data=05%7C02%7Cn.araujo%40oneuae.com%7C553286fb3d0142232dd508ddd57d3e45%7C7b2a6fa5393a405084c00ee4d5834fa9%7C0%7C0%7C638901456123033751%7CUnknown%7CTWFpbGZsb3d8eyJFbXB0eU1hcGkiOnRydWUsIlYiOiIwLjAuMDAwMCIsIlAiOiJXaW4zMiIsIkFOIjoiTWFpbCIsIldUIjoyfQ%3D%3D%7C0%7C%7C%7C&amp;amp;sdata=h%2Fzy0ix4gOJLIKJvr00uSmPp69sn8T%2BkQ09fW6RmRNA%3D&amp;amp;reserved=0" TargetMode="External"/><Relationship Id="rId141" Type="http://schemas.openxmlformats.org/officeDocument/2006/relationships/hyperlink" Target="https://onedevelopmentuae-my.sharepoint.com/personal/n_araujo_oneuae_com/Documents/Desktop/Norton-Local/Requests/Rejected%20Bookings/Booking-844%20-%20Booking%20Rejection%20Request.msg" TargetMode="External"/><Relationship Id="rId142" Type="http://schemas.openxmlformats.org/officeDocument/2006/relationships/hyperlink" Target="https://power-speed-215.lightning.force.com/lightning/r/04iJ6000000lO3hIAE/view" TargetMode="External"/><Relationship Id="rId143" Type="http://schemas.openxmlformats.org/officeDocument/2006/relationships/hyperlink" Target="https://onedevelopmentuae-my.sharepoint.com/personal/n_araujo_oneuae_com/Documents/Desktop/Norton-Local/Requests/Rejected%20Bookings/Booking-804%20%26amp%3B%20Booking-806%20-%20Booking%20Rejection%20Request.msg" TargetMode="External"/><Relationship Id="rId144" Type="http://schemas.openxmlformats.org/officeDocument/2006/relationships/hyperlink" Target="https://power-speed-215.lightning.force.com/lightning/r/04iJ6000000lO3mIAE/view" TargetMode="External"/><Relationship Id="rId145" Type="http://schemas.openxmlformats.org/officeDocument/2006/relationships/hyperlink" Target="https://onedevelopmentuae-my.sharepoint.com/personal/n_araujo_oneuae_com/Documents/Desktop/Norton-Local/Requests/Rejected%20Bookings/Booking-804%20%26amp%3B%20Booking-806%20-%20Booking%20Rejection%20Request.msg" TargetMode="External"/><Relationship Id="rId146" Type="http://schemas.openxmlformats.org/officeDocument/2006/relationships/hyperlink" Target="https://power-speed-215.lightning.force.com/lightning/r/04iJ6000000lNDgIAM/view" TargetMode="External"/><Relationship Id="rId147" Type="http://schemas.openxmlformats.org/officeDocument/2006/relationships/hyperlink" Target="https://onedevelopmentuae-my.sharepoint.com/personal/n_araujo_oneuae_com/Documents/Desktop/Norton-Local/Requests/Rejected%20Bookings/Booking-795%20-%20Booking%20Rejection%20Request.msg" TargetMode="External"/><Relationship Id="rId148" Type="http://schemas.openxmlformats.org/officeDocument/2006/relationships/hyperlink" Target="https://power-speed-215.lightning.force.com/lightning/r/04iJ6000000lNgnIAE/view" TargetMode="External"/><Relationship Id="rId149" Type="http://schemas.openxmlformats.org/officeDocument/2006/relationships/hyperlink" Target="https://onedevelopmentuae-my.sharepoint.com/personal/n_araujo_oneuae_com/Documents/Desktop/Norton-Local/Requests/Rejected%20Bookings/Booking-786%20-%20Booking%20Rejection%20Request.msg" TargetMode="External"/><Relationship Id="rId150" Type="http://schemas.openxmlformats.org/officeDocument/2006/relationships/hyperlink" Target="https://power-speed-215.lightning.force.com/lightning/r/04iJ6000000lNDWIA2/view" TargetMode="External"/><Relationship Id="rId151" Type="http://schemas.openxmlformats.org/officeDocument/2006/relationships/hyperlink" Target="https://onedevelopmentuae-my.sharepoint.com/personal/n_araujo_oneuae_com/Documents/Desktop/Norton-Local/Requests/Rejected%20Bookings/Booking-734%20%26amp%3B%20Booking-735%20-%20Booking%20Rejection%20Request.msg" TargetMode="External"/><Relationship Id="rId152" Type="http://schemas.openxmlformats.org/officeDocument/2006/relationships/hyperlink" Target="https://power-speed-215.lightning.force.com/lightning/r/04iJ6000000lNDMIA2/view" TargetMode="External"/><Relationship Id="rId153" Type="http://schemas.openxmlformats.org/officeDocument/2006/relationships/hyperlink" Target="https://onedevelopmentuae-my.sharepoint.com/personal/n_araujo_oneuae_com/Documents/Desktop/Norton-Local/Requests/Rejected%20Bookings/Booking-734%20%26amp%3B%20Booking-735%20-%20Booking%20Rejection%20Request.msg" TargetMode="External"/><Relationship Id="rId154" Type="http://schemas.openxmlformats.org/officeDocument/2006/relationships/hyperlink" Target="https://power-speed-215.lightning.force.com/lightning/r/04iJ6000000lMpFIAU/view" TargetMode="External"/><Relationship Id="rId155" Type="http://schemas.openxmlformats.org/officeDocument/2006/relationships/hyperlink" Target="https://onedevelopmentuae-my.sharepoint.com/personal/n_araujo_oneuae_com/Documents/Desktop/Norton-Local/Requests/Rejected%20Bookings/Booking-722%20-%20Booking%20Rejection%20Request.msg" TargetMode="External"/><Relationship Id="rId156" Type="http://schemas.openxmlformats.org/officeDocument/2006/relationships/hyperlink" Target="https://power-speed-215.lightning.force.com/lightning/r/04iJ6000000lNgTIAU/view" TargetMode="External"/><Relationship Id="rId157" Type="http://schemas.openxmlformats.org/officeDocument/2006/relationships/hyperlink" Target="https://onedevelopmentuae-my.sharepoint.com/personal/n_araujo_oneuae_com/Documents/Desktop/Norton-Local/Requests/Rejected%20Bookings/Booking-541%20-%20Booking%20Rejection%20Request.msg" TargetMode="External"/><Relationship Id="rId158" Type="http://schemas.openxmlformats.org/officeDocument/2006/relationships/hyperlink" Target="https://power-speed-215.lightning.force.com/lightning/r/04iJ6000000lNgiIAE/view" TargetMode="External"/><Relationship Id="rId159" Type="http://schemas.openxmlformats.org/officeDocument/2006/relationships/hyperlink" Target="https://onedevelopmentuae-my.sharepoint.com/personal/n_araujo_oneuae_com/Documents/Desktop/Norton-Local/Requests/Rejected%20Bookings/Booking-208%20-%20Booking%20Rejection%20Request.msg" TargetMode="External"/><Relationship Id="rId160" Type="http://schemas.openxmlformats.org/officeDocument/2006/relationships/vmlDrawing" Target="../drawings/vmlDrawing1.vml"/><Relationship Id="rId16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B1:AF154"/>
  <sheetViews>
    <sheetView workbookViewId="0" rightToLeft="0"/>
  </sheetViews>
  <sheetData>
    <row r="1">
      <c r="B1" t="str">
        <v>Month</v>
      </c>
      <c r="C1" t="str">
        <v>Date Submitted</v>
      </c>
      <c r="D1" t="str">
        <v>Rejected Date</v>
      </c>
      <c r="E1" t="str">
        <v>Booking Name</v>
      </c>
      <c r="F1" t="str">
        <v>Status</v>
      </c>
      <c r="G1" t="str">
        <v>Booking Date</v>
      </c>
      <c r="H1" t="str">
        <v>Aging</v>
      </c>
      <c r="I1" t="str">
        <v>Project Name</v>
      </c>
      <c r="J1" t="str">
        <v>Building</v>
      </c>
      <c r="K1" t="str">
        <v>Bedrooms</v>
      </c>
      <c r="L1" t="str">
        <v>Unit No.</v>
      </c>
      <c r="M1" t="str">
        <v>Inventory Unit Status</v>
      </c>
      <c r="N1" t="str">
        <v>Booking Status</v>
      </c>
      <c r="O1" t="str">
        <v>Customer Name</v>
      </c>
      <c r="P1" t="str">
        <v>Nationality</v>
      </c>
      <c r="Q1" t="str">
        <v>Discount Amount</v>
      </c>
      <c r="R1" t="str">
        <v>Discount Percentage</v>
      </c>
      <c r="S1" t="str">
        <v>Final Sale Value After Discount</v>
      </c>
      <c r="T1" t="str">
        <v>Inv Final Sale Value</v>
      </c>
      <c r="U1" t="str">
        <v>Sales</v>
      </c>
      <c r="V1" t="str">
        <v>Agency Name</v>
      </c>
      <c r="W1" t="str">
        <v>Booking ID</v>
      </c>
      <c r="X1" t="str">
        <v>Oracle Id</v>
      </c>
      <c r="Y1" t="str">
        <v>Spot Cash</v>
      </c>
      <c r="Z1" t="str">
        <v>Customer Paid</v>
      </c>
      <c r="AA1" t="str">
        <v>%</v>
      </c>
      <c r="AB1" t="str">
        <v>Refund</v>
      </c>
      <c r="AC1" t="str">
        <v>Reason</v>
      </c>
      <c r="AD1" t="str">
        <v>Supporting | Related Email</v>
      </c>
      <c r="AE1" t="str">
        <v>Summary</v>
      </c>
      <c r="AF1" t="str">
        <v>Additional Remarks</v>
      </c>
    </row>
    <row r="2">
      <c r="B2" t="str">
        <v>February</v>
      </c>
      <c r="C2">
        <v>46059</v>
      </c>
      <c r="D2">
        <f>XLOOKUP(E2,[1]!Bookings[Booking Name],[1]!Bookings[Rejected Date])</f>
        <v>0</v>
      </c>
      <c r="E2" t="str">
        <v>Booking-1475</v>
      </c>
      <c r="F2" t="str">
        <f>XLOOKUP(E2,[1]!Bookings[Booking Name],[1]!Bookings[Booking Status])</f>
        <v>DP Paid</v>
      </c>
      <c r="G2">
        <f>XLOOKUP(E2,[1]!Bookings[Booking Name],[1]!Bookings[Booking Date])</f>
        <v>46043</v>
      </c>
      <c r="H2">
        <f>XLOOKUP(E2,[1]!Bookings[Booking Name],[1]!Bookings[Booking Aging])</f>
        <v>16</v>
      </c>
      <c r="I2" t="str">
        <f>XLOOKUP(E2,[1]!Bookings[Booking Name],[1]!Bookings[Project Name])</f>
        <v>One Residence</v>
      </c>
      <c r="J2" t="str">
        <f>XLOOKUP(E2,[1]!Bookings[Booking Name],[1]!Bookings[Building])</f>
        <v>Tower 1</v>
      </c>
      <c r="K2" t="str">
        <f>XLOOKUP(E2,[1]!Bookings[Booking Name],[1]!Bookings[Bedrooms])</f>
        <v>2 BR</v>
      </c>
      <c r="L2" t="str">
        <f>XLOOKUP(E2,[1]!Bookings[Booking Name],[1]!Bookings[Unit No.])</f>
        <v>OR-1309</v>
      </c>
      <c r="M2" t="str">
        <f>XLOOKUP(E2,[1]!Bookings[Booking Name],[1]!Bookings[Inventory Unit Status])</f>
        <v>Booked</v>
      </c>
      <c r="N2" t="str">
        <f>XLOOKUP(E2,[1]!Bookings[Booking Name],[1]!Bookings[Booking Status])</f>
        <v>DP Paid</v>
      </c>
      <c r="O2" t="str">
        <f>XLOOKUP(E2,[1]!Bookings[Booking Name],[1]!Bookings[Customer Name])</f>
        <v>NANIK RAM PARMANAND</v>
      </c>
      <c r="P2" t="str">
        <f>XLOOKUP(E2,[1]!Bookings[Booking Name],[1]!Bookings[Nationality])</f>
        <v>Pakistan</v>
      </c>
      <c r="Q2">
        <f>XLOOKUP(E2,[1]!Bookings[Booking Name],[1]!Bookings[Discount Amount])</f>
        <v>0</v>
      </c>
      <c r="R2">
        <f>XLOOKUP(E2,[1]!Bookings[Booking Name],[1]!Bookings[Discount Percentage])</f>
        <v>0</v>
      </c>
      <c r="S2">
        <f>XLOOKUP(E2,[1]!Bookings[Booking Name],[1]!Bookings[Final Sale Value After Discount])</f>
        <v>2390000</v>
      </c>
      <c r="T2">
        <f>XLOOKUP(E2,[1]!Bookings[Booking Name],[1]!Bookings[Inv Final Sale Value])</f>
        <v>2390000</v>
      </c>
      <c r="U2" t="str">
        <f>XLOOKUP(E2,[1]!Bookings[Booking Name],[1]!Bookings[Sales])</f>
        <v>Amr Abdelghafar</v>
      </c>
      <c r="V2" t="str">
        <f>XLOOKUP(E2,[1]!Bookings[Booking Name],[1]!Bookings[Agency Name])</f>
        <v>Property Shop Investment LLC</v>
      </c>
      <c r="W2" t="str">
        <f>XLOOKUP(E2,[1]!Bookings[Booking Name],[1]!Bookings[Booking ID])</f>
        <v>a03NM00000Tz4vu</v>
      </c>
      <c r="X2" t="str">
        <f>XLOOKUP(E2,[1]!Bookings[Booking Name],[1]!Bookings[Oracle Id])</f>
        <v>-</v>
      </c>
      <c r="Z2" t="str">
        <v>No Payment</v>
      </c>
      <c r="AA2">
        <v>0</v>
      </c>
      <c r="AB2" t="str">
        <v>No</v>
      </c>
      <c r="AC2" t="str">
        <v>Cancelled due to Repricing</v>
      </c>
      <c r="AD2" t="str">
        <v>https://onedevelopmentuae-my.sharepoint.com/personal/n_araujo_oneuae_com/Documents/Desktop/Norton-Local/Requests/Rejected%20Bookings/Booking-1475-%20Booking%20Rejection%20Request.msg</v>
      </c>
      <c r="AE2" t="str">
        <v>Cancelled due to Price Revision</v>
      </c>
      <c r="AF2" t="str">
        <v>Cancelled due to Price Revision - Reduction on total area</v>
      </c>
    </row>
    <row r="3">
      <c r="B3" t="str">
        <v>February</v>
      </c>
      <c r="C3">
        <v>46059</v>
      </c>
      <c r="D3">
        <f>XLOOKUP(E3,[1]!Bookings[Booking Name],[1]!Bookings[Rejected Date])</f>
        <v>0</v>
      </c>
      <c r="E3" t="str">
        <v>Booking-1436</v>
      </c>
      <c r="F3" t="str">
        <f>XLOOKUP(E3,[1]!Bookings[Booking Name],[1]!Bookings[Booking Status])</f>
        <v>Draft</v>
      </c>
      <c r="G3">
        <f>XLOOKUP(E3,[1]!Bookings[Booking Name],[1]!Bookings[Booking Date])</f>
        <v>46034</v>
      </c>
      <c r="H3">
        <f>XLOOKUP(E3,[1]!Bookings[Booking Name],[1]!Bookings[Booking Aging])</f>
        <v>25</v>
      </c>
      <c r="I3" t="str">
        <f>XLOOKUP(E3,[1]!Bookings[Booking Name],[1]!Bookings[Project Name])</f>
        <v>One Residence</v>
      </c>
      <c r="J3" t="str">
        <f>XLOOKUP(E3,[1]!Bookings[Booking Name],[1]!Bookings[Building])</f>
        <v>Tower 1</v>
      </c>
      <c r="K3" t="str">
        <f>XLOOKUP(E3,[1]!Bookings[Booking Name],[1]!Bookings[Bedrooms])</f>
        <v>2 BR</v>
      </c>
      <c r="L3" t="str">
        <f>XLOOKUP(E3,[1]!Bookings[Booking Name],[1]!Bookings[Unit No.])</f>
        <v>OR-1306</v>
      </c>
      <c r="M3" t="str">
        <f>XLOOKUP(E3,[1]!Bookings[Booking Name],[1]!Bookings[Inventory Unit Status])</f>
        <v>Booked</v>
      </c>
      <c r="N3" t="str">
        <f>XLOOKUP(E3,[1]!Bookings[Booking Name],[1]!Bookings[Booking Status])</f>
        <v>Draft</v>
      </c>
      <c r="O3" t="str">
        <f>XLOOKUP(E3,[1]!Bookings[Booking Name],[1]!Bookings[Customer Name])</f>
        <v>Wasim Rafique Shaikh</v>
      </c>
      <c r="P3" t="str">
        <f>XLOOKUP(E3,[1]!Bookings[Booking Name],[1]!Bookings[Nationality])</f>
        <v>India</v>
      </c>
      <c r="Q3">
        <f>XLOOKUP(E3,[1]!Bookings[Booking Name],[1]!Bookings[Discount Amount])</f>
        <v>28920</v>
      </c>
      <c r="R3">
        <f>XLOOKUP(E3,[1]!Bookings[Booking Name],[1]!Bookings[Discount Percentage])</f>
        <v>0.011568</v>
      </c>
      <c r="S3">
        <f>XLOOKUP(E3,[1]!Bookings[Booking Name],[1]!Bookings[Final Sale Value After Discount])</f>
        <v>2471080</v>
      </c>
      <c r="T3">
        <f>XLOOKUP(E3,[1]!Bookings[Booking Name],[1]!Bookings[Inv Final Sale Value])</f>
        <v>2500000</v>
      </c>
      <c r="U3" t="str">
        <f>XLOOKUP(E3,[1]!Bookings[Booking Name],[1]!Bookings[Sales])</f>
        <v>Amr Abdelghafar</v>
      </c>
      <c r="V3" t="str">
        <f>XLOOKUP(E3,[1]!Bookings[Booking Name],[1]!Bookings[Agency Name])</f>
        <v>PARKER PREMIER REAL  ESTATE L.L.C.</v>
      </c>
      <c r="W3" t="str">
        <f>XLOOKUP(E3,[1]!Bookings[Booking Name],[1]!Bookings[Booking ID])</f>
        <v>a03NM00000T48JH</v>
      </c>
      <c r="X3" t="str">
        <f>XLOOKUP(E3,[1]!Bookings[Booking Name],[1]!Bookings[Oracle Id])</f>
        <v>-</v>
      </c>
      <c r="Z3" t="str">
        <v>No Payment</v>
      </c>
      <c r="AA3">
        <v>0</v>
      </c>
      <c r="AB3" t="str">
        <v>No</v>
      </c>
      <c r="AC3" t="str">
        <v>Cancelled due to Repricing</v>
      </c>
      <c r="AD3" t="str">
        <v>https://onedevelopmentuae-my.sharepoint.com/personal/n_araujo_oneuae_com/Documents/Desktop/Norton-Local/Requests/Rejected%20Bookings/Booking-1436%20-%20Booking%20Rejection%20Request.msg</v>
      </c>
      <c r="AE3" t="str">
        <v>Cancelled due to Price Revision</v>
      </c>
      <c r="AF3" t="str">
        <v>Cancelled due to Price Revision - Reduction on total area</v>
      </c>
    </row>
    <row r="4">
      <c r="B4" t="str">
        <v>February</v>
      </c>
      <c r="C4">
        <v>46058</v>
      </c>
      <c r="D4">
        <f>XLOOKUP(E4,[1]!Bookings[Booking Name],[1]!Bookings[Rejected Date])</f>
        <v>46058</v>
      </c>
      <c r="E4" t="str">
        <v>Booking-1328</v>
      </c>
      <c r="F4" t="str">
        <f>XLOOKUP(E4,[1]!Bookings[Booking Name],[1]!Bookings[Booking Status])</f>
        <v>Rejected</v>
      </c>
      <c r="G4">
        <f>XLOOKUP(E4,[1]!Bookings[Booking Name],[1]!Bookings[Booking Date])</f>
        <v>46029</v>
      </c>
      <c r="H4">
        <f>XLOOKUP(E4,[1]!Bookings[Booking Name],[1]!Bookings[Booking Aging])</f>
        <v>30</v>
      </c>
      <c r="I4" t="str">
        <f>XLOOKUP(E4,[1]!Bookings[Booking Name],[1]!Bookings[Project Name])</f>
        <v>One Residence</v>
      </c>
      <c r="J4" t="str">
        <f>XLOOKUP(E4,[1]!Bookings[Booking Name],[1]!Bookings[Building])</f>
        <v>Tower 1</v>
      </c>
      <c r="K4" t="str">
        <f>XLOOKUP(E4,[1]!Bookings[Booking Name],[1]!Bookings[Bedrooms])</f>
        <v>1 BR</v>
      </c>
      <c r="L4" t="str">
        <f>XLOOKUP(E4,[1]!Bookings[Booking Name],[1]!Bookings[Unit No.])</f>
        <v>OR-1103</v>
      </c>
      <c r="M4" t="str">
        <f>XLOOKUP(E4,[1]!Bookings[Booking Name],[1]!Bookings[Inventory Unit Status])</f>
        <v>Booked</v>
      </c>
      <c r="N4" t="str">
        <f>XLOOKUP(E4,[1]!Bookings[Booking Name],[1]!Bookings[Booking Status])</f>
        <v>Rejected</v>
      </c>
      <c r="O4" t="str">
        <f>XLOOKUP(E4,[1]!Bookings[Booking Name],[1]!Bookings[Customer Name])</f>
        <v>Haytham Maged Hassan Sabry</v>
      </c>
      <c r="P4" t="str">
        <f>XLOOKUP(E4,[1]!Bookings[Booking Name],[1]!Bookings[Nationality])</f>
        <v>Egypt</v>
      </c>
      <c r="Q4">
        <f>XLOOKUP(E4,[1]!Bookings[Booking Name],[1]!Bookings[Discount Amount])</f>
        <v>-50000</v>
      </c>
      <c r="R4">
        <f>XLOOKUP(E4,[1]!Bookings[Booking Name],[1]!Bookings[Discount Percentage])</f>
        <v>-0.02824858757062147</v>
      </c>
      <c r="S4">
        <f>XLOOKUP(E4,[1]!Bookings[Booking Name],[1]!Bookings[Final Sale Value After Discount])</f>
        <v>1820000</v>
      </c>
      <c r="T4">
        <f>XLOOKUP(E4,[1]!Bookings[Booking Name],[1]!Bookings[Inv Final Sale Value])</f>
        <v>1770000</v>
      </c>
      <c r="U4" t="str">
        <f>XLOOKUP(E4,[1]!Bookings[Booking Name],[1]!Bookings[Sales])</f>
        <v>Feraz Mohamed</v>
      </c>
      <c r="V4" t="str">
        <f>XLOOKUP(E4,[1]!Bookings[Booking Name],[1]!Bookings[Agency Name])</f>
        <v/>
      </c>
      <c r="W4" t="str">
        <f>XLOOKUP(E4,[1]!Bookings[Booking Name],[1]!Bookings[Booking ID])</f>
        <v>a03NM00000SdWuT</v>
      </c>
      <c r="X4" t="str">
        <f>XLOOKUP(E4,[1]!Bookings[Booking Name],[1]!Bookings[Oracle Id])</f>
        <v>-</v>
      </c>
      <c r="Z4">
        <v>182000</v>
      </c>
      <c r="AA4">
        <f>Z4/S4</f>
        <v>0.1</v>
      </c>
      <c r="AB4" t="str">
        <v>No</v>
      </c>
      <c r="AC4" t="str">
        <v>Customer requested to cancel Booking</v>
      </c>
      <c r="AD4" t="str">
        <v>https://onedevelopmentuae-my.sharepoint.com/personal/n_araujo_oneuae_com/Documents/Desktop/Norton-Local/Requests/Rejected%20Bookings/Booking-1328%20-%20Booking%20Rejection%20Request.msg</v>
      </c>
      <c r="AE4" t="str">
        <v>Customer requested to cancel</v>
      </c>
      <c r="AF4" t="str">
        <v>Customer is unable to continue with the Purchase - No Refund</v>
      </c>
    </row>
    <row r="5">
      <c r="B5" t="str">
        <v>February</v>
      </c>
      <c r="C5">
        <v>46058</v>
      </c>
      <c r="D5">
        <f>XLOOKUP(E5,[1]!Bookings[Booking Name],[1]!Bookings[Rejected Date])</f>
        <v>46059</v>
      </c>
      <c r="E5" t="str">
        <v>Booking-1222</v>
      </c>
      <c r="F5" t="str">
        <f>XLOOKUP(E5,[1]!Bookings[Booking Name],[1]!Bookings[Booking Status])</f>
        <v>Rejected</v>
      </c>
      <c r="G5">
        <f>XLOOKUP(E5,[1]!Bookings[Booking Name],[1]!Bookings[Booking Date])</f>
        <v>45986</v>
      </c>
      <c r="H5">
        <f>XLOOKUP(E5,[1]!Bookings[Booking Name],[1]!Bookings[Booking Aging])</f>
        <v>73</v>
      </c>
      <c r="I5" t="str">
        <f>XLOOKUP(E5,[1]!Bookings[Booking Name],[1]!Bookings[Project Name])</f>
        <v>Laguna Residence</v>
      </c>
      <c r="J5" t="str">
        <f>XLOOKUP(E5,[1]!Bookings[Booking Name],[1]!Bookings[Building])</f>
        <v>Tower B</v>
      </c>
      <c r="K5" t="str">
        <f>XLOOKUP(E5,[1]!Bookings[Booking Name],[1]!Bookings[Bedrooms])</f>
        <v>Studio</v>
      </c>
      <c r="L5" t="str">
        <f>XLOOKUP(E5,[1]!Bookings[Booking Name],[1]!Bookings[Unit No.])</f>
        <v>B419</v>
      </c>
      <c r="M5" t="str">
        <f>XLOOKUP(E5,[1]!Bookings[Booking Name],[1]!Bookings[Inventory Unit Status])</f>
        <v>Blocked</v>
      </c>
      <c r="N5" t="str">
        <f>XLOOKUP(E5,[1]!Bookings[Booking Name],[1]!Bookings[Booking Status])</f>
        <v>Rejected</v>
      </c>
      <c r="O5" t="str">
        <f>XLOOKUP(E5,[1]!Bookings[Booking Name],[1]!Bookings[Customer Name])</f>
        <v>Nader Ahmed Samy Abdelfattah Ayoub</v>
      </c>
      <c r="P5" t="str">
        <f>XLOOKUP(E5,[1]!Bookings[Booking Name],[1]!Bookings[Nationality])</f>
        <v>Egypt</v>
      </c>
      <c r="Q5">
        <f>XLOOKUP(E5,[1]!Bookings[Booking Name],[1]!Bookings[Discount Amount])</f>
        <v>0</v>
      </c>
      <c r="R5">
        <f>XLOOKUP(E5,[1]!Bookings[Booking Name],[1]!Bookings[Discount Percentage])</f>
        <v>0</v>
      </c>
      <c r="S5">
        <f>XLOOKUP(E5,[1]!Bookings[Booking Name],[1]!Bookings[Final Sale Value After Discount])</f>
        <v>790000</v>
      </c>
      <c r="T5">
        <f>XLOOKUP(E5,[1]!Bookings[Booking Name],[1]!Bookings[Inv Final Sale Value])</f>
        <v>790000</v>
      </c>
      <c r="U5" t="str">
        <f>XLOOKUP(E5,[1]!Bookings[Booking Name],[1]!Bookings[Sales])</f>
        <v>Claire Moussa</v>
      </c>
      <c r="V5" t="str">
        <f>XLOOKUP(E5,[1]!Bookings[Booking Name],[1]!Bookings[Agency Name])</f>
        <v/>
      </c>
      <c r="W5" t="str">
        <f>XLOOKUP(E5,[1]!Bookings[Booking Name],[1]!Bookings[Booking ID])</f>
        <v>a03NM00000Npv74</v>
      </c>
      <c r="X5" t="str">
        <f>XLOOKUP(E5,[1]!Bookings[Booking Name],[1]!Bookings[Oracle Id])</f>
        <v>-</v>
      </c>
      <c r="Z5">
        <v>38500</v>
      </c>
      <c r="AA5">
        <f>Z5/S5</f>
        <v>0.048734177215189876</v>
      </c>
      <c r="AB5" t="str">
        <v>No</v>
      </c>
      <c r="AC5" t="str">
        <v>Cancelled due to Non Payment</v>
      </c>
      <c r="AD5" t="str">
        <v>https://onedevelopmentuae-my.sharepoint.com/personal/n_araujo_oneuae_com/Documents/Desktop/Norton-Local/Requests/Rejected%20Bookings/Booking-1222%20-%20Booking%20Rejection%20Request.msg</v>
      </c>
      <c r="AE5" t="str">
        <v>Cancelled due to Non Payment</v>
      </c>
      <c r="AF5" t="str">
        <v>Cancellation Request raised by Sales Operations Team</v>
      </c>
    </row>
    <row r="6">
      <c r="B6" t="str">
        <v>February</v>
      </c>
      <c r="C6">
        <v>46057</v>
      </c>
      <c r="D6">
        <f>XLOOKUP(E6,[1]!Bookings[Booking Name],[1]!Bookings[Rejected Date])</f>
        <v>0</v>
      </c>
      <c r="E6" t="str">
        <v>Booking-1510</v>
      </c>
      <c r="F6" t="str">
        <f>XLOOKUP(E6,[1]!Bookings[Booking Name],[1]!Bookings[Booking Status])</f>
        <v>Draft</v>
      </c>
      <c r="G6">
        <f>XLOOKUP(E6,[1]!Bookings[Booking Name],[1]!Bookings[Booking Date])</f>
        <v>46057</v>
      </c>
      <c r="H6">
        <f>XLOOKUP(E6,[1]!Bookings[Booking Name],[1]!Bookings[Booking Aging])</f>
        <v>2</v>
      </c>
      <c r="I6" t="str">
        <f>XLOOKUP(E6,[1]!Bookings[Booking Name],[1]!Bookings[Project Name])</f>
        <v>One Residence</v>
      </c>
      <c r="J6" t="str">
        <f>XLOOKUP(E6,[1]!Bookings[Booking Name],[1]!Bookings[Building])</f>
        <v>Tower 1</v>
      </c>
      <c r="K6" t="str">
        <f>XLOOKUP(E6,[1]!Bookings[Booking Name],[1]!Bookings[Bedrooms])</f>
        <v>2 BR</v>
      </c>
      <c r="L6" t="str">
        <f>XLOOKUP(E6,[1]!Bookings[Booking Name],[1]!Bookings[Unit No.])</f>
        <v>OR-2406</v>
      </c>
      <c r="M6" t="str">
        <f>XLOOKUP(E6,[1]!Bookings[Booking Name],[1]!Bookings[Inventory Unit Status])</f>
        <v>Booked</v>
      </c>
      <c r="N6" t="str">
        <f>XLOOKUP(E6,[1]!Bookings[Booking Name],[1]!Bookings[Booking Status])</f>
        <v>Draft</v>
      </c>
      <c r="O6" t="str">
        <f>XLOOKUP(E6,[1]!Bookings[Booking Name],[1]!Bookings[Customer Name])</f>
        <v>Qingshuang Meng</v>
      </c>
      <c r="P6" t="str">
        <f>XLOOKUP(E6,[1]!Bookings[Booking Name],[1]!Bookings[Nationality])</f>
        <v>China</v>
      </c>
      <c r="Q6">
        <f>XLOOKUP(E6,[1]!Bookings[Booking Name],[1]!Bookings[Discount Amount])</f>
        <v>0</v>
      </c>
      <c r="R6">
        <f>XLOOKUP(E6,[1]!Bookings[Booking Name],[1]!Bookings[Discount Percentage])</f>
        <v>0</v>
      </c>
      <c r="S6">
        <f>XLOOKUP(E6,[1]!Bookings[Booking Name],[1]!Bookings[Final Sale Value After Discount])</f>
        <v>2500000</v>
      </c>
      <c r="T6">
        <f>XLOOKUP(E6,[1]!Bookings[Booking Name],[1]!Bookings[Inv Final Sale Value])</f>
        <v>2500000</v>
      </c>
      <c r="U6" t="str">
        <f>XLOOKUP(E6,[1]!Bookings[Booking Name],[1]!Bookings[Sales])</f>
        <v>Yang XI</v>
      </c>
      <c r="V6" t="str">
        <f>XLOOKUP(E6,[1]!Bookings[Booking Name],[1]!Bookings[Agency Name])</f>
        <v>DIYI REAL ESTATE L.L.C</v>
      </c>
      <c r="W6" t="str">
        <f>XLOOKUP(E6,[1]!Bookings[Booking Name],[1]!Bookings[Booking ID])</f>
        <v>a03NM00000VKcfI</v>
      </c>
      <c r="X6" t="str">
        <f>XLOOKUP(E6,[1]!Bookings[Booking Name],[1]!Bookings[Oracle Id])</f>
        <v>-</v>
      </c>
      <c r="Z6" t="str">
        <v>No Payment</v>
      </c>
      <c r="AA6">
        <v>0</v>
      </c>
      <c r="AB6" t="str">
        <v>No</v>
      </c>
      <c r="AC6" t="str">
        <v>Unit Swapped with OR-1106 as approved by Management</v>
      </c>
      <c r="AD6" t="str">
        <v>https://onedevelopmentuae-my.sharepoint.com/personal/n_araujo_oneuae_com/Documents/Desktop/Norton-Local/Requests/Rejected%20Bookings/Booking-1510%20-%20Booking%20Rejection%20Request.msg</v>
      </c>
      <c r="AE6" t="str">
        <v>Unit Swap - Approved by Management</v>
      </c>
      <c r="AF6" t="str">
        <v>Swapped from OR-2406 to OR-1106</v>
      </c>
    </row>
    <row r="7">
      <c r="B7" t="str">
        <v>February</v>
      </c>
      <c r="C7">
        <v>46055</v>
      </c>
      <c r="D7">
        <f>XLOOKUP(E7,[1]!Bookings[Booking Name],[1]!Bookings[Rejected Date])</f>
        <v>46056</v>
      </c>
      <c r="E7" t="str">
        <v>Booking-1450</v>
      </c>
      <c r="F7" t="str">
        <f>XLOOKUP(E7,[1]!Bookings[Booking Name],[1]!Bookings[Booking Status])</f>
        <v>Rejected</v>
      </c>
      <c r="G7">
        <f>XLOOKUP(E7,[1]!Bookings[Booking Name],[1]!Bookings[Booking Date])</f>
        <v>46035</v>
      </c>
      <c r="H7">
        <f>XLOOKUP(E7,[1]!Bookings[Booking Name],[1]!Bookings[Booking Aging])</f>
        <v>24</v>
      </c>
      <c r="I7" t="str">
        <f>XLOOKUP(E7,[1]!Bookings[Booking Name],[1]!Bookings[Project Name])</f>
        <v>Laguna Residence</v>
      </c>
      <c r="J7" t="str">
        <f>XLOOKUP(E7,[1]!Bookings[Booking Name],[1]!Bookings[Building])</f>
        <v>Tower A</v>
      </c>
      <c r="K7" t="str">
        <f>XLOOKUP(E7,[1]!Bookings[Booking Name],[1]!Bookings[Bedrooms])</f>
        <v>1 Bedroom</v>
      </c>
      <c r="L7" t="str">
        <f>XLOOKUP(E7,[1]!Bookings[Booking Name],[1]!Bookings[Unit No.])</f>
        <v>A3307</v>
      </c>
      <c r="M7" t="str">
        <f>XLOOKUP(E7,[1]!Bookings[Booking Name],[1]!Bookings[Inventory Unit Status])</f>
        <v>Blocked</v>
      </c>
      <c r="N7" t="str">
        <f>XLOOKUP(E7,[1]!Bookings[Booking Name],[1]!Bookings[Booking Status])</f>
        <v>Rejected</v>
      </c>
      <c r="O7" t="str">
        <f>XLOOKUP(E7,[1]!Bookings[Booking Name],[1]!Bookings[Customer Name])</f>
        <v>PENGJUN LIU</v>
      </c>
      <c r="P7" t="str">
        <f>XLOOKUP(E7,[1]!Bookings[Booking Name],[1]!Bookings[Nationality])</f>
        <v>China</v>
      </c>
      <c r="Q7">
        <f>XLOOKUP(E7,[1]!Bookings[Booking Name],[1]!Bookings[Discount Amount])</f>
        <v>0</v>
      </c>
      <c r="R7">
        <f>XLOOKUP(E7,[1]!Bookings[Booking Name],[1]!Bookings[Discount Percentage])</f>
        <v>0</v>
      </c>
      <c r="S7">
        <f>XLOOKUP(E7,[1]!Bookings[Booking Name],[1]!Bookings[Final Sale Value After Discount])</f>
        <v>1456000</v>
      </c>
      <c r="T7">
        <f>XLOOKUP(E7,[1]!Bookings[Booking Name],[1]!Bookings[Inv Final Sale Value])</f>
        <v>1456000</v>
      </c>
      <c r="U7" t="str">
        <f>XLOOKUP(E7,[1]!Bookings[Booking Name],[1]!Bookings[Sales])</f>
        <v>Yang XI</v>
      </c>
      <c r="V7" t="str">
        <f>XLOOKUP(E7,[1]!Bookings[Booking Name],[1]!Bookings[Agency Name])</f>
        <v/>
      </c>
      <c r="W7" t="str">
        <f>XLOOKUP(E7,[1]!Bookings[Booking Name],[1]!Bookings[Booking ID])</f>
        <v>a03NM00000TBpGK</v>
      </c>
      <c r="X7" t="str">
        <f>XLOOKUP(E7,[1]!Bookings[Booking Name],[1]!Bookings[Oracle Id])</f>
        <v>-</v>
      </c>
      <c r="Z7">
        <v>10000</v>
      </c>
      <c r="AA7">
        <v>0.006868131868131868</v>
      </c>
      <c r="AB7" t="str">
        <v>No</v>
      </c>
      <c r="AC7" t="str">
        <v>Cancelled due to Non Payment</v>
      </c>
      <c r="AD7" t="str">
        <v>https://onedevelopmentuae-my.sharepoint.com/personal/n_araujo_oneuae_com/Documents/Desktop/Norton-Local/Requests/Rejected%20Bookings/Booking-1450%20-%20Booking%20Rejection%20Request.pdf</v>
      </c>
      <c r="AE7" t="str">
        <v>Cancelled due to Non Payment</v>
      </c>
      <c r="AF7" t="str">
        <v>Cancellation Request raised by Sales Operations Team</v>
      </c>
    </row>
    <row r="8">
      <c r="B8" t="str">
        <v>February</v>
      </c>
      <c r="C8">
        <v>46055</v>
      </c>
      <c r="D8">
        <f>XLOOKUP(E8,[1]!Bookings[Booking Name],[1]!Bookings[Rejected Date])</f>
        <v>46056</v>
      </c>
      <c r="E8" t="str">
        <v>Booking-1449</v>
      </c>
      <c r="F8" t="str">
        <f>XLOOKUP(E8,[1]!Bookings[Booking Name],[1]!Bookings[Booking Status])</f>
        <v>Rejected</v>
      </c>
      <c r="G8">
        <f>XLOOKUP(E8,[1]!Bookings[Booking Name],[1]!Bookings[Booking Date])</f>
        <v>46035</v>
      </c>
      <c r="H8">
        <f>XLOOKUP(E8,[1]!Bookings[Booking Name],[1]!Bookings[Booking Aging])</f>
        <v>24</v>
      </c>
      <c r="I8" t="str">
        <f>XLOOKUP(E8,[1]!Bookings[Booking Name],[1]!Bookings[Project Name])</f>
        <v>Laguna Residence</v>
      </c>
      <c r="J8" t="str">
        <f>XLOOKUP(E8,[1]!Bookings[Booking Name],[1]!Bookings[Building])</f>
        <v>Tower B</v>
      </c>
      <c r="K8" t="str">
        <f>XLOOKUP(E8,[1]!Bookings[Booking Name],[1]!Bookings[Bedrooms])</f>
        <v>Studio</v>
      </c>
      <c r="L8" t="str">
        <f>XLOOKUP(E8,[1]!Bookings[Booking Name],[1]!Bookings[Unit No.])</f>
        <v>B714</v>
      </c>
      <c r="M8" t="str">
        <f>XLOOKUP(E8,[1]!Bookings[Booking Name],[1]!Bookings[Inventory Unit Status])</f>
        <v>Blocked</v>
      </c>
      <c r="N8" t="str">
        <f>XLOOKUP(E8,[1]!Bookings[Booking Name],[1]!Bookings[Booking Status])</f>
        <v>Rejected</v>
      </c>
      <c r="O8" t="str">
        <f>XLOOKUP(E8,[1]!Bookings[Booking Name],[1]!Bookings[Customer Name])</f>
        <v>PENGJUN LIU</v>
      </c>
      <c r="P8" t="str">
        <f>XLOOKUP(E8,[1]!Bookings[Booking Name],[1]!Bookings[Nationality])</f>
        <v>China</v>
      </c>
      <c r="Q8">
        <f>XLOOKUP(E8,[1]!Bookings[Booking Name],[1]!Bookings[Discount Amount])</f>
        <v>0</v>
      </c>
      <c r="R8">
        <f>XLOOKUP(E8,[1]!Bookings[Booking Name],[1]!Bookings[Discount Percentage])</f>
        <v>0</v>
      </c>
      <c r="S8">
        <f>XLOOKUP(E8,[1]!Bookings[Booking Name],[1]!Bookings[Final Sale Value After Discount])</f>
        <v>832000</v>
      </c>
      <c r="T8">
        <f>XLOOKUP(E8,[1]!Bookings[Booking Name],[1]!Bookings[Inv Final Sale Value])</f>
        <v>832000</v>
      </c>
      <c r="U8" t="str">
        <f>XLOOKUP(E8,[1]!Bookings[Booking Name],[1]!Bookings[Sales])</f>
        <v>Yang XI</v>
      </c>
      <c r="V8" t="str">
        <f>XLOOKUP(E8,[1]!Bookings[Booking Name],[1]!Bookings[Agency Name])</f>
        <v/>
      </c>
      <c r="W8" t="str">
        <f>XLOOKUP(E8,[1]!Bookings[Booking Name],[1]!Bookings[Booking ID])</f>
        <v>a03NM00000TCRLV</v>
      </c>
      <c r="X8" t="str">
        <f>XLOOKUP(E8,[1]!Bookings[Booking Name],[1]!Bookings[Oracle Id])</f>
        <v>-</v>
      </c>
      <c r="Z8">
        <v>10000</v>
      </c>
      <c r="AA8">
        <v>0.01201923076923077</v>
      </c>
      <c r="AB8" t="str">
        <v>No</v>
      </c>
      <c r="AC8" t="str">
        <v>Cancelled due to Non Payment</v>
      </c>
      <c r="AD8" t="str">
        <v>https://onedevelopmentuae-my.sharepoint.com/personal/n_araujo_oneuae_com/Documents/Desktop/Norton-Local/Requests/Rejected%20Bookings/Booking-1449%20-%20Booking%20Rejection%20Request.pdf</v>
      </c>
      <c r="AE8" t="str">
        <v>Cancelled due to Non Payment</v>
      </c>
      <c r="AF8" t="str">
        <v>Cancellation Request raised by Sales Operations Team</v>
      </c>
    </row>
    <row r="9">
      <c r="B9" t="str">
        <v>February</v>
      </c>
      <c r="C9">
        <v>46055</v>
      </c>
      <c r="D9">
        <f>XLOOKUP(E9,[1]!Bookings[Booking Name],[1]!Bookings[Rejected Date])</f>
        <v>46056</v>
      </c>
      <c r="E9" t="str">
        <v>Booking-1448</v>
      </c>
      <c r="F9" t="str">
        <f>XLOOKUP(E9,[1]!Bookings[Booking Name],[1]!Bookings[Booking Status])</f>
        <v>Rejected</v>
      </c>
      <c r="G9">
        <f>XLOOKUP(E9,[1]!Bookings[Booking Name],[1]!Bookings[Booking Date])</f>
        <v>46035</v>
      </c>
      <c r="H9">
        <f>XLOOKUP(E9,[1]!Bookings[Booking Name],[1]!Bookings[Booking Aging])</f>
        <v>24</v>
      </c>
      <c r="I9" t="str">
        <f>XLOOKUP(E9,[1]!Bookings[Booking Name],[1]!Bookings[Project Name])</f>
        <v>Laguna Residence</v>
      </c>
      <c r="J9" t="str">
        <f>XLOOKUP(E9,[1]!Bookings[Booking Name],[1]!Bookings[Building])</f>
        <v>Tower A</v>
      </c>
      <c r="K9" t="str">
        <f>XLOOKUP(E9,[1]!Bookings[Booking Name],[1]!Bookings[Bedrooms])</f>
        <v>Studio</v>
      </c>
      <c r="L9" t="str">
        <f>XLOOKUP(E9,[1]!Bookings[Booking Name],[1]!Bookings[Unit No.])</f>
        <v>A1014</v>
      </c>
      <c r="M9" t="str">
        <f>XLOOKUP(E9,[1]!Bookings[Booking Name],[1]!Bookings[Inventory Unit Status])</f>
        <v>Blocked</v>
      </c>
      <c r="N9" t="str">
        <f>XLOOKUP(E9,[1]!Bookings[Booking Name],[1]!Bookings[Booking Status])</f>
        <v>Rejected</v>
      </c>
      <c r="O9" t="str">
        <f>XLOOKUP(E9,[1]!Bookings[Booking Name],[1]!Bookings[Customer Name])</f>
        <v>Li Wang</v>
      </c>
      <c r="P9" t="str">
        <f>XLOOKUP(E9,[1]!Bookings[Booking Name],[1]!Bookings[Nationality])</f>
        <v>China</v>
      </c>
      <c r="Q9">
        <f>XLOOKUP(E9,[1]!Bookings[Booking Name],[1]!Bookings[Discount Amount])</f>
        <v>0</v>
      </c>
      <c r="R9">
        <f>XLOOKUP(E9,[1]!Bookings[Booking Name],[1]!Bookings[Discount Percentage])</f>
        <v>0</v>
      </c>
      <c r="S9">
        <f>XLOOKUP(E9,[1]!Bookings[Booking Name],[1]!Bookings[Final Sale Value After Discount])</f>
        <v>801000</v>
      </c>
      <c r="T9">
        <f>XLOOKUP(E9,[1]!Bookings[Booking Name],[1]!Bookings[Inv Final Sale Value])</f>
        <v>801000</v>
      </c>
      <c r="U9" t="str">
        <f>XLOOKUP(E9,[1]!Bookings[Booking Name],[1]!Bookings[Sales])</f>
        <v>Yang XI</v>
      </c>
      <c r="V9" t="str">
        <f>XLOOKUP(E9,[1]!Bookings[Booking Name],[1]!Bookings[Agency Name])</f>
        <v/>
      </c>
      <c r="W9" t="str">
        <f>XLOOKUP(E9,[1]!Bookings[Booking Name],[1]!Bookings[Booking ID])</f>
        <v>a03NM00000TBiGU</v>
      </c>
      <c r="X9" t="str">
        <f>XLOOKUP(E9,[1]!Bookings[Booking Name],[1]!Bookings[Oracle Id])</f>
        <v>-</v>
      </c>
      <c r="Z9">
        <v>10000</v>
      </c>
      <c r="AA9">
        <v>0.012484394506866416</v>
      </c>
      <c r="AB9" t="str">
        <v>No</v>
      </c>
      <c r="AC9" t="str">
        <v>Cancelled due to Non Payment</v>
      </c>
      <c r="AD9" t="str">
        <v>https://onedevelopmentuae-my.sharepoint.com/personal/n_araujo_oneuae_com/Documents/Desktop/Norton-Local/Requests/Rejected%20Bookings/Booking-1448%20-%20Booking%20Rejection%20Request.pdf</v>
      </c>
      <c r="AE9" t="str">
        <v>Cancelled due to Non Payment</v>
      </c>
      <c r="AF9" t="str">
        <v>Cancellation Request raised by Sales Operations Team</v>
      </c>
    </row>
    <row r="10">
      <c r="B10" t="str">
        <v>February</v>
      </c>
      <c r="C10">
        <v>46055</v>
      </c>
      <c r="D10">
        <f>XLOOKUP(E10,[1]!Bookings[Booking Name],[1]!Bookings[Rejected Date])</f>
        <v>46056</v>
      </c>
      <c r="E10" t="str">
        <v>Booking-1447</v>
      </c>
      <c r="F10" t="str">
        <f>XLOOKUP(E10,[1]!Bookings[Booking Name],[1]!Bookings[Booking Status])</f>
        <v>Rejected</v>
      </c>
      <c r="G10">
        <f>XLOOKUP(E10,[1]!Bookings[Booking Name],[1]!Bookings[Booking Date])</f>
        <v>46035</v>
      </c>
      <c r="H10">
        <f>XLOOKUP(E10,[1]!Bookings[Booking Name],[1]!Bookings[Booking Aging])</f>
        <v>24</v>
      </c>
      <c r="I10" t="str">
        <f>XLOOKUP(E10,[1]!Bookings[Booking Name],[1]!Bookings[Project Name])</f>
        <v>Laguna Residence</v>
      </c>
      <c r="J10" t="str">
        <f>XLOOKUP(E10,[1]!Bookings[Booking Name],[1]!Bookings[Building])</f>
        <v>Tower A</v>
      </c>
      <c r="K10" t="str">
        <f>XLOOKUP(E10,[1]!Bookings[Booking Name],[1]!Bookings[Bedrooms])</f>
        <v>1 Bedroom</v>
      </c>
      <c r="L10" t="str">
        <f>XLOOKUP(E10,[1]!Bookings[Booking Name],[1]!Bookings[Unit No.])</f>
        <v>A3407</v>
      </c>
      <c r="M10" t="str">
        <f>XLOOKUP(E10,[1]!Bookings[Booking Name],[1]!Bookings[Inventory Unit Status])</f>
        <v>Blocked</v>
      </c>
      <c r="N10" t="str">
        <f>XLOOKUP(E10,[1]!Bookings[Booking Name],[1]!Bookings[Booking Status])</f>
        <v>Rejected</v>
      </c>
      <c r="O10" t="str">
        <f>XLOOKUP(E10,[1]!Bookings[Booking Name],[1]!Bookings[Customer Name])</f>
        <v>Li Wang</v>
      </c>
      <c r="P10" t="str">
        <f>XLOOKUP(E10,[1]!Bookings[Booking Name],[1]!Bookings[Nationality])</f>
        <v>China</v>
      </c>
      <c r="Q10">
        <f>XLOOKUP(E10,[1]!Bookings[Booking Name],[1]!Bookings[Discount Amount])</f>
        <v>0</v>
      </c>
      <c r="R10">
        <f>XLOOKUP(E10,[1]!Bookings[Booking Name],[1]!Bookings[Discount Percentage])</f>
        <v>0</v>
      </c>
      <c r="S10">
        <f>XLOOKUP(E10,[1]!Bookings[Booking Name],[1]!Bookings[Final Sale Value After Discount])</f>
        <v>1483000</v>
      </c>
      <c r="T10">
        <f>XLOOKUP(E10,[1]!Bookings[Booking Name],[1]!Bookings[Inv Final Sale Value])</f>
        <v>1483000</v>
      </c>
      <c r="U10" t="str">
        <f>XLOOKUP(E10,[1]!Bookings[Booking Name],[1]!Bookings[Sales])</f>
        <v>Yang XI</v>
      </c>
      <c r="V10" t="str">
        <f>XLOOKUP(E10,[1]!Bookings[Booking Name],[1]!Bookings[Agency Name])</f>
        <v/>
      </c>
      <c r="W10" t="str">
        <f>XLOOKUP(E10,[1]!Bookings[Booking Name],[1]!Bookings[Booking ID])</f>
        <v>a03NM00000TCOlp</v>
      </c>
      <c r="X10" t="str">
        <f>XLOOKUP(E10,[1]!Bookings[Booking Name],[1]!Bookings[Oracle Id])</f>
        <v>-</v>
      </c>
      <c r="Z10">
        <v>10000</v>
      </c>
      <c r="AA10">
        <v>0.006743088334457181</v>
      </c>
      <c r="AB10" t="str">
        <v>No</v>
      </c>
      <c r="AC10" t="str">
        <v>Cancelled due to Non Payment</v>
      </c>
      <c r="AD10" t="str">
        <v>https://onedevelopmentuae-my.sharepoint.com/personal/n_araujo_oneuae_com/Documents/Desktop/Norton-Local/Requests/Rejected%20Bookings/Booking-1447%20-%20Booking%20Rejection%20Request.pdf</v>
      </c>
      <c r="AE10" t="str">
        <v>Cancelled due to Non Payment</v>
      </c>
      <c r="AF10" t="str">
        <v>Cancellation Request raised by Sales Operations Team</v>
      </c>
    </row>
    <row r="11">
      <c r="B11" t="str">
        <v>February</v>
      </c>
      <c r="C11">
        <v>46055</v>
      </c>
      <c r="D11">
        <f>XLOOKUP(E11,[1]!Bookings[Booking Name],[1]!Bookings[Rejected Date])</f>
        <v>46056</v>
      </c>
      <c r="E11" t="str">
        <v>Booking-1441</v>
      </c>
      <c r="F11" t="str">
        <f>XLOOKUP(E11,[1]!Bookings[Booking Name],[1]!Bookings[Booking Status])</f>
        <v>Rejected</v>
      </c>
      <c r="G11">
        <f>XLOOKUP(E11,[1]!Bookings[Booking Name],[1]!Bookings[Booking Date])</f>
        <v>46034</v>
      </c>
      <c r="H11">
        <f>XLOOKUP(E11,[1]!Bookings[Booking Name],[1]!Bookings[Booking Aging])</f>
        <v>25</v>
      </c>
      <c r="I11" t="str">
        <f>XLOOKUP(E11,[1]!Bookings[Booking Name],[1]!Bookings[Project Name])</f>
        <v>Laguna Residence</v>
      </c>
      <c r="J11" t="str">
        <f>XLOOKUP(E11,[1]!Bookings[Booking Name],[1]!Bookings[Building])</f>
        <v>Tower A</v>
      </c>
      <c r="K11" t="str">
        <f>XLOOKUP(E11,[1]!Bookings[Booking Name],[1]!Bookings[Bedrooms])</f>
        <v>2 Bedroom</v>
      </c>
      <c r="L11" t="str">
        <f>XLOOKUP(E11,[1]!Bookings[Booking Name],[1]!Bookings[Unit No.])</f>
        <v>A106</v>
      </c>
      <c r="M11" t="str">
        <f>XLOOKUP(E11,[1]!Bookings[Booking Name],[1]!Bookings[Inventory Unit Status])</f>
        <v>Blocked</v>
      </c>
      <c r="N11" t="str">
        <f>XLOOKUP(E11,[1]!Bookings[Booking Name],[1]!Bookings[Booking Status])</f>
        <v>Rejected</v>
      </c>
      <c r="O11" t="str">
        <f>XLOOKUP(E11,[1]!Bookings[Booking Name],[1]!Bookings[Customer Name])</f>
        <v>Nabeel Mohammad Saeed Khan</v>
      </c>
      <c r="P11" t="str">
        <f>XLOOKUP(E11,[1]!Bookings[Booking Name],[1]!Bookings[Nationality])</f>
        <v>India</v>
      </c>
      <c r="Q11">
        <f>XLOOKUP(E11,[1]!Bookings[Booking Name],[1]!Bookings[Discount Amount])</f>
        <v>119350</v>
      </c>
      <c r="R11">
        <f>XLOOKUP(E11,[1]!Bookings[Booking Name],[1]!Bookings[Discount Percentage])</f>
        <v>0.05</v>
      </c>
      <c r="S11">
        <f>XLOOKUP(E11,[1]!Bookings[Booking Name],[1]!Bookings[Final Sale Value After Discount])</f>
        <v>2267650</v>
      </c>
      <c r="T11">
        <f>XLOOKUP(E11,[1]!Bookings[Booking Name],[1]!Bookings[Inv Final Sale Value])</f>
        <v>2387000</v>
      </c>
      <c r="U11" t="str">
        <f>XLOOKUP(E11,[1]!Bookings[Booking Name],[1]!Bookings[Sales])</f>
        <v>Claire Moussa</v>
      </c>
      <c r="V11" t="str">
        <f>XLOOKUP(E11,[1]!Bookings[Booking Name],[1]!Bookings[Agency Name])</f>
        <v>CHALET INTERNATIONAL REAL ESTATE L.L.C</v>
      </c>
      <c r="W11" t="str">
        <f>XLOOKUP(E11,[1]!Bookings[Booking Name],[1]!Bookings[Booking ID])</f>
        <v>a03NM00000T5SYB</v>
      </c>
      <c r="X11" t="str">
        <f>XLOOKUP(E11,[1]!Bookings[Booking Name],[1]!Bookings[Oracle Id])</f>
        <v>-</v>
      </c>
      <c r="Z11">
        <v>5000</v>
      </c>
      <c r="AA11">
        <v>0.002204925804246687</v>
      </c>
      <c r="AB11" t="str">
        <v>Yes</v>
      </c>
      <c r="AC11" t="str">
        <v>Cancelled due to Non Payment</v>
      </c>
      <c r="AD11" t="str">
        <v>https://onedevelopmentuae-my.sharepoint.com/personal/n_araujo_oneuae_com/Documents/Desktop/Norton-Local/Requests/Rejected%20Bookings/Booking-1441%20-%20Booking%20Rejection%20Request.msg</v>
      </c>
      <c r="AE11" t="str">
        <v>Cancelled due to Non Payment</v>
      </c>
      <c r="AF11" t="str">
        <v>Cancellation Request raised by Sales Operations Team</v>
      </c>
    </row>
    <row r="12">
      <c r="B12" t="str">
        <v>February</v>
      </c>
      <c r="C12">
        <v>46055</v>
      </c>
      <c r="D12">
        <f>XLOOKUP(E12,[1]!Bookings[Booking Name],[1]!Bookings[Rejected Date])</f>
        <v>46056</v>
      </c>
      <c r="E12" t="str">
        <v>Booking-1119</v>
      </c>
      <c r="F12" t="str">
        <f>XLOOKUP(E12,[1]!Bookings[Booking Name],[1]!Bookings[Booking Status])</f>
        <v>Rejected</v>
      </c>
      <c r="G12">
        <f>XLOOKUP(E12,[1]!Bookings[Booking Name],[1]!Bookings[Booking Date])</f>
        <v>45961</v>
      </c>
      <c r="H12">
        <f>XLOOKUP(E12,[1]!Bookings[Booking Name],[1]!Bookings[Booking Aging])</f>
        <v>98</v>
      </c>
      <c r="I12" t="str">
        <f>XLOOKUP(E12,[1]!Bookings[Booking Name],[1]!Bookings[Project Name])</f>
        <v>Laguna Residence</v>
      </c>
      <c r="J12" t="str">
        <f>XLOOKUP(E12,[1]!Bookings[Booking Name],[1]!Bookings[Building])</f>
        <v>Tower B</v>
      </c>
      <c r="K12" t="str">
        <f>XLOOKUP(E12,[1]!Bookings[Booking Name],[1]!Bookings[Bedrooms])</f>
        <v>Studio</v>
      </c>
      <c r="L12" t="str">
        <f>XLOOKUP(E12,[1]!Bookings[Booking Name],[1]!Bookings[Unit No.])</f>
        <v>B514</v>
      </c>
      <c r="M12" t="str">
        <f>XLOOKUP(E12,[1]!Bookings[Booking Name],[1]!Bookings[Inventory Unit Status])</f>
        <v>Blocked</v>
      </c>
      <c r="N12" t="str">
        <f>XLOOKUP(E12,[1]!Bookings[Booking Name],[1]!Bookings[Booking Status])</f>
        <v>Rejected</v>
      </c>
      <c r="O12" t="str">
        <f>XLOOKUP(E12,[1]!Bookings[Booking Name],[1]!Bookings[Customer Name])</f>
        <v>Scott Alfred Drury</v>
      </c>
      <c r="P12" t="str">
        <f>XLOOKUP(E12,[1]!Bookings[Booking Name],[1]!Bookings[Nationality])</f>
        <v>United Kingdom</v>
      </c>
      <c r="Q12">
        <f>XLOOKUP(E12,[1]!Bookings[Booking Name],[1]!Bookings[Discount Amount])</f>
        <v>0</v>
      </c>
      <c r="R12">
        <f>XLOOKUP(E12,[1]!Bookings[Booking Name],[1]!Bookings[Discount Percentage])</f>
        <v>0</v>
      </c>
      <c r="S12">
        <f>XLOOKUP(E12,[1]!Bookings[Booking Name],[1]!Bookings[Final Sale Value After Discount])</f>
        <v>830000</v>
      </c>
      <c r="T12">
        <f>XLOOKUP(E12,[1]!Bookings[Booking Name],[1]!Bookings[Inv Final Sale Value])</f>
        <v>830000</v>
      </c>
      <c r="U12" t="str">
        <f>XLOOKUP(E12,[1]!Bookings[Booking Name],[1]!Bookings[Sales])</f>
        <v>Feraz Mohamed</v>
      </c>
      <c r="V12" t="str">
        <f>XLOOKUP(E12,[1]!Bookings[Booking Name],[1]!Bookings[Agency Name])</f>
        <v>Orient Luxury Properties</v>
      </c>
      <c r="W12" t="str">
        <f>XLOOKUP(E12,[1]!Bookings[Booking Name],[1]!Bookings[Booking ID])</f>
        <v>a03J600000FmbUK</v>
      </c>
      <c r="X12" t="str">
        <f>XLOOKUP(E12,[1]!Bookings[Booking Name],[1]!Bookings[Oracle Id])</f>
        <v>-</v>
      </c>
      <c r="Z12">
        <v>8300</v>
      </c>
      <c r="AA12">
        <v>0.01</v>
      </c>
      <c r="AB12" t="str">
        <v>No</v>
      </c>
      <c r="AC12" t="str">
        <v>Cancelled due to Non Payment</v>
      </c>
      <c r="AD12" t="str">
        <v>https://onedevelopmentuae-my.sharepoint.com/personal/n_araujo_oneuae_com/Documents/Desktop/Norton-Local/Requests/Rejected%20Bookings/Booking-1119%20-%20Booking%20Rejection%20Request.msg</v>
      </c>
      <c r="AE12" t="str">
        <v>Cancelled due to Non Payment</v>
      </c>
      <c r="AF12" t="str">
        <v>Cancellation Request raised by Sales Operations Team</v>
      </c>
    </row>
    <row r="13">
      <c r="B13" t="str">
        <v>January</v>
      </c>
      <c r="C13">
        <v>46052</v>
      </c>
      <c r="D13">
        <f>XLOOKUP(E13,[1]!Bookings[Booking Name],[1]!Bookings[Rejected Date])</f>
        <v>46056</v>
      </c>
      <c r="E13" t="str">
        <v>Booking-1417</v>
      </c>
      <c r="F13" t="str">
        <f>XLOOKUP(E13,[1]!Bookings[Booking Name],[1]!Bookings[Booking Status])</f>
        <v>Rejected</v>
      </c>
      <c r="G13">
        <f>XLOOKUP(E13,[1]!Bookings[Booking Name],[1]!Bookings[Booking Date])</f>
        <v>46031</v>
      </c>
      <c r="H13">
        <f>XLOOKUP(E13,[1]!Bookings[Booking Name],[1]!Bookings[Booking Aging])</f>
        <v>28</v>
      </c>
      <c r="I13" t="str">
        <f>XLOOKUP(E13,[1]!Bookings[Booking Name],[1]!Bookings[Project Name])</f>
        <v>One Residence</v>
      </c>
      <c r="J13" t="str">
        <f>XLOOKUP(E13,[1]!Bookings[Booking Name],[1]!Bookings[Building])</f>
        <v>Tower 1</v>
      </c>
      <c r="K13" t="str">
        <f>XLOOKUP(E13,[1]!Bookings[Booking Name],[1]!Bookings[Bedrooms])</f>
        <v>2 BR</v>
      </c>
      <c r="L13" t="str">
        <f>XLOOKUP(E13,[1]!Bookings[Booking Name],[1]!Bookings[Unit No.])</f>
        <v>OR-1504</v>
      </c>
      <c r="M13" t="str">
        <f>XLOOKUP(E13,[1]!Bookings[Booking Name],[1]!Bookings[Inventory Unit Status])</f>
        <v>Blocked</v>
      </c>
      <c r="N13" t="str">
        <f>XLOOKUP(E13,[1]!Bookings[Booking Name],[1]!Bookings[Booking Status])</f>
        <v>Rejected</v>
      </c>
      <c r="O13" t="str">
        <f>XLOOKUP(E13,[1]!Bookings[Booking Name],[1]!Bookings[Customer Name])</f>
        <v>Mahreen Waqar</v>
      </c>
      <c r="P13" t="str">
        <f>XLOOKUP(E13,[1]!Bookings[Booking Name],[1]!Bookings[Nationality])</f>
        <v>United Kingdom</v>
      </c>
      <c r="Q13">
        <f>XLOOKUP(E13,[1]!Bookings[Booking Name],[1]!Bookings[Discount Amount])</f>
        <v>0</v>
      </c>
      <c r="R13">
        <f>XLOOKUP(E13,[1]!Bookings[Booking Name],[1]!Bookings[Discount Percentage])</f>
        <v>0</v>
      </c>
      <c r="S13">
        <f>XLOOKUP(E13,[1]!Bookings[Booking Name],[1]!Bookings[Final Sale Value After Discount])</f>
        <v>2600000</v>
      </c>
      <c r="T13">
        <f>XLOOKUP(E13,[1]!Bookings[Booking Name],[1]!Bookings[Inv Final Sale Value])</f>
        <v>2600000</v>
      </c>
      <c r="U13" t="str">
        <f>XLOOKUP(E13,[1]!Bookings[Booking Name],[1]!Bookings[Sales])</f>
        <v>Bouchra Achchab</v>
      </c>
      <c r="V13" t="str">
        <f>XLOOKUP(E13,[1]!Bookings[Booking Name],[1]!Bookings[Agency Name])</f>
        <v>TRIVIUM PROPERTIES -L.L.C-S.P.C</v>
      </c>
      <c r="W13" t="str">
        <f>XLOOKUP(E13,[1]!Bookings[Booking Name],[1]!Bookings[Booking ID])</f>
        <v>a03NM00000SoquZ</v>
      </c>
      <c r="X13" t="str">
        <f>XLOOKUP(E13,[1]!Bookings[Booking Name],[1]!Bookings[Oracle Id])</f>
        <v>-</v>
      </c>
      <c r="Z13" t="str">
        <v>No Payment</v>
      </c>
      <c r="AA13">
        <v>0</v>
      </c>
      <c r="AB13" t="str">
        <v>No</v>
      </c>
      <c r="AC13" t="str">
        <v>Customer requested to cancel Booking</v>
      </c>
      <c r="AD13" t="str">
        <v>https://onedevelopmentuae-my.sharepoint.com/personal/n_araujo_oneuae_com/Documents/Desktop/Norton-Local/Requests/Rejected%20Bookings/Booking-1417%20-%20Booking%20Rejection%20Request.msg</v>
      </c>
      <c r="AE13" t="str">
        <v>Customer requested to cancel</v>
      </c>
      <c r="AF13" t="str">
        <v>Customer is unable to continue with the Purchase</v>
      </c>
    </row>
    <row r="14">
      <c r="B14" t="str">
        <v>January</v>
      </c>
      <c r="C14">
        <v>46052</v>
      </c>
      <c r="D14">
        <f>XLOOKUP(E14,[1]!Bookings[Booking Name],[1]!Bookings[Rejected Date])</f>
        <v>0</v>
      </c>
      <c r="E14" t="str">
        <v>Booking-1467</v>
      </c>
      <c r="F14" t="str">
        <f>XLOOKUP(E14,[1]!Bookings[Booking Name],[1]!Bookings[Booking Status])</f>
        <v>Draft</v>
      </c>
      <c r="G14">
        <f>XLOOKUP(E14,[1]!Bookings[Booking Name],[1]!Bookings[Booking Date])</f>
        <v>46042</v>
      </c>
      <c r="H14">
        <f>XLOOKUP(E14,[1]!Bookings[Booking Name],[1]!Bookings[Booking Aging])</f>
        <v>17</v>
      </c>
      <c r="I14" t="str">
        <f>XLOOKUP(E14,[1]!Bookings[Booking Name],[1]!Bookings[Project Name])</f>
        <v>One Residence</v>
      </c>
      <c r="J14" t="str">
        <f>XLOOKUP(E14,[1]!Bookings[Booking Name],[1]!Bookings[Building])</f>
        <v>Tower 1</v>
      </c>
      <c r="K14" t="str">
        <f>XLOOKUP(E14,[1]!Bookings[Booking Name],[1]!Bookings[Bedrooms])</f>
        <v>1 BR</v>
      </c>
      <c r="L14" t="str">
        <f>XLOOKUP(E14,[1]!Bookings[Booking Name],[1]!Bookings[Unit No.])</f>
        <v>OR-301</v>
      </c>
      <c r="M14" t="str">
        <f>XLOOKUP(E14,[1]!Bookings[Booking Name],[1]!Bookings[Inventory Unit Status])</f>
        <v>Booked</v>
      </c>
      <c r="N14" t="str">
        <f>XLOOKUP(E14,[1]!Bookings[Booking Name],[1]!Bookings[Booking Status])</f>
        <v>Draft</v>
      </c>
      <c r="O14" t="str">
        <f>XLOOKUP(E14,[1]!Bookings[Booking Name],[1]!Bookings[Customer Name])</f>
        <v>Suwaidan Saeed Khalfan Hdairem Alketbi</v>
      </c>
      <c r="P14" t="str">
        <f>XLOOKUP(E14,[1]!Bookings[Booking Name],[1]!Bookings[Nationality])</f>
        <v>United Arab Emirates</v>
      </c>
      <c r="Q14">
        <f>XLOOKUP(E14,[1]!Bookings[Booking Name],[1]!Bookings[Discount Amount])</f>
        <v>0</v>
      </c>
      <c r="R14">
        <f>XLOOKUP(E14,[1]!Bookings[Booking Name],[1]!Bookings[Discount Percentage])</f>
        <v>0</v>
      </c>
      <c r="S14">
        <f>XLOOKUP(E14,[1]!Bookings[Booking Name],[1]!Bookings[Final Sale Value After Discount])</f>
        <v>2201111</v>
      </c>
      <c r="T14">
        <f>XLOOKUP(E14,[1]!Bookings[Booking Name],[1]!Bookings[Inv Final Sale Value])</f>
        <v>2201111</v>
      </c>
      <c r="U14" t="str">
        <f>XLOOKUP(E14,[1]!Bookings[Booking Name],[1]!Bookings[Sales])</f>
        <v>Zarina Avdalian</v>
      </c>
      <c r="V14" t="str">
        <f>XLOOKUP(E14,[1]!Bookings[Booking Name],[1]!Bookings[Agency Name])</f>
        <v>SMART ADVISOR FOR REALESTATE LLC-SPC</v>
      </c>
      <c r="W14" t="str">
        <f>XLOOKUP(E14,[1]!Bookings[Booking Name],[1]!Bookings[Booking ID])</f>
        <v>a03NM00000TtH4L</v>
      </c>
      <c r="X14" t="str">
        <f>XLOOKUP(E14,[1]!Bookings[Booking Name],[1]!Bookings[Oracle Id])</f>
        <v>-</v>
      </c>
      <c r="Z14" t="str">
        <v>No Payment</v>
      </c>
      <c r="AA14">
        <v>0</v>
      </c>
      <c r="AB14" t="str">
        <v>N/A</v>
      </c>
      <c r="AC14" t="str">
        <v>Customer requested to cancel Booking</v>
      </c>
      <c r="AD14" t="str">
        <v>https://onedevelopmentuae-my.sharepoint.com/personal/n_araujo_oneuae_com/Documents/Desktop/Norton-Local/Requests/Rejected%20Bookings/Booking-1467%20-%20Booking%20Rejection%20Request.msg</v>
      </c>
      <c r="AE14" t="str">
        <v>Customer requested to cancel</v>
      </c>
      <c r="AF14" t="str">
        <v>Customer is unable to continue with the Purchase</v>
      </c>
    </row>
    <row r="15">
      <c r="B15" t="str">
        <v>January</v>
      </c>
      <c r="C15">
        <v>46051</v>
      </c>
      <c r="D15">
        <f>XLOOKUP(E15,[1]!Bookings[Booking Name],[1]!Bookings[Rejected Date])</f>
        <v>46052</v>
      </c>
      <c r="E15" t="str">
        <v>Booking-1445</v>
      </c>
      <c r="F15" t="str">
        <f>XLOOKUP(E15,[1]!Bookings[Booking Name],[1]!Bookings[Booking Status])</f>
        <v>Rejected</v>
      </c>
      <c r="G15">
        <f>XLOOKUP(E15,[1]!Bookings[Booking Name],[1]!Bookings[Booking Date])</f>
        <v>46035</v>
      </c>
      <c r="H15">
        <f>XLOOKUP(E15,[1]!Bookings[Booking Name],[1]!Bookings[Booking Aging])</f>
        <v>24</v>
      </c>
      <c r="I15" t="str">
        <f>XLOOKUP(E15,[1]!Bookings[Booking Name],[1]!Bookings[Project Name])</f>
        <v>One Residence</v>
      </c>
      <c r="J15" t="str">
        <f>XLOOKUP(E15,[1]!Bookings[Booking Name],[1]!Bookings[Building])</f>
        <v>Tower 1</v>
      </c>
      <c r="K15" t="str">
        <f>XLOOKUP(E15,[1]!Bookings[Booking Name],[1]!Bookings[Bedrooms])</f>
        <v>1 BR</v>
      </c>
      <c r="L15" t="str">
        <f>XLOOKUP(E15,[1]!Bookings[Booking Name],[1]!Bookings[Unit No.])</f>
        <v>OR-503</v>
      </c>
      <c r="M15" t="str">
        <f>XLOOKUP(E15,[1]!Bookings[Booking Name],[1]!Bookings[Inventory Unit Status])</f>
        <v>Booked</v>
      </c>
      <c r="N15" t="str">
        <f>XLOOKUP(E15,[1]!Bookings[Booking Name],[1]!Bookings[Booking Status])</f>
        <v>Rejected</v>
      </c>
      <c r="O15" t="str">
        <f>XLOOKUP(E15,[1]!Bookings[Booking Name],[1]!Bookings[Customer Name])</f>
        <v>Hussain Abdalla Hussain Mohamed Sajwani</v>
      </c>
      <c r="P15" t="str">
        <f>XLOOKUP(E15,[1]!Bookings[Booking Name],[1]!Bookings[Nationality])</f>
        <v>United Arab Emirates</v>
      </c>
      <c r="Q15">
        <f>XLOOKUP(E15,[1]!Bookings[Booking Name],[1]!Bookings[Discount Amount])</f>
        <v>82889</v>
      </c>
      <c r="R15">
        <f>XLOOKUP(E15,[1]!Bookings[Booking Name],[1]!Bookings[Discount Percentage])</f>
        <v>0.051805625</v>
      </c>
      <c r="S15">
        <f>XLOOKUP(E15,[1]!Bookings[Booking Name],[1]!Bookings[Final Sale Value After Discount])</f>
        <v>1517111</v>
      </c>
      <c r="T15">
        <f>XLOOKUP(E15,[1]!Bookings[Booking Name],[1]!Bookings[Inv Final Sale Value])</f>
        <v>1600000</v>
      </c>
      <c r="U15" t="str">
        <f>XLOOKUP(E15,[1]!Bookings[Booking Name],[1]!Bookings[Sales])</f>
        <v>Joudy Shaker</v>
      </c>
      <c r="V15" t="str">
        <f>XLOOKUP(E15,[1]!Bookings[Booking Name],[1]!Bookings[Agency Name])</f>
        <v>TOP OF THE TOP PROPERTIES  LLC - SPC</v>
      </c>
      <c r="W15" t="str">
        <f>XLOOKUP(E15,[1]!Bookings[Booking Name],[1]!Bookings[Booking ID])</f>
        <v>a03NM00000TBV4b</v>
      </c>
      <c r="X15" t="str">
        <f>XLOOKUP(E15,[1]!Bookings[Booking Name],[1]!Bookings[Oracle Id])</f>
        <v>-</v>
      </c>
      <c r="Z15" t="str">
        <v>No Payment</v>
      </c>
      <c r="AA15">
        <v>0</v>
      </c>
      <c r="AB15" t="str">
        <v>N/A</v>
      </c>
      <c r="AC15" t="str">
        <v>Cancelled due to Repricing</v>
      </c>
      <c r="AD15" t="str">
        <v>https://onedevelopmentuae-my.sharepoint.com/personal/n_araujo_oneuae_com/Documents/Desktop/Norton-Local/Requests/Rejected%20Bookings/Booking-1445%20-%20Booking%20Rejection%20Request.msg</v>
      </c>
      <c r="AE15" t="str">
        <v>Cancelled due to Price Revision</v>
      </c>
      <c r="AF15" t="str">
        <v>Cancelled due to Price Revision</v>
      </c>
    </row>
    <row r="16">
      <c r="B16" t="str">
        <v>January</v>
      </c>
      <c r="C16">
        <v>46051</v>
      </c>
      <c r="D16">
        <f>XLOOKUP(E16,[1]!Bookings[Booking Name],[1]!Bookings[Rejected Date])</f>
        <v>46051</v>
      </c>
      <c r="E16" t="str">
        <v>Booking-1502</v>
      </c>
      <c r="F16" t="str">
        <f>XLOOKUP(E16,[1]!Bookings[Booking Name],[1]!Bookings[Booking Status])</f>
        <v>Rejected</v>
      </c>
      <c r="G16">
        <f>XLOOKUP(E16,[1]!Bookings[Booking Name],[1]!Bookings[Booking Date])</f>
        <v>46050</v>
      </c>
      <c r="H16">
        <f>XLOOKUP(E16,[1]!Bookings[Booking Name],[1]!Bookings[Booking Aging])</f>
        <v>9</v>
      </c>
      <c r="I16" t="str">
        <f>XLOOKUP(E16,[1]!Bookings[Booking Name],[1]!Bookings[Project Name])</f>
        <v>One Residence</v>
      </c>
      <c r="J16" t="str">
        <f>XLOOKUP(E16,[1]!Bookings[Booking Name],[1]!Bookings[Building])</f>
        <v>Tower 1</v>
      </c>
      <c r="K16" t="str">
        <f>XLOOKUP(E16,[1]!Bookings[Booking Name],[1]!Bookings[Bedrooms])</f>
        <v>2 BR</v>
      </c>
      <c r="L16" t="str">
        <f>XLOOKUP(E16,[1]!Bookings[Booking Name],[1]!Bookings[Unit No.])</f>
        <v>OR-2407</v>
      </c>
      <c r="M16" t="str">
        <f>XLOOKUP(E16,[1]!Bookings[Booking Name],[1]!Bookings[Inventory Unit Status])</f>
        <v>Booked</v>
      </c>
      <c r="N16" t="str">
        <f>XLOOKUP(E16,[1]!Bookings[Booking Name],[1]!Bookings[Booking Status])</f>
        <v>Rejected</v>
      </c>
      <c r="O16" t="str">
        <f>XLOOKUP(E16,[1]!Bookings[Booking Name],[1]!Bookings[Customer Name])</f>
        <v>JIANPING SU</v>
      </c>
      <c r="P16" t="str">
        <f>XLOOKUP(E16,[1]!Bookings[Booking Name],[1]!Bookings[Nationality])</f>
        <v>China</v>
      </c>
      <c r="Q16">
        <f>XLOOKUP(E16,[1]!Bookings[Booking Name],[1]!Bookings[Discount Amount])</f>
        <v>129889</v>
      </c>
      <c r="R16">
        <f>XLOOKUP(E16,[1]!Bookings[Booking Name],[1]!Bookings[Discount Percentage])</f>
        <v>0.0519556</v>
      </c>
      <c r="S16">
        <f>XLOOKUP(E16,[1]!Bookings[Booking Name],[1]!Bookings[Final Sale Value After Discount])</f>
        <v>2370111</v>
      </c>
      <c r="T16">
        <f>XLOOKUP(E16,[1]!Bookings[Booking Name],[1]!Bookings[Inv Final Sale Value])</f>
        <v>2500000</v>
      </c>
      <c r="U16" t="str">
        <f>XLOOKUP(E16,[1]!Bookings[Booking Name],[1]!Bookings[Sales])</f>
        <v>Tanveer Ansari</v>
      </c>
      <c r="V16" t="str">
        <f>XLOOKUP(E16,[1]!Bookings[Booking Name],[1]!Bookings[Agency Name])</f>
        <v>Dingsen Properties LLC</v>
      </c>
      <c r="W16" t="str">
        <f>XLOOKUP(E16,[1]!Bookings[Booking Name],[1]!Bookings[Booking ID])</f>
        <v>a03NM00000Ul7rC</v>
      </c>
      <c r="X16" t="str">
        <f>XLOOKUP(E16,[1]!Bookings[Booking Name],[1]!Bookings[Oracle Id])</f>
        <v>-</v>
      </c>
      <c r="Z16" t="str">
        <v>No Payment</v>
      </c>
      <c r="AA16">
        <v>0</v>
      </c>
      <c r="AB16" t="str">
        <v>N/A</v>
      </c>
      <c r="AC16" t="str">
        <v>Cancelled due to Repricing</v>
      </c>
      <c r="AD16" t="str">
        <v>https://onedevelopmentuae-my.sharepoint.com/personal/n_araujo_oneuae_com/Documents/Desktop/Norton-Local/Requests/Rejected%20Bookings/Booking-1502%20-%20Booking%20Rejection%20Request.msg</v>
      </c>
      <c r="AE16" t="str">
        <v>Cancelled due to Price Revision</v>
      </c>
      <c r="AF16" t="str">
        <v>Cancelled due to Price Revision</v>
      </c>
    </row>
    <row r="17">
      <c r="B17" t="str">
        <v>January</v>
      </c>
      <c r="C17">
        <v>46050</v>
      </c>
      <c r="D17">
        <f>XLOOKUP(E17,[1]!Bookings[Booking Name],[1]!Bookings[Rejected Date])</f>
        <v>46052</v>
      </c>
      <c r="E17" t="str">
        <v>Booking-1255</v>
      </c>
      <c r="F17" t="str">
        <f>XLOOKUP(E17,[1]!Bookings[Booking Name],[1]!Bookings[Booking Status])</f>
        <v>Rejected</v>
      </c>
      <c r="G17">
        <f>XLOOKUP(E17,[1]!Bookings[Booking Name],[1]!Bookings[Booking Date])</f>
        <v>46004</v>
      </c>
      <c r="H17">
        <f>XLOOKUP(E17,[1]!Bookings[Booking Name],[1]!Bookings[Booking Aging])</f>
        <v>55</v>
      </c>
      <c r="I17" t="str">
        <f>XLOOKUP(E17,[1]!Bookings[Booking Name],[1]!Bookings[Project Name])</f>
        <v>Laguna Residence</v>
      </c>
      <c r="J17" t="str">
        <f>XLOOKUP(E17,[1]!Bookings[Booking Name],[1]!Bookings[Building])</f>
        <v>Tower A</v>
      </c>
      <c r="K17" t="str">
        <f>XLOOKUP(E17,[1]!Bookings[Booking Name],[1]!Bookings[Bedrooms])</f>
        <v>1 Bedroom</v>
      </c>
      <c r="L17" t="str">
        <f>XLOOKUP(E17,[1]!Bookings[Booking Name],[1]!Bookings[Unit No.])</f>
        <v>A2310</v>
      </c>
      <c r="M17" t="str">
        <f>XLOOKUP(E17,[1]!Bookings[Booking Name],[1]!Bookings[Inventory Unit Status])</f>
        <v>Blocked</v>
      </c>
      <c r="N17" t="str">
        <f>XLOOKUP(E17,[1]!Bookings[Booking Name],[1]!Bookings[Booking Status])</f>
        <v>Rejected</v>
      </c>
      <c r="O17" t="str">
        <f>XLOOKUP(E17,[1]!Bookings[Booking Name],[1]!Bookings[Customer Name])</f>
        <v>Andrey Serga</v>
      </c>
      <c r="P17" t="str">
        <f>XLOOKUP(E17,[1]!Bookings[Booking Name],[1]!Bookings[Nationality])</f>
        <v>Russia</v>
      </c>
      <c r="Q17">
        <f>XLOOKUP(E17,[1]!Bookings[Booking Name],[1]!Bookings[Discount Amount])</f>
        <v>0</v>
      </c>
      <c r="R17">
        <f>XLOOKUP(E17,[1]!Bookings[Booking Name],[1]!Bookings[Discount Percentage])</f>
        <v>0</v>
      </c>
      <c r="S17">
        <f>XLOOKUP(E17,[1]!Bookings[Booking Name],[1]!Bookings[Final Sale Value After Discount])</f>
        <v>1446000</v>
      </c>
      <c r="T17">
        <f>XLOOKUP(E17,[1]!Bookings[Booking Name],[1]!Bookings[Inv Final Sale Value])</f>
        <v>1446000</v>
      </c>
      <c r="U17" t="str">
        <f>XLOOKUP(E17,[1]!Bookings[Booking Name],[1]!Bookings[Sales])</f>
        <v>Vladyslav Parkhomchuk</v>
      </c>
      <c r="V17" t="str">
        <f>XLOOKUP(E17,[1]!Bookings[Booking Name],[1]!Bookings[Agency Name])</f>
        <v>Rich Property Real Estate Brokerages LLC</v>
      </c>
      <c r="W17" t="str">
        <f>XLOOKUP(E17,[1]!Bookings[Booking Name],[1]!Bookings[Booking ID])</f>
        <v>a03NM00000PS4bs</v>
      </c>
      <c r="X17" t="str">
        <f>XLOOKUP(E17,[1]!Bookings[Booking Name],[1]!Bookings[Oracle Id])</f>
        <v>-</v>
      </c>
      <c r="Z17" t="str">
        <v>No Payment</v>
      </c>
      <c r="AA17">
        <v>0</v>
      </c>
      <c r="AB17" t="str">
        <v>N/A</v>
      </c>
      <c r="AC17" t="str">
        <v>Cancelled due to Non Payment</v>
      </c>
      <c r="AD17" t="str">
        <v>https://onedevelopmentuae-my.sharepoint.com/personal/n_araujo_oneuae_com/Documents/Desktop/Norton-Local/Requests/Rejected%20Bookings/Booking-1255%20-%20Booking%20Rejection%20Request.pdf</v>
      </c>
      <c r="AE17" t="str">
        <v>Cancelled due to Non Payment</v>
      </c>
      <c r="AF17" t="str">
        <v>Cancellation Request raised by Sales Operations Team</v>
      </c>
    </row>
    <row r="18">
      <c r="B18" t="str">
        <v>January</v>
      </c>
      <c r="C18">
        <v>46050</v>
      </c>
      <c r="D18">
        <f>XLOOKUP(E18,[1]!Bookings[Booking Name],[1]!Bookings[Rejected Date])</f>
        <v>46051</v>
      </c>
      <c r="E18" t="str">
        <v>Booking-1352</v>
      </c>
      <c r="F18" t="str">
        <f>XLOOKUP(E18,[1]!Bookings[Booking Name],[1]!Bookings[Booking Status])</f>
        <v>Rejected</v>
      </c>
      <c r="G18">
        <f>XLOOKUP(E18,[1]!Bookings[Booking Name],[1]!Bookings[Booking Date])</f>
        <v>46030</v>
      </c>
      <c r="H18">
        <f>XLOOKUP(E18,[1]!Bookings[Booking Name],[1]!Bookings[Booking Aging])</f>
        <v>29</v>
      </c>
      <c r="I18" t="str">
        <f>XLOOKUP(E18,[1]!Bookings[Booking Name],[1]!Bookings[Project Name])</f>
        <v>One Residence</v>
      </c>
      <c r="J18" t="str">
        <f>XLOOKUP(E18,[1]!Bookings[Booking Name],[1]!Bookings[Building])</f>
        <v>Tower 1</v>
      </c>
      <c r="K18" t="str">
        <f>XLOOKUP(E18,[1]!Bookings[Booking Name],[1]!Bookings[Bedrooms])</f>
        <v>1 BR</v>
      </c>
      <c r="L18" t="str">
        <f>XLOOKUP(E18,[1]!Bookings[Booking Name],[1]!Bookings[Unit No.])</f>
        <v>OR-406</v>
      </c>
      <c r="M18" t="str">
        <f>XLOOKUP(E18,[1]!Bookings[Booking Name],[1]!Bookings[Inventory Unit Status])</f>
        <v>Booked</v>
      </c>
      <c r="N18" t="str">
        <f>XLOOKUP(E18,[1]!Bookings[Booking Name],[1]!Bookings[Booking Status])</f>
        <v>Rejected</v>
      </c>
      <c r="O18" t="str">
        <f>XLOOKUP(E18,[1]!Bookings[Booking Name],[1]!Bookings[Customer Name])</f>
        <v>Saleh Naji Ali Gamil</v>
      </c>
      <c r="P18" t="str">
        <f>XLOOKUP(E18,[1]!Bookings[Booking Name],[1]!Bookings[Nationality])</f>
        <v>Yemen</v>
      </c>
      <c r="Q18">
        <f>XLOOKUP(E18,[1]!Bookings[Booking Name],[1]!Bookings[Discount Amount])</f>
        <v>0</v>
      </c>
      <c r="R18">
        <f>XLOOKUP(E18,[1]!Bookings[Booking Name],[1]!Bookings[Discount Percentage])</f>
        <v>0</v>
      </c>
      <c r="S18">
        <f>XLOOKUP(E18,[1]!Bookings[Booking Name],[1]!Bookings[Final Sale Value After Discount])</f>
        <v>1600000</v>
      </c>
      <c r="T18">
        <f>XLOOKUP(E18,[1]!Bookings[Booking Name],[1]!Bookings[Inv Final Sale Value])</f>
        <v>1600000</v>
      </c>
      <c r="U18" t="str">
        <f>XLOOKUP(E18,[1]!Bookings[Booking Name],[1]!Bookings[Sales])</f>
        <v>Mariam Shakuhi</v>
      </c>
      <c r="V18" t="str">
        <f>XLOOKUP(E18,[1]!Bookings[Booking Name],[1]!Bookings[Agency Name])</f>
        <v>ABC PROPERTIES BROKERAGE - SOLE PROPRIETORSHIP L.L.C</v>
      </c>
      <c r="W18" t="str">
        <f>XLOOKUP(E18,[1]!Bookings[Booking Name],[1]!Bookings[Booking ID])</f>
        <v>a03NM00000SjFVr</v>
      </c>
      <c r="X18" t="str">
        <f>XLOOKUP(E18,[1]!Bookings[Booking Name],[1]!Bookings[Oracle Id])</f>
        <v>-</v>
      </c>
      <c r="Z18" t="str">
        <v>No Payment</v>
      </c>
      <c r="AA18">
        <v>0</v>
      </c>
      <c r="AB18" t="str">
        <v>N/A</v>
      </c>
      <c r="AC18" t="str">
        <v>Customer requested to Change Ownership</v>
      </c>
      <c r="AD18" t="str">
        <v>https://onedevelopmentuae-my.sharepoint.com/personal/n_araujo_oneuae_com/Documents/Desktop/Norton-Local/Requests/Rejected%20Bookings/Booking-1352%20-%20Booking%20Rejection%20Request.msg</v>
      </c>
      <c r="AE18" t="str">
        <v>Customer requested for Change of Ownership</v>
      </c>
      <c r="AF18" t="str">
        <v>From Saleh Naji Ali Gamil to JABAL ALSAHRA TRANSPORT PASSENGERS BY BUS - L.L.C - S.P.C</v>
      </c>
    </row>
    <row r="19">
      <c r="B19" t="str">
        <v>January</v>
      </c>
      <c r="C19">
        <v>46050</v>
      </c>
      <c r="D19">
        <f>XLOOKUP(E19,[1]!Bookings[Booking Name],[1]!Bookings[Rejected Date])</f>
        <v>46050</v>
      </c>
      <c r="E19" t="str">
        <v>Booking-1474</v>
      </c>
      <c r="F19" t="str">
        <f>XLOOKUP(E19,[1]!Bookings[Booking Name],[1]!Bookings[Booking Status])</f>
        <v>Rejected</v>
      </c>
      <c r="G19">
        <f>XLOOKUP(E19,[1]!Bookings[Booking Name],[1]!Bookings[Booking Date])</f>
        <v>46043</v>
      </c>
      <c r="H19">
        <f>XLOOKUP(E19,[1]!Bookings[Booking Name],[1]!Bookings[Booking Aging])</f>
        <v>16</v>
      </c>
      <c r="I19" t="str">
        <f>XLOOKUP(E19,[1]!Bookings[Booking Name],[1]!Bookings[Project Name])</f>
        <v>One Residence</v>
      </c>
      <c r="J19" t="str">
        <f>XLOOKUP(E19,[1]!Bookings[Booking Name],[1]!Bookings[Building])</f>
        <v>Tower 1</v>
      </c>
      <c r="K19" t="str">
        <f>XLOOKUP(E19,[1]!Bookings[Booking Name],[1]!Bookings[Bedrooms])</f>
        <v>2 BR</v>
      </c>
      <c r="L19" t="str">
        <f>XLOOKUP(E19,[1]!Bookings[Booking Name],[1]!Bookings[Unit No.])</f>
        <v>OR-407</v>
      </c>
      <c r="M19" t="str">
        <f>XLOOKUP(E19,[1]!Bookings[Booking Name],[1]!Bookings[Inventory Unit Status])</f>
        <v>Booked</v>
      </c>
      <c r="N19" t="str">
        <f>XLOOKUP(E19,[1]!Bookings[Booking Name],[1]!Bookings[Booking Status])</f>
        <v>Rejected</v>
      </c>
      <c r="O19" t="str">
        <f>XLOOKUP(E19,[1]!Bookings[Booking Name],[1]!Bookings[Customer Name])</f>
        <v>Wang GuiLian</v>
      </c>
      <c r="P19" t="str">
        <f>XLOOKUP(E19,[1]!Bookings[Booking Name],[1]!Bookings[Nationality])</f>
        <v>China</v>
      </c>
      <c r="Q19">
        <f>XLOOKUP(E19,[1]!Bookings[Booking Name],[1]!Bookings[Discount Amount])</f>
        <v>0</v>
      </c>
      <c r="R19">
        <f>XLOOKUP(E19,[1]!Bookings[Booking Name],[1]!Bookings[Discount Percentage])</f>
        <v>0</v>
      </c>
      <c r="S19">
        <f>XLOOKUP(E19,[1]!Bookings[Booking Name],[1]!Bookings[Final Sale Value After Discount])</f>
        <v>2404111</v>
      </c>
      <c r="T19">
        <f>XLOOKUP(E19,[1]!Bookings[Booking Name],[1]!Bookings[Inv Final Sale Value])</f>
        <v>2404111</v>
      </c>
      <c r="U19" t="str">
        <f>XLOOKUP(E19,[1]!Bookings[Booking Name],[1]!Bookings[Sales])</f>
        <v>Yang XI</v>
      </c>
      <c r="V19" t="str">
        <f>XLOOKUP(E19,[1]!Bookings[Booking Name],[1]!Bookings[Agency Name])</f>
        <v>WEALTH KEY REAL ESTATE L.L.C</v>
      </c>
      <c r="W19" t="str">
        <f>XLOOKUP(E19,[1]!Bookings[Booking Name],[1]!Bookings[Booking ID])</f>
        <v>a03NM00000Tz8ej</v>
      </c>
      <c r="X19" t="str">
        <f>XLOOKUP(E19,[1]!Bookings[Booking Name],[1]!Bookings[Oracle Id])</f>
        <v>-</v>
      </c>
      <c r="Z19" t="str">
        <v>No Payment</v>
      </c>
      <c r="AA19">
        <v>0</v>
      </c>
      <c r="AB19" t="str">
        <v>N/A</v>
      </c>
      <c r="AC19" t="str">
        <v>Customer requested to cancel Booking</v>
      </c>
      <c r="AD19" t="str">
        <v>https://onedevelopmentuae-my.sharepoint.com/personal/n_araujo_oneuae_com/Documents/Desktop/Norton-Local/Requests/Rejected%20Bookings/Booking-1474%20-%20Booking%20Rejection%20Request.msg</v>
      </c>
      <c r="AE19" t="str">
        <v>Customer requested to cancel</v>
      </c>
      <c r="AF19" t="str">
        <v>Customer is unable to continue with the Purchase</v>
      </c>
    </row>
    <row r="20">
      <c r="B20" t="str">
        <v>January</v>
      </c>
      <c r="C20">
        <v>46049</v>
      </c>
      <c r="D20">
        <f>XLOOKUP(E20,[1]!Bookings[Booking Name],[1]!Bookings[Rejected Date])</f>
        <v>46050</v>
      </c>
      <c r="E20" t="str">
        <v>Booking-1437</v>
      </c>
      <c r="F20" t="str">
        <f>XLOOKUP(E20,[1]!Bookings[Booking Name],[1]!Bookings[Booking Status])</f>
        <v>Rejected</v>
      </c>
      <c r="G20">
        <f>XLOOKUP(E20,[1]!Bookings[Booking Name],[1]!Bookings[Booking Date])</f>
        <v>46034</v>
      </c>
      <c r="H20">
        <f>XLOOKUP(E20,[1]!Bookings[Booking Name],[1]!Bookings[Booking Aging])</f>
        <v>25</v>
      </c>
      <c r="I20" t="str">
        <f>XLOOKUP(E20,[1]!Bookings[Booking Name],[1]!Bookings[Project Name])</f>
        <v>One Residence</v>
      </c>
      <c r="J20" t="str">
        <f>XLOOKUP(E20,[1]!Bookings[Booking Name],[1]!Bookings[Building])</f>
        <v>Tower 1</v>
      </c>
      <c r="K20" t="str">
        <f>XLOOKUP(E20,[1]!Bookings[Booking Name],[1]!Bookings[Bedrooms])</f>
        <v>2 BR</v>
      </c>
      <c r="L20" t="str">
        <f>XLOOKUP(E20,[1]!Bookings[Booking Name],[1]!Bookings[Unit No.])</f>
        <v>OR-1404</v>
      </c>
      <c r="M20" t="str">
        <f>XLOOKUP(E20,[1]!Bookings[Booking Name],[1]!Bookings[Inventory Unit Status])</f>
        <v>Booked</v>
      </c>
      <c r="N20" t="str">
        <f>XLOOKUP(E20,[1]!Bookings[Booking Name],[1]!Bookings[Booking Status])</f>
        <v>Rejected</v>
      </c>
      <c r="O20" t="str">
        <f>XLOOKUP(E20,[1]!Bookings[Booking Name],[1]!Bookings[Customer Name])</f>
        <v>Vrushali Subhash Desai Subhash Atmaram Desai</v>
      </c>
      <c r="P20" t="str">
        <f>XLOOKUP(E20,[1]!Bookings[Booking Name],[1]!Bookings[Nationality])</f>
        <v>India</v>
      </c>
      <c r="Q20">
        <f>XLOOKUP(E20,[1]!Bookings[Booking Name],[1]!Bookings[Discount Amount])</f>
        <v>10000</v>
      </c>
      <c r="R20">
        <f>XLOOKUP(E20,[1]!Bookings[Booking Name],[1]!Bookings[Discount Percentage])</f>
        <v>0.004081632653061225</v>
      </c>
      <c r="S20">
        <f>XLOOKUP(E20,[1]!Bookings[Booking Name],[1]!Bookings[Final Sale Value After Discount])</f>
        <v>2440000</v>
      </c>
      <c r="T20">
        <f>XLOOKUP(E20,[1]!Bookings[Booking Name],[1]!Bookings[Inv Final Sale Value])</f>
        <v>2450000</v>
      </c>
      <c r="U20" t="str">
        <f>XLOOKUP(E20,[1]!Bookings[Booking Name],[1]!Bookings[Sales])</f>
        <v>Amr Abdelghafar</v>
      </c>
      <c r="V20" t="str">
        <f>XLOOKUP(E20,[1]!Bookings[Booking Name],[1]!Bookings[Agency Name])</f>
        <v>PARKER PREMIER REAL  ESTATE L.L.C.</v>
      </c>
      <c r="W20" t="str">
        <f>XLOOKUP(E20,[1]!Bookings[Booking Name],[1]!Bookings[Booking ID])</f>
        <v>a03NM00000T48MW</v>
      </c>
      <c r="X20" t="str">
        <f>XLOOKUP(E20,[1]!Bookings[Booking Name],[1]!Bookings[Oracle Id])</f>
        <v>-</v>
      </c>
      <c r="Z20" t="str">
        <v>No Payment</v>
      </c>
      <c r="AA20">
        <v>0</v>
      </c>
      <c r="AB20" t="str">
        <v>N/A</v>
      </c>
      <c r="AC20" t="str">
        <v>Error In Booking</v>
      </c>
      <c r="AD20" t="str">
        <v>https://onedevelopmentuae-my.sharepoint.com/personal/n_araujo_oneuae_com/Documents/Desktop/Norton-Local/Requests/Rejected%20Bookings/Booking-1437%20-%20Booking%20Rejection%20Request.msg</v>
      </c>
      <c r="AE20" t="str">
        <v>Error in Booking - Wrong Customer Selected</v>
      </c>
      <c r="AF20" t="str">
        <v>Error in Booking - Wrong Customer Selected</v>
      </c>
    </row>
    <row r="21">
      <c r="B21" t="str">
        <v>January</v>
      </c>
      <c r="C21">
        <v>46049</v>
      </c>
      <c r="D21">
        <f>XLOOKUP(E21,[1]!Bookings[Booking Name],[1]!Bookings[Rejected Date])</f>
        <v>46049</v>
      </c>
      <c r="E21" t="str">
        <v>Booking-1480</v>
      </c>
      <c r="F21" t="str">
        <f>XLOOKUP(E21,[1]!Bookings[Booking Name],[1]!Bookings[Booking Status])</f>
        <v>Rejected</v>
      </c>
      <c r="G21">
        <f>XLOOKUP(E21,[1]!Bookings[Booking Name],[1]!Bookings[Booking Date])</f>
        <v>46044</v>
      </c>
      <c r="H21">
        <f>XLOOKUP(E21,[1]!Bookings[Booking Name],[1]!Bookings[Booking Aging])</f>
        <v>15</v>
      </c>
      <c r="I21" t="str">
        <f>XLOOKUP(E21,[1]!Bookings[Booking Name],[1]!Bookings[Project Name])</f>
        <v>Laguna Residence</v>
      </c>
      <c r="J21" t="str">
        <f>XLOOKUP(E21,[1]!Bookings[Booking Name],[1]!Bookings[Building])</f>
        <v>Tower B</v>
      </c>
      <c r="K21" t="str">
        <f>XLOOKUP(E21,[1]!Bookings[Booking Name],[1]!Bookings[Bedrooms])</f>
        <v>Studio</v>
      </c>
      <c r="L21" t="str">
        <f>XLOOKUP(E21,[1]!Bookings[Booking Name],[1]!Bookings[Unit No.])</f>
        <v>B512</v>
      </c>
      <c r="M21" t="str">
        <f>XLOOKUP(E21,[1]!Bookings[Booking Name],[1]!Bookings[Inventory Unit Status])</f>
        <v>Blocked</v>
      </c>
      <c r="N21" t="str">
        <f>XLOOKUP(E21,[1]!Bookings[Booking Name],[1]!Bookings[Booking Status])</f>
        <v>Rejected</v>
      </c>
      <c r="O21" t="str">
        <f>XLOOKUP(E21,[1]!Bookings[Booking Name],[1]!Bookings[Customer Name])</f>
        <v>Elsheikh Mohammed Ahmed Wageealla</v>
      </c>
      <c r="P21" t="str">
        <f>XLOOKUP(E21,[1]!Bookings[Booking Name],[1]!Bookings[Nationality])</f>
        <v>Sudan</v>
      </c>
      <c r="Q21">
        <f>XLOOKUP(E21,[1]!Bookings[Booking Name],[1]!Bookings[Discount Amount])</f>
        <v>40350</v>
      </c>
      <c r="R21">
        <f>XLOOKUP(E21,[1]!Bookings[Booking Name],[1]!Bookings[Discount Percentage])</f>
        <v>0.05</v>
      </c>
      <c r="S21">
        <f>XLOOKUP(E21,[1]!Bookings[Booking Name],[1]!Bookings[Final Sale Value After Discount])</f>
        <v>766650</v>
      </c>
      <c r="T21">
        <f>XLOOKUP(E21,[1]!Bookings[Booking Name],[1]!Bookings[Inv Final Sale Value])</f>
        <v>807000</v>
      </c>
      <c r="U21" t="str">
        <f>XLOOKUP(E21,[1]!Bookings[Booking Name],[1]!Bookings[Sales])</f>
        <v>Feraz Mohamed</v>
      </c>
      <c r="V21" t="str">
        <f>XLOOKUP(E21,[1]!Bookings[Booking Name],[1]!Bookings[Agency Name])</f>
        <v>Metropolitan Capital Real Estate - Sole proprietorship LLC</v>
      </c>
      <c r="W21" t="str">
        <f>XLOOKUP(E21,[1]!Bookings[Booking Name],[1]!Bookings[Booking ID])</f>
        <v>a03NM00000U532a</v>
      </c>
      <c r="X21" t="str">
        <f>XLOOKUP(E21,[1]!Bookings[Booking Name],[1]!Bookings[Oracle Id])</f>
        <v>-</v>
      </c>
      <c r="Z21" t="str">
        <v>No Payment</v>
      </c>
      <c r="AA21">
        <v>0</v>
      </c>
      <c r="AB21" t="str">
        <v>No</v>
      </c>
      <c r="AC21" t="str">
        <v>Unit Swapped with OR-1407 as approved by Management</v>
      </c>
      <c r="AD21" t="str">
        <v>https://onedevelopmentuae-my.sharepoint.com/personal/n_araujo_oneuae_com/Documents/Desktop/Norton-Local/Requests/Rejected%20Bookings/Booking-1480%20-%20Booking%20Rejection%20Request.msg</v>
      </c>
      <c r="AE21" t="str">
        <v>Unit Swap - Approved by Management</v>
      </c>
      <c r="AF21" t="str">
        <v>Swapped from B512 to OR-1407</v>
      </c>
    </row>
    <row r="22">
      <c r="B22" t="str">
        <v>January</v>
      </c>
      <c r="C22">
        <v>46049</v>
      </c>
      <c r="D22">
        <f>XLOOKUP(E22,[1]!Bookings[Booking Name],[1]!Bookings[Rejected Date])</f>
        <v>46049</v>
      </c>
      <c r="E22" t="str">
        <v>Booking-1428</v>
      </c>
      <c r="F22" t="str">
        <f>XLOOKUP(E22,[1]!Bookings[Booking Name],[1]!Bookings[Booking Status])</f>
        <v>Rejected</v>
      </c>
      <c r="G22">
        <f>XLOOKUP(E22,[1]!Bookings[Booking Name],[1]!Bookings[Booking Date])</f>
        <v>46031</v>
      </c>
      <c r="H22">
        <f>XLOOKUP(E22,[1]!Bookings[Booking Name],[1]!Bookings[Booking Aging])</f>
        <v>28</v>
      </c>
      <c r="I22" t="str">
        <f>XLOOKUP(E22,[1]!Bookings[Booking Name],[1]!Bookings[Project Name])</f>
        <v>One Residence</v>
      </c>
      <c r="J22" t="str">
        <f>XLOOKUP(E22,[1]!Bookings[Booking Name],[1]!Bookings[Building])</f>
        <v>Tower 1</v>
      </c>
      <c r="K22" t="str">
        <f>XLOOKUP(E22,[1]!Bookings[Booking Name],[1]!Bookings[Bedrooms])</f>
        <v>2 BR</v>
      </c>
      <c r="L22" t="str">
        <f>XLOOKUP(E22,[1]!Bookings[Booking Name],[1]!Bookings[Unit No.])</f>
        <v>OR-1606</v>
      </c>
      <c r="M22" t="str">
        <f>XLOOKUP(E22,[1]!Bookings[Booking Name],[1]!Bookings[Inventory Unit Status])</f>
        <v>Booked</v>
      </c>
      <c r="N22" t="str">
        <f>XLOOKUP(E22,[1]!Bookings[Booking Name],[1]!Bookings[Booking Status])</f>
        <v>Rejected</v>
      </c>
      <c r="O22" t="str">
        <f>XLOOKUP(E22,[1]!Bookings[Booking Name],[1]!Bookings[Customer Name])</f>
        <v>Guy Ghosn</v>
      </c>
      <c r="P22" t="str">
        <f>XLOOKUP(E22,[1]!Bookings[Booking Name],[1]!Bookings[Nationality])</f>
        <v>Lebanon</v>
      </c>
      <c r="Q22">
        <f>XLOOKUP(E22,[1]!Bookings[Booking Name],[1]!Bookings[Discount Amount])</f>
        <v>0</v>
      </c>
      <c r="R22">
        <f>XLOOKUP(E22,[1]!Bookings[Booking Name],[1]!Bookings[Discount Percentage])</f>
        <v>0</v>
      </c>
      <c r="S22">
        <f>XLOOKUP(E22,[1]!Bookings[Booking Name],[1]!Bookings[Final Sale Value After Discount])</f>
        <v>2550000</v>
      </c>
      <c r="T22">
        <f>XLOOKUP(E22,[1]!Bookings[Booking Name],[1]!Bookings[Inv Final Sale Value])</f>
        <v>2550000</v>
      </c>
      <c r="U22" t="str">
        <f>XLOOKUP(E22,[1]!Bookings[Booking Name],[1]!Bookings[Sales])</f>
        <v>Hossam Mostafa</v>
      </c>
      <c r="V22" t="str">
        <f>XLOOKUP(E22,[1]!Bookings[Booking Name],[1]!Bookings[Agency Name])</f>
        <v>TOP OF THE TOP PROPERTIES  LLC - SPC</v>
      </c>
      <c r="W22" t="str">
        <f>XLOOKUP(E22,[1]!Bookings[Booking Name],[1]!Bookings[Booking ID])</f>
        <v>a03NM00000Sp3v3</v>
      </c>
      <c r="X22" t="str">
        <f>XLOOKUP(E22,[1]!Bookings[Booking Name],[1]!Bookings[Oracle Id])</f>
        <v>-</v>
      </c>
      <c r="Z22" t="str">
        <v>No Payment</v>
      </c>
      <c r="AA22">
        <v>0</v>
      </c>
      <c r="AB22" t="str">
        <v>N/A</v>
      </c>
      <c r="AC22" t="str">
        <v>Error in Booking</v>
      </c>
      <c r="AD22" t="str">
        <v>https://onedevelopmentuae-my.sharepoint.com/personal/n_araujo_oneuae_com/Documents/Desktop/Norton-Local/Requests/Rejected%20Bookings/Booking-1428%20-%20Booking%20Rejection%20Request.msg</v>
      </c>
      <c r="AE22" t="str">
        <v>Error In Cancellation</v>
      </c>
      <c r="AF22" t="str">
        <v>Customer initially requested to swap and then changed his mind</v>
      </c>
    </row>
    <row r="23">
      <c r="B23" t="str">
        <v>January</v>
      </c>
      <c r="C23">
        <v>46048</v>
      </c>
      <c r="D23">
        <f>XLOOKUP(E23,[1]!Bookings[Booking Name],[1]!Bookings[Rejected Date])</f>
        <v>46049</v>
      </c>
      <c r="E23" t="str">
        <v>Booking-1491</v>
      </c>
      <c r="F23" t="str">
        <f>XLOOKUP(E23,[1]!Bookings[Booking Name],[1]!Bookings[Booking Status])</f>
        <v>Rejected</v>
      </c>
      <c r="G23">
        <f>XLOOKUP(E23,[1]!Bookings[Booking Name],[1]!Bookings[Booking Date])</f>
        <v>46045</v>
      </c>
      <c r="H23">
        <f>XLOOKUP(E23,[1]!Bookings[Booking Name],[1]!Bookings[Booking Aging])</f>
        <v>14</v>
      </c>
      <c r="I23" t="str">
        <f>XLOOKUP(E23,[1]!Bookings[Booking Name],[1]!Bookings[Project Name])</f>
        <v>One Residence</v>
      </c>
      <c r="J23" t="str">
        <f>XLOOKUP(E23,[1]!Bookings[Booking Name],[1]!Bookings[Building])</f>
        <v>Tower 1</v>
      </c>
      <c r="K23" t="str">
        <f>XLOOKUP(E23,[1]!Bookings[Booking Name],[1]!Bookings[Bedrooms])</f>
        <v>2 BR</v>
      </c>
      <c r="L23" t="str">
        <f>XLOOKUP(E23,[1]!Bookings[Booking Name],[1]!Bookings[Unit No.])</f>
        <v>OR-2507</v>
      </c>
      <c r="M23" t="str">
        <f>XLOOKUP(E23,[1]!Bookings[Booking Name],[1]!Bookings[Inventory Unit Status])</f>
        <v>Booked</v>
      </c>
      <c r="N23" t="str">
        <f>XLOOKUP(E23,[1]!Bookings[Booking Name],[1]!Bookings[Booking Status])</f>
        <v>Rejected</v>
      </c>
      <c r="O23" t="str">
        <f>XLOOKUP(E23,[1]!Bookings[Booking Name],[1]!Bookings[Customer Name])</f>
        <v>JOEBEN TAI</v>
      </c>
      <c r="P23" t="str">
        <f>XLOOKUP(E23,[1]!Bookings[Booking Name],[1]!Bookings[Nationality])</f>
        <v>Philippines</v>
      </c>
      <c r="Q23">
        <f>XLOOKUP(E23,[1]!Bookings[Booking Name],[1]!Bookings[Discount Amount])</f>
        <v>49422</v>
      </c>
      <c r="R23">
        <f>XLOOKUP(E23,[1]!Bookings[Booking Name],[1]!Bookings[Discount Percentage])</f>
        <v>0.01960775756556252</v>
      </c>
      <c r="S23">
        <f>XLOOKUP(E23,[1]!Bookings[Booking Name],[1]!Bookings[Final Sale Value After Discount])</f>
        <v>2471111</v>
      </c>
      <c r="T23">
        <f>XLOOKUP(E23,[1]!Bookings[Booking Name],[1]!Bookings[Inv Final Sale Value])</f>
        <v>2520533</v>
      </c>
      <c r="U23" t="str">
        <f>XLOOKUP(E23,[1]!Bookings[Booking Name],[1]!Bookings[Sales])</f>
        <v>Tanveer Ansari</v>
      </c>
      <c r="V23" t="str">
        <f>XLOOKUP(E23,[1]!Bookings[Booking Name],[1]!Bookings[Agency Name])</f>
        <v>NOVA VISION REAL ESTATE L.L.C</v>
      </c>
      <c r="W23" t="str">
        <f>XLOOKUP(E23,[1]!Bookings[Booking Name],[1]!Bookings[Booking ID])</f>
        <v>a03NM00000UELMh</v>
      </c>
      <c r="X23" t="str">
        <f>XLOOKUP(E23,[1]!Bookings[Booking Name],[1]!Bookings[Oracle Id])</f>
        <v>-</v>
      </c>
      <c r="Z23" t="str">
        <v>No Payment</v>
      </c>
      <c r="AA23">
        <v>0</v>
      </c>
      <c r="AB23" t="str">
        <v>N/A</v>
      </c>
      <c r="AC23" t="str">
        <v>Cancelled due to Repricing</v>
      </c>
      <c r="AD23" t="str">
        <v>https://onedevelopmentuae-my.sharepoint.com/personal/n_araujo_oneuae_com/Documents/Desktop/Norton-Local/Requests/Rejected%20Bookings/Booking-1491%20-%20Booking%20Rejection%20Request.msg</v>
      </c>
      <c r="AE23" t="str">
        <v>Cancelled due to Price Revision</v>
      </c>
      <c r="AF23" t="str">
        <v>Cancelled due to Price Revision</v>
      </c>
    </row>
    <row r="24">
      <c r="B24" t="str">
        <v>January</v>
      </c>
      <c r="C24">
        <v>46048</v>
      </c>
      <c r="D24">
        <f>XLOOKUP(E24,[1]!Bookings[Booking Name],[1]!Bookings[Rejected Date])</f>
        <v>46048</v>
      </c>
      <c r="E24" t="str">
        <v>Booking-1489</v>
      </c>
      <c r="F24" t="str">
        <f>XLOOKUP(E24,[1]!Bookings[Booking Name],[1]!Bookings[Booking Status])</f>
        <v>Rejected</v>
      </c>
      <c r="G24">
        <f>XLOOKUP(E24,[1]!Bookings[Booking Name],[1]!Bookings[Booking Date])</f>
        <v>46045</v>
      </c>
      <c r="H24">
        <f>XLOOKUP(E24,[1]!Bookings[Booking Name],[1]!Bookings[Booking Aging])</f>
        <v>14</v>
      </c>
      <c r="I24" t="str">
        <f>XLOOKUP(E24,[1]!Bookings[Booking Name],[1]!Bookings[Project Name])</f>
        <v>One Residence</v>
      </c>
      <c r="J24" t="str">
        <f>XLOOKUP(E24,[1]!Bookings[Booking Name],[1]!Bookings[Building])</f>
        <v>Tower 1</v>
      </c>
      <c r="K24" t="str">
        <f>XLOOKUP(E24,[1]!Bookings[Booking Name],[1]!Bookings[Bedrooms])</f>
        <v>2 BR</v>
      </c>
      <c r="L24" t="str">
        <f>XLOOKUP(E24,[1]!Bookings[Booking Name],[1]!Bookings[Unit No.])</f>
        <v>OR-1301</v>
      </c>
      <c r="M24" t="str">
        <f>XLOOKUP(E24,[1]!Bookings[Booking Name],[1]!Bookings[Inventory Unit Status])</f>
        <v>Booked</v>
      </c>
      <c r="N24" t="str">
        <f>XLOOKUP(E24,[1]!Bookings[Booking Name],[1]!Bookings[Booking Status])</f>
        <v>Rejected</v>
      </c>
      <c r="O24" t="str">
        <f>XLOOKUP(E24,[1]!Bookings[Booking Name],[1]!Bookings[Customer Name])</f>
        <v>AHMED GAMAL AHMED SAYED ABDELHADY</v>
      </c>
      <c r="P24" t="str">
        <f>XLOOKUP(E24,[1]!Bookings[Booking Name],[1]!Bookings[Nationality])</f>
        <v>Egypt</v>
      </c>
      <c r="Q24">
        <f>XLOOKUP(E24,[1]!Bookings[Booking Name],[1]!Bookings[Discount Amount])</f>
        <v>54142</v>
      </c>
      <c r="R24">
        <f>XLOOKUP(E24,[1]!Bookings[Booking Name],[1]!Bookings[Discount Percentage])</f>
        <v>0.01960776502551559</v>
      </c>
      <c r="S24">
        <f>XLOOKUP(E24,[1]!Bookings[Booking Name],[1]!Bookings[Final Sale Value After Discount])</f>
        <v>2707111</v>
      </c>
      <c r="T24">
        <f>XLOOKUP(E24,[1]!Bookings[Booking Name],[1]!Bookings[Inv Final Sale Value])</f>
        <v>2761253</v>
      </c>
      <c r="U24" t="str">
        <f>XLOOKUP(E24,[1]!Bookings[Booking Name],[1]!Bookings[Sales])</f>
        <v>Feraz Mohamed</v>
      </c>
      <c r="V24" t="str">
        <f>XLOOKUP(E24,[1]!Bookings[Booking Name],[1]!Bookings[Agency Name])</f>
        <v>KINGS EDITION REAL ESTATE L.L.C</v>
      </c>
      <c r="W24" t="str">
        <f>XLOOKUP(E24,[1]!Bookings[Booking Name],[1]!Bookings[Booking ID])</f>
        <v>a03NM00000UDg9u</v>
      </c>
      <c r="X24" t="str">
        <f>XLOOKUP(E24,[1]!Bookings[Booking Name],[1]!Bookings[Oracle Id])</f>
        <v>-</v>
      </c>
      <c r="Z24" t="str">
        <v>No Payment</v>
      </c>
      <c r="AA24">
        <v>0</v>
      </c>
      <c r="AB24" t="str">
        <v>N/A</v>
      </c>
      <c r="AC24" t="str">
        <v>Cancelled due to Repricing</v>
      </c>
      <c r="AD24" t="str">
        <v>https://onedevelopmentuae-my.sharepoint.com/personal/n_araujo_oneuae_com/Documents/Desktop/Norton-Local/Requests/Rejected%20Bookings/Booking-1489%20-%20Booking%20Rejection%20Request.msg</v>
      </c>
      <c r="AE24" t="str">
        <v>Cancelled due to Price Revision</v>
      </c>
      <c r="AF24" t="str">
        <v>Cancelled due to Price Revision</v>
      </c>
    </row>
    <row r="25">
      <c r="B25" t="str">
        <v>January</v>
      </c>
      <c r="C25">
        <v>46044</v>
      </c>
      <c r="D25">
        <f>XLOOKUP(E25,[1]!Bookings[Booking Name],[1]!Bookings[Rejected Date])</f>
        <v>46044</v>
      </c>
      <c r="E25" t="str">
        <v>Booking-1340</v>
      </c>
      <c r="F25" t="str">
        <f>XLOOKUP(E25,[1]!Bookings[Booking Name],[1]!Bookings[Booking Status])</f>
        <v>Rejected</v>
      </c>
      <c r="G25">
        <f>XLOOKUP(E25,[1]!Bookings[Booking Name],[1]!Bookings[Booking Date])</f>
        <v>46029</v>
      </c>
      <c r="H25">
        <f>XLOOKUP(E25,[1]!Bookings[Booking Name],[1]!Bookings[Booking Aging])</f>
        <v>30</v>
      </c>
      <c r="I25" t="str">
        <f>XLOOKUP(E25,[1]!Bookings[Booking Name],[1]!Bookings[Project Name])</f>
        <v>One Residence</v>
      </c>
      <c r="J25" t="str">
        <f>XLOOKUP(E25,[1]!Bookings[Booking Name],[1]!Bookings[Building])</f>
        <v>Tower 1</v>
      </c>
      <c r="K25" t="str">
        <f>XLOOKUP(E25,[1]!Bookings[Booking Name],[1]!Bookings[Bedrooms])</f>
        <v>1 BR</v>
      </c>
      <c r="L25" t="str">
        <f>XLOOKUP(E25,[1]!Bookings[Booking Name],[1]!Bookings[Unit No.])</f>
        <v>OR-603</v>
      </c>
      <c r="M25" t="str">
        <f>XLOOKUP(E25,[1]!Bookings[Booking Name],[1]!Bookings[Inventory Unit Status])</f>
        <v>Booked</v>
      </c>
      <c r="N25" t="str">
        <f>XLOOKUP(E25,[1]!Bookings[Booking Name],[1]!Bookings[Booking Status])</f>
        <v>Rejected</v>
      </c>
      <c r="O25" t="str">
        <f>XLOOKUP(E25,[1]!Bookings[Booking Name],[1]!Bookings[Customer Name])</f>
        <v>Carlos Augusto Castro</v>
      </c>
      <c r="P25" t="str">
        <f>XLOOKUP(E25,[1]!Bookings[Booking Name],[1]!Bookings[Nationality])</f>
        <v>United Arab Emirates</v>
      </c>
      <c r="Q25">
        <f>XLOOKUP(E25,[1]!Bookings[Booking Name],[1]!Bookings[Discount Amount])</f>
        <v>11626</v>
      </c>
      <c r="R25">
        <f>XLOOKUP(E25,[1]!Bookings[Booking Name],[1]!Bookings[Discount Percentage])</f>
        <v>0.00726625</v>
      </c>
      <c r="S25">
        <f>XLOOKUP(E25,[1]!Bookings[Booking Name],[1]!Bookings[Final Sale Value After Discount])</f>
        <v>1588374</v>
      </c>
      <c r="T25">
        <f>XLOOKUP(E25,[1]!Bookings[Booking Name],[1]!Bookings[Inv Final Sale Value])</f>
        <v>1600000</v>
      </c>
      <c r="U25" t="str">
        <f>XLOOKUP(E25,[1]!Bookings[Booking Name],[1]!Bookings[Sales])</f>
        <v>Keana Nagtalon</v>
      </c>
      <c r="V25" t="str">
        <f>XLOOKUP(E25,[1]!Bookings[Booking Name],[1]!Bookings[Agency Name])</f>
        <v>Property Shop Investment LLC</v>
      </c>
      <c r="W25" t="str">
        <f>XLOOKUP(E25,[1]!Bookings[Booking Name],[1]!Bookings[Booking ID])</f>
        <v>a03NM00000SfMyv</v>
      </c>
      <c r="X25" t="str">
        <f>XLOOKUP(E25,[1]!Bookings[Booking Name],[1]!Bookings[Oracle Id])</f>
        <v>-</v>
      </c>
      <c r="Z25" t="str">
        <v>No Payment</v>
      </c>
      <c r="AA25">
        <v>0</v>
      </c>
      <c r="AB25" t="str">
        <v>N/A</v>
      </c>
      <c r="AC25" t="str">
        <v>Customer requested to cancel Booking.</v>
      </c>
      <c r="AD25" t="str">
        <v>https://onedevelopmentuae-my.sharepoint.com/personal/n_araujo_oneuae_com/Documents/Desktop/Norton-Local/Requests/Rejected%20Bookings/Booking-1340%20-%20Booking%20Rejection%20Request.msg</v>
      </c>
      <c r="AE25" t="str">
        <v>Customer requested to cancel</v>
      </c>
      <c r="AF25" t="str">
        <v>Customer is unable to continue with the Purchase</v>
      </c>
    </row>
    <row r="26">
      <c r="B26" t="str">
        <v>January</v>
      </c>
      <c r="C26">
        <v>46044</v>
      </c>
      <c r="D26">
        <f>XLOOKUP(E26,[1]!Bookings[Booking Name],[1]!Bookings[Rejected Date])</f>
        <v>46044</v>
      </c>
      <c r="E26" t="str">
        <v>Booking-1477</v>
      </c>
      <c r="F26" t="str">
        <f>XLOOKUP(E26,[1]!Bookings[Booking Name],[1]!Bookings[Booking Status])</f>
        <v>Rejected</v>
      </c>
      <c r="G26">
        <f>XLOOKUP(E26,[1]!Bookings[Booking Name],[1]!Bookings[Booking Date])</f>
        <v>46043</v>
      </c>
      <c r="H26">
        <f>XLOOKUP(E26,[1]!Bookings[Booking Name],[1]!Bookings[Booking Aging])</f>
        <v>16</v>
      </c>
      <c r="I26" t="str">
        <f>XLOOKUP(E26,[1]!Bookings[Booking Name],[1]!Bookings[Project Name])</f>
        <v>One Residence</v>
      </c>
      <c r="J26" t="str">
        <f>XLOOKUP(E26,[1]!Bookings[Booking Name],[1]!Bookings[Building])</f>
        <v>Tower 1</v>
      </c>
      <c r="K26" t="str">
        <f>XLOOKUP(E26,[1]!Bookings[Booking Name],[1]!Bookings[Bedrooms])</f>
        <v>1 BR</v>
      </c>
      <c r="L26" t="str">
        <f>XLOOKUP(E26,[1]!Bookings[Booking Name],[1]!Bookings[Unit No.])</f>
        <v>OR-808</v>
      </c>
      <c r="M26" t="str">
        <f>XLOOKUP(E26,[1]!Bookings[Booking Name],[1]!Bookings[Inventory Unit Status])</f>
        <v>Booked</v>
      </c>
      <c r="N26" t="str">
        <f>XLOOKUP(E26,[1]!Bookings[Booking Name],[1]!Bookings[Booking Status])</f>
        <v>Rejected</v>
      </c>
      <c r="O26" t="str">
        <f>XLOOKUP(E26,[1]!Bookings[Booking Name],[1]!Bookings[Customer Name])</f>
        <v>REDA AYOUBI</v>
      </c>
      <c r="P26" t="str">
        <f>XLOOKUP(E26,[1]!Bookings[Booking Name],[1]!Bookings[Nationality])</f>
        <v>United States of America</v>
      </c>
      <c r="Q26">
        <f>XLOOKUP(E26,[1]!Bookings[Booking Name],[1]!Bookings[Discount Amount])</f>
        <v>-50000</v>
      </c>
      <c r="R26">
        <f>XLOOKUP(E26,[1]!Bookings[Booking Name],[1]!Bookings[Discount Percentage])</f>
        <v>-0.03067484662576687</v>
      </c>
      <c r="S26">
        <f>XLOOKUP(E26,[1]!Bookings[Booking Name],[1]!Bookings[Final Sale Value After Discount])</f>
        <v>1680000</v>
      </c>
      <c r="T26">
        <f>XLOOKUP(E26,[1]!Bookings[Booking Name],[1]!Bookings[Inv Final Sale Value])</f>
        <v>1630000</v>
      </c>
      <c r="U26" t="str">
        <f>XLOOKUP(E26,[1]!Bookings[Booking Name],[1]!Bookings[Sales])</f>
        <v>Amr Abdelghafar</v>
      </c>
      <c r="V26" t="str">
        <f>XLOOKUP(E26,[1]!Bookings[Booking Name],[1]!Bookings[Agency Name])</f>
        <v>P S I ASSETS REAL ESTATES L.L.C.</v>
      </c>
      <c r="W26" t="str">
        <f>XLOOKUP(E26,[1]!Bookings[Booking Name],[1]!Bookings[Booking ID])</f>
        <v>a03NM00000U0VNa</v>
      </c>
      <c r="X26" t="str">
        <f>XLOOKUP(E26,[1]!Bookings[Booking Name],[1]!Bookings[Oracle Id])</f>
        <v>-</v>
      </c>
      <c r="Z26" t="str">
        <v>No Payment</v>
      </c>
      <c r="AA26">
        <v>0</v>
      </c>
      <c r="AB26" t="str">
        <v>N/A</v>
      </c>
      <c r="AC26" t="str">
        <v>Cancelled due to Repricing</v>
      </c>
      <c r="AD26" t="str">
        <v>https://onedevelopmentuae-my.sharepoint.com/personal/n_araujo_oneuae_com/Documents/Desktop/Norton-Local/Requests/Rejected%20Bookings/Booking-1477%20-%20Booking%20Rejection%20Request.msg</v>
      </c>
      <c r="AE26" t="str">
        <v>Cancelled due to Price Revision</v>
      </c>
      <c r="AF26" t="str">
        <v>Cancelled due to Price Revision</v>
      </c>
    </row>
    <row r="27">
      <c r="B27" t="str">
        <v>January</v>
      </c>
      <c r="C27">
        <v>46044</v>
      </c>
      <c r="D27">
        <f>XLOOKUP(E27,[1]!Bookings[Booking Name],[1]!Bookings[Rejected Date])</f>
        <v>46044</v>
      </c>
      <c r="E27" t="str">
        <v>Booking-1425</v>
      </c>
      <c r="F27" t="str">
        <f>XLOOKUP(E27,[1]!Bookings[Booking Name],[1]!Bookings[Booking Status])</f>
        <v>Rejected</v>
      </c>
      <c r="G27">
        <f>XLOOKUP(E27,[1]!Bookings[Booking Name],[1]!Bookings[Booking Date])</f>
        <v>46031</v>
      </c>
      <c r="H27">
        <f>XLOOKUP(E27,[1]!Bookings[Booking Name],[1]!Bookings[Booking Aging])</f>
        <v>28</v>
      </c>
      <c r="I27" t="str">
        <f>XLOOKUP(E27,[1]!Bookings[Booking Name],[1]!Bookings[Project Name])</f>
        <v>One Residence</v>
      </c>
      <c r="J27" t="str">
        <f>XLOOKUP(E27,[1]!Bookings[Booking Name],[1]!Bookings[Building])</f>
        <v>Tower 1</v>
      </c>
      <c r="K27" t="str">
        <f>XLOOKUP(E27,[1]!Bookings[Booking Name],[1]!Bookings[Bedrooms])</f>
        <v>2 BR</v>
      </c>
      <c r="L27" t="str">
        <f>XLOOKUP(E27,[1]!Bookings[Booking Name],[1]!Bookings[Unit No.])</f>
        <v>OR-1205</v>
      </c>
      <c r="M27" t="str">
        <f>XLOOKUP(E27,[1]!Bookings[Booking Name],[1]!Bookings[Inventory Unit Status])</f>
        <v>Booked</v>
      </c>
      <c r="N27" t="str">
        <f>XLOOKUP(E27,[1]!Bookings[Booking Name],[1]!Bookings[Booking Status])</f>
        <v>Rejected</v>
      </c>
      <c r="O27" t="str">
        <f>XLOOKUP(E27,[1]!Bookings[Booking Name],[1]!Bookings[Customer Name])</f>
        <v>George michael Baida</v>
      </c>
      <c r="P27" t="str">
        <f>XLOOKUP(E27,[1]!Bookings[Booking Name],[1]!Bookings[Nationality])</f>
        <v>United States of America</v>
      </c>
      <c r="Q27">
        <f>XLOOKUP(E27,[1]!Bookings[Booking Name],[1]!Bookings[Discount Amount])</f>
        <v>10000</v>
      </c>
      <c r="R27">
        <f>XLOOKUP(E27,[1]!Bookings[Booking Name],[1]!Bookings[Discount Percentage])</f>
        <v>0.004048582995951417</v>
      </c>
      <c r="S27">
        <f>XLOOKUP(E27,[1]!Bookings[Booking Name],[1]!Bookings[Final Sale Value After Discount])</f>
        <v>2460000</v>
      </c>
      <c r="T27">
        <f>XLOOKUP(E27,[1]!Bookings[Booking Name],[1]!Bookings[Inv Final Sale Value])</f>
        <v>2470000</v>
      </c>
      <c r="U27" t="str">
        <f>XLOOKUP(E27,[1]!Bookings[Booking Name],[1]!Bookings[Sales])</f>
        <v>Jamil Ibrahim</v>
      </c>
      <c r="V27" t="str">
        <f>XLOOKUP(E27,[1]!Bookings[Booking Name],[1]!Bookings[Agency Name])</f>
        <v>LEGACY LIVING REAL ESTATE - L.L.C - S.P.C</v>
      </c>
      <c r="W27" t="str">
        <f>XLOOKUP(E27,[1]!Bookings[Booking Name],[1]!Bookings[Booking ID])</f>
        <v>a03NM00000Soffx</v>
      </c>
      <c r="X27" t="str">
        <f>XLOOKUP(E27,[1]!Bookings[Booking Name],[1]!Bookings[Oracle Id])</f>
        <v>-</v>
      </c>
      <c r="Z27" t="str">
        <v>No Payment</v>
      </c>
      <c r="AA27">
        <v>0</v>
      </c>
      <c r="AB27" t="str">
        <v>N/A</v>
      </c>
      <c r="AC27" t="str">
        <v>Cancelled due to Repricing</v>
      </c>
      <c r="AD27" t="str">
        <v>https://onedevelopmentuae-my.sharepoint.com/personal/n_araujo_oneuae_com/Documents/Desktop/Norton-Local/Requests/Rejected%20Bookings/Booking-1425%20-%20Booking%20Rejection%20Request.msg</v>
      </c>
      <c r="AE27" t="str">
        <v>Cancelled due to Price Revision</v>
      </c>
      <c r="AF27" t="str">
        <v>Cancelled due to Price Revision</v>
      </c>
    </row>
    <row r="28">
      <c r="B28" t="str">
        <v>January</v>
      </c>
      <c r="C28">
        <v>46043</v>
      </c>
      <c r="D28">
        <f>XLOOKUP(E28,[1]!Bookings[Booking Name],[1]!Bookings[Rejected Date])</f>
        <v>46043</v>
      </c>
      <c r="E28" t="str">
        <v>Booking-1250</v>
      </c>
      <c r="F28" t="str">
        <f>XLOOKUP(E28,[1]!Bookings[Booking Name],[1]!Bookings[Booking Status])</f>
        <v>Rejected</v>
      </c>
      <c r="G28">
        <f>XLOOKUP(E28,[1]!Bookings[Booking Name],[1]!Bookings[Booking Date])</f>
        <v>46002</v>
      </c>
      <c r="H28">
        <f>XLOOKUP(E28,[1]!Bookings[Booking Name],[1]!Bookings[Booking Aging])</f>
        <v>57</v>
      </c>
      <c r="I28" t="str">
        <f>XLOOKUP(E28,[1]!Bookings[Booking Name],[1]!Bookings[Project Name])</f>
        <v>Do Dubai Island</v>
      </c>
      <c r="J28" t="str">
        <f>XLOOKUP(E28,[1]!Bookings[Booking Name],[1]!Bookings[Building])</f>
        <v>Tower 1</v>
      </c>
      <c r="K28" t="str">
        <f>XLOOKUP(E28,[1]!Bookings[Booking Name],[1]!Bookings[Bedrooms])</f>
        <v>1 Bedroom</v>
      </c>
      <c r="L28" t="str">
        <f>XLOOKUP(E28,[1]!Bookings[Booking Name],[1]!Bookings[Unit No.])</f>
        <v>106</v>
      </c>
      <c r="M28" t="str">
        <f>XLOOKUP(E28,[1]!Bookings[Booking Name],[1]!Bookings[Inventory Unit Status])</f>
        <v>Available</v>
      </c>
      <c r="N28" t="str">
        <f>XLOOKUP(E28,[1]!Bookings[Booking Name],[1]!Bookings[Booking Status])</f>
        <v>Rejected</v>
      </c>
      <c r="O28" t="str">
        <f>XLOOKUP(E28,[1]!Bookings[Booking Name],[1]!Bookings[Customer Name])</f>
        <v>Albert Nesterov</v>
      </c>
      <c r="P28" t="str">
        <f>XLOOKUP(E28,[1]!Bookings[Booking Name],[1]!Bookings[Nationality])</f>
        <v>Russia</v>
      </c>
      <c r="Q28">
        <f>XLOOKUP(E28,[1]!Bookings[Booking Name],[1]!Bookings[Discount Amount])</f>
        <v>0</v>
      </c>
      <c r="R28">
        <f>XLOOKUP(E28,[1]!Bookings[Booking Name],[1]!Bookings[Discount Percentage])</f>
        <v>0</v>
      </c>
      <c r="S28">
        <f>XLOOKUP(E28,[1]!Bookings[Booking Name],[1]!Bookings[Final Sale Value After Discount])</f>
        <v>2525000</v>
      </c>
      <c r="T28">
        <f>XLOOKUP(E28,[1]!Bookings[Booking Name],[1]!Bookings[Inv Final Sale Value])</f>
        <v>2525000</v>
      </c>
      <c r="U28" t="str">
        <f>XLOOKUP(E28,[1]!Bookings[Booking Name],[1]!Bookings[Sales])</f>
        <v>Vladyslav Parkhomchuk</v>
      </c>
      <c r="V28" t="str">
        <f>XLOOKUP(E28,[1]!Bookings[Booking Name],[1]!Bookings[Agency Name])</f>
        <v>Rich Property Real Estate Brokerages LLC</v>
      </c>
      <c r="W28" t="str">
        <f>XLOOKUP(E28,[1]!Bookings[Booking Name],[1]!Bookings[Booking ID])</f>
        <v>a03NM00000PGtRx</v>
      </c>
      <c r="X28" t="str">
        <f>XLOOKUP(E28,[1]!Bookings[Booking Name],[1]!Bookings[Oracle Id])</f>
        <v>-</v>
      </c>
      <c r="Z28" t="str">
        <v>No Payment</v>
      </c>
      <c r="AA28">
        <v>0</v>
      </c>
      <c r="AB28" t="str">
        <v>N/A</v>
      </c>
      <c r="AC28" t="str">
        <v>Cancelled due to Non Payment</v>
      </c>
      <c r="AD28" t="str">
        <v>https://onedevelopmentuae-my.sharepoint.com/personal/n_araujo_oneuae_com/Documents/Desktop/Norton-Local/Requests/Rejected%20Bookings/Booking-1250%20-%20Booking%20Rejection%20Request.msg</v>
      </c>
      <c r="AE28" t="str">
        <v>Cancelled due to Non Payment</v>
      </c>
      <c r="AF28" t="str">
        <v>Cancellation Request raised by Sales Operations Team</v>
      </c>
    </row>
    <row r="29">
      <c r="B29" t="str">
        <v>January</v>
      </c>
      <c r="C29">
        <v>46043</v>
      </c>
      <c r="D29">
        <f>XLOOKUP(E29,[1]!Bookings[Booking Name],[1]!Bookings[Rejected Date])</f>
        <v>46043</v>
      </c>
      <c r="E29" t="str">
        <v>Booking-1461</v>
      </c>
      <c r="F29" t="str">
        <f>XLOOKUP(E29,[1]!Bookings[Booking Name],[1]!Bookings[Booking Status])</f>
        <v>Rejected</v>
      </c>
      <c r="G29">
        <f>XLOOKUP(E29,[1]!Bookings[Booking Name],[1]!Bookings[Booking Date])</f>
        <v>46041</v>
      </c>
      <c r="H29">
        <f>XLOOKUP(E29,[1]!Bookings[Booking Name],[1]!Bookings[Booking Aging])</f>
        <v>18</v>
      </c>
      <c r="I29" t="str">
        <f>XLOOKUP(E29,[1]!Bookings[Booking Name],[1]!Bookings[Project Name])</f>
        <v>One Residence</v>
      </c>
      <c r="J29" t="str">
        <f>XLOOKUP(E29,[1]!Bookings[Booking Name],[1]!Bookings[Building])</f>
        <v>Tower 1</v>
      </c>
      <c r="K29" t="str">
        <f>XLOOKUP(E29,[1]!Bookings[Booking Name],[1]!Bookings[Bedrooms])</f>
        <v>1 BR</v>
      </c>
      <c r="L29" t="str">
        <f>XLOOKUP(E29,[1]!Bookings[Booking Name],[1]!Bookings[Unit No.])</f>
        <v>OR-808</v>
      </c>
      <c r="M29" t="str">
        <f>XLOOKUP(E29,[1]!Bookings[Booking Name],[1]!Bookings[Inventory Unit Status])</f>
        <v>Booked</v>
      </c>
      <c r="N29" t="str">
        <f>XLOOKUP(E29,[1]!Bookings[Booking Name],[1]!Bookings[Booking Status])</f>
        <v>Rejected</v>
      </c>
      <c r="O29" t="str">
        <f>XLOOKUP(E29,[1]!Bookings[Booking Name],[1]!Bookings[Customer Name])</f>
        <v>FAHD AYOUBI</v>
      </c>
      <c r="P29" t="str">
        <f>XLOOKUP(E29,[1]!Bookings[Booking Name],[1]!Bookings[Nationality])</f>
        <v>United States of America</v>
      </c>
      <c r="Q29">
        <f>XLOOKUP(E29,[1]!Bookings[Booking Name],[1]!Bookings[Discount Amount])</f>
        <v>-50000</v>
      </c>
      <c r="R29">
        <f>XLOOKUP(E29,[1]!Bookings[Booking Name],[1]!Bookings[Discount Percentage])</f>
        <v>-0.03067484662576687</v>
      </c>
      <c r="S29">
        <f>XLOOKUP(E29,[1]!Bookings[Booking Name],[1]!Bookings[Final Sale Value After Discount])</f>
        <v>1680000</v>
      </c>
      <c r="T29">
        <f>XLOOKUP(E29,[1]!Bookings[Booking Name],[1]!Bookings[Inv Final Sale Value])</f>
        <v>1630000</v>
      </c>
      <c r="U29" t="str">
        <f>XLOOKUP(E29,[1]!Bookings[Booking Name],[1]!Bookings[Sales])</f>
        <v>Amr Abdelghafar</v>
      </c>
      <c r="V29" t="str">
        <f>XLOOKUP(E29,[1]!Bookings[Booking Name],[1]!Bookings[Agency Name])</f>
        <v>P S I ASSETS REAL ESTATES L.L.C.</v>
      </c>
      <c r="W29" t="str">
        <f>XLOOKUP(E29,[1]!Bookings[Booking Name],[1]!Bookings[Booking ID])</f>
        <v>a03NM00000Tn6ef</v>
      </c>
      <c r="X29" t="str">
        <f>XLOOKUP(E29,[1]!Bookings[Booking Name],[1]!Bookings[Oracle Id])</f>
        <v>-</v>
      </c>
      <c r="Z29" t="str">
        <v>No Payment</v>
      </c>
      <c r="AA29">
        <v>0</v>
      </c>
      <c r="AB29" t="str">
        <v>N/A</v>
      </c>
      <c r="AC29" t="str">
        <v>Cancelled due to Repricing</v>
      </c>
      <c r="AD29" t="str">
        <v>https://onedevelopmentuae-my.sharepoint.com/personal/n_araujo_oneuae_com/Documents/Desktop/Norton-Local/Requests/Rejected%20Bookings/Booking-1461%20-%20Booking%20Rejection%20Request.msg</v>
      </c>
      <c r="AE29" t="str">
        <v>Cancelled due to Price Revision</v>
      </c>
      <c r="AF29" t="str">
        <v>Cancelled due to Price Revision</v>
      </c>
    </row>
    <row r="30">
      <c r="B30" t="str">
        <v>January</v>
      </c>
      <c r="C30">
        <v>46043</v>
      </c>
      <c r="D30">
        <f>XLOOKUP(E30,[1]!Bookings[Booking Name],[1]!Bookings[Rejected Date])</f>
        <v>46043</v>
      </c>
      <c r="E30" t="str">
        <v>Booking-1394</v>
      </c>
      <c r="F30" t="str">
        <f>XLOOKUP(E30,[1]!Bookings[Booking Name],[1]!Bookings[Booking Status])</f>
        <v>Rejected</v>
      </c>
      <c r="G30">
        <f>XLOOKUP(E30,[1]!Bookings[Booking Name],[1]!Bookings[Booking Date])</f>
        <v>46031</v>
      </c>
      <c r="H30">
        <f>XLOOKUP(E30,[1]!Bookings[Booking Name],[1]!Bookings[Booking Aging])</f>
        <v>28</v>
      </c>
      <c r="I30" t="str">
        <f>XLOOKUP(E30,[1]!Bookings[Booking Name],[1]!Bookings[Project Name])</f>
        <v>One Residence</v>
      </c>
      <c r="J30" t="str">
        <f>XLOOKUP(E30,[1]!Bookings[Booking Name],[1]!Bookings[Building])</f>
        <v>Tower 1</v>
      </c>
      <c r="K30" t="str">
        <f>XLOOKUP(E30,[1]!Bookings[Booking Name],[1]!Bookings[Bedrooms])</f>
        <v>1 BR</v>
      </c>
      <c r="L30" t="str">
        <f>XLOOKUP(E30,[1]!Bookings[Booking Name],[1]!Bookings[Unit No.])</f>
        <v>OR-809</v>
      </c>
      <c r="M30" t="str">
        <f>XLOOKUP(E30,[1]!Bookings[Booking Name],[1]!Bookings[Inventory Unit Status])</f>
        <v>Booked</v>
      </c>
      <c r="N30" t="str">
        <f>XLOOKUP(E30,[1]!Bookings[Booking Name],[1]!Bookings[Booking Status])</f>
        <v>Rejected</v>
      </c>
      <c r="O30" t="str">
        <f>XLOOKUP(E30,[1]!Bookings[Booking Name],[1]!Bookings[Customer Name])</f>
        <v>REDA AYOUBI</v>
      </c>
      <c r="P30" t="str">
        <f>XLOOKUP(E30,[1]!Bookings[Booking Name],[1]!Bookings[Nationality])</f>
        <v>United States of America</v>
      </c>
      <c r="Q30">
        <f>XLOOKUP(E30,[1]!Bookings[Booking Name],[1]!Bookings[Discount Amount])</f>
        <v>0</v>
      </c>
      <c r="R30">
        <f>XLOOKUP(E30,[1]!Bookings[Booking Name],[1]!Bookings[Discount Percentage])</f>
        <v>0</v>
      </c>
      <c r="S30">
        <f>XLOOKUP(E30,[1]!Bookings[Booking Name],[1]!Bookings[Final Sale Value After Discount])</f>
        <v>1670000</v>
      </c>
      <c r="T30">
        <f>XLOOKUP(E30,[1]!Bookings[Booking Name],[1]!Bookings[Inv Final Sale Value])</f>
        <v>1670000</v>
      </c>
      <c r="U30" t="str">
        <f>XLOOKUP(E30,[1]!Bookings[Booking Name],[1]!Bookings[Sales])</f>
        <v>Amr Abdelghafar</v>
      </c>
      <c r="V30" t="str">
        <f>XLOOKUP(E30,[1]!Bookings[Booking Name],[1]!Bookings[Agency Name])</f>
        <v>P S I ASSETS REAL ESTATES L.L.C.</v>
      </c>
      <c r="W30" t="str">
        <f>XLOOKUP(E30,[1]!Bookings[Booking Name],[1]!Bookings[Booking ID])</f>
        <v>a03NM00000Snp7v</v>
      </c>
      <c r="X30" t="str">
        <f>XLOOKUP(E30,[1]!Bookings[Booking Name],[1]!Bookings[Oracle Id])</f>
        <v>-</v>
      </c>
      <c r="Z30" t="str">
        <v>No Payment</v>
      </c>
      <c r="AA30">
        <v>0</v>
      </c>
      <c r="AB30" t="str">
        <v>N/A</v>
      </c>
      <c r="AC30" t="str">
        <v>Cancelled due to Repricing</v>
      </c>
      <c r="AD30" t="str">
        <v>https://onedevelopmentuae-my.sharepoint.com/personal/n_araujo_oneuae_com/Documents/Desktop/Norton-Local/Requests/Rejected%20Bookings/Booking-1394%20-%20Booking%20Rejection%20Request.msg</v>
      </c>
      <c r="AE30" t="str">
        <v>Cancelled due to Price Revision</v>
      </c>
      <c r="AF30" t="str">
        <v>Cancelled due to Price Revision</v>
      </c>
    </row>
    <row r="31">
      <c r="B31" t="str">
        <v>January</v>
      </c>
      <c r="C31">
        <v>46043</v>
      </c>
      <c r="D31">
        <f>XLOOKUP(E31,[1]!Bookings[Booking Name],[1]!Bookings[Rejected Date])</f>
        <v>46043</v>
      </c>
      <c r="E31" t="str">
        <v>Booking-1424</v>
      </c>
      <c r="F31" t="str">
        <f>XLOOKUP(E31,[1]!Bookings[Booking Name],[1]!Bookings[Booking Status])</f>
        <v>Rejected</v>
      </c>
      <c r="G31">
        <f>XLOOKUP(E31,[1]!Bookings[Booking Name],[1]!Bookings[Booking Date])</f>
        <v>46031</v>
      </c>
      <c r="H31">
        <f>XLOOKUP(E31,[1]!Bookings[Booking Name],[1]!Bookings[Booking Aging])</f>
        <v>28</v>
      </c>
      <c r="I31" t="str">
        <f>XLOOKUP(E31,[1]!Bookings[Booking Name],[1]!Bookings[Project Name])</f>
        <v>One Residence</v>
      </c>
      <c r="J31" t="str">
        <f>XLOOKUP(E31,[1]!Bookings[Booking Name],[1]!Bookings[Building])</f>
        <v>Tower 1</v>
      </c>
      <c r="K31" t="str">
        <f>XLOOKUP(E31,[1]!Bookings[Booking Name],[1]!Bookings[Bedrooms])</f>
        <v>1 BR</v>
      </c>
      <c r="L31" t="str">
        <f>XLOOKUP(E31,[1]!Bookings[Booking Name],[1]!Bookings[Unit No.])</f>
        <v>OR-610</v>
      </c>
      <c r="M31" t="str">
        <f>XLOOKUP(E31,[1]!Bookings[Booking Name],[1]!Bookings[Inventory Unit Status])</f>
        <v>Booked</v>
      </c>
      <c r="N31" t="str">
        <f>XLOOKUP(E31,[1]!Bookings[Booking Name],[1]!Bookings[Booking Status])</f>
        <v>Rejected</v>
      </c>
      <c r="O31" t="str">
        <f>XLOOKUP(E31,[1]!Bookings[Booking Name],[1]!Bookings[Customer Name])</f>
        <v>Mohammad Kerdi</v>
      </c>
      <c r="P31" t="str">
        <f>XLOOKUP(E31,[1]!Bookings[Booking Name],[1]!Bookings[Nationality])</f>
        <v>Lebanon</v>
      </c>
      <c r="Q31">
        <f>XLOOKUP(E31,[1]!Bookings[Booking Name],[1]!Bookings[Discount Amount])</f>
        <v>2000</v>
      </c>
      <c r="R31">
        <f>XLOOKUP(E31,[1]!Bookings[Booking Name],[1]!Bookings[Discount Percentage])</f>
        <v>0.00125</v>
      </c>
      <c r="S31">
        <f>XLOOKUP(E31,[1]!Bookings[Booking Name],[1]!Bookings[Final Sale Value After Discount])</f>
        <v>1598000</v>
      </c>
      <c r="T31">
        <f>XLOOKUP(E31,[1]!Bookings[Booking Name],[1]!Bookings[Inv Final Sale Value])</f>
        <v>1600000</v>
      </c>
      <c r="U31" t="str">
        <f>XLOOKUP(E31,[1]!Bookings[Booking Name],[1]!Bookings[Sales])</f>
        <v>Amr Abdelghafar</v>
      </c>
      <c r="V31" t="str">
        <f>XLOOKUP(E31,[1]!Bookings[Booking Name],[1]!Bookings[Agency Name])</f>
        <v>LEGACY LIVING REAL ESTATE - L.L.C - S.P.C</v>
      </c>
      <c r="W31" t="str">
        <f>XLOOKUP(E31,[1]!Bookings[Booking Name],[1]!Bookings[Booking ID])</f>
        <v>a03NM00000SpEbx</v>
      </c>
      <c r="X31" t="str">
        <f>XLOOKUP(E31,[1]!Bookings[Booking Name],[1]!Bookings[Oracle Id])</f>
        <v>-</v>
      </c>
      <c r="Z31" t="str">
        <v>No Payment</v>
      </c>
      <c r="AA31">
        <v>0</v>
      </c>
      <c r="AB31" t="str">
        <v>N/A</v>
      </c>
      <c r="AC31" t="str">
        <v>Cancelled due to Repricing</v>
      </c>
      <c r="AD31" t="str">
        <v>https://onedevelopmentuae-my.sharepoint.com/personal/n_araujo_oneuae_com/Documents/Desktop/Norton-Local/Requests/Rejected%20Bookings/Booking-1424%20-%20Booking%20Rejection%20Request.msg</v>
      </c>
      <c r="AE31" t="str">
        <v>Cancelled due to Price Revision</v>
      </c>
      <c r="AF31" t="str">
        <v>Cancelled due to Price Revision</v>
      </c>
    </row>
    <row r="32">
      <c r="B32" t="str">
        <v>January</v>
      </c>
      <c r="C32">
        <v>46043</v>
      </c>
      <c r="D32">
        <f>XLOOKUP(E32,[1]!Bookings[Booking Name],[1]!Bookings[Rejected Date])</f>
        <v>46043</v>
      </c>
      <c r="E32" t="str">
        <v>Booking-1420</v>
      </c>
      <c r="F32" t="str">
        <f>XLOOKUP(E32,[1]!Bookings[Booking Name],[1]!Bookings[Booking Status])</f>
        <v>Rejected</v>
      </c>
      <c r="G32">
        <f>XLOOKUP(E32,[1]!Bookings[Booking Name],[1]!Bookings[Booking Date])</f>
        <v>46031</v>
      </c>
      <c r="H32">
        <f>XLOOKUP(E32,[1]!Bookings[Booking Name],[1]!Bookings[Booking Aging])</f>
        <v>28</v>
      </c>
      <c r="I32" t="str">
        <f>XLOOKUP(E32,[1]!Bookings[Booking Name],[1]!Bookings[Project Name])</f>
        <v>One Residence</v>
      </c>
      <c r="J32" t="str">
        <f>XLOOKUP(E32,[1]!Bookings[Booking Name],[1]!Bookings[Building])</f>
        <v>Tower 1</v>
      </c>
      <c r="K32" t="str">
        <f>XLOOKUP(E32,[1]!Bookings[Booking Name],[1]!Bookings[Bedrooms])</f>
        <v>2 BR</v>
      </c>
      <c r="L32" t="str">
        <f>XLOOKUP(E32,[1]!Bookings[Booking Name],[1]!Bookings[Unit No.])</f>
        <v>OR-1309</v>
      </c>
      <c r="M32" t="str">
        <f>XLOOKUP(E32,[1]!Bookings[Booking Name],[1]!Bookings[Inventory Unit Status])</f>
        <v>Booked</v>
      </c>
      <c r="N32" t="str">
        <f>XLOOKUP(E32,[1]!Bookings[Booking Name],[1]!Bookings[Booking Status])</f>
        <v>Rejected</v>
      </c>
      <c r="O32" t="str">
        <f>XLOOKUP(E32,[1]!Bookings[Booking Name],[1]!Bookings[Customer Name])</f>
        <v>NANIK RAM PARMANAND</v>
      </c>
      <c r="P32" t="str">
        <f>XLOOKUP(E32,[1]!Bookings[Booking Name],[1]!Bookings[Nationality])</f>
        <v>Pakistan</v>
      </c>
      <c r="Q32">
        <f>XLOOKUP(E32,[1]!Bookings[Booking Name],[1]!Bookings[Discount Amount])</f>
        <v>100000</v>
      </c>
      <c r="R32">
        <f>XLOOKUP(E32,[1]!Bookings[Booking Name],[1]!Bookings[Discount Percentage])</f>
        <v>0.04184100418410042</v>
      </c>
      <c r="S32">
        <f>XLOOKUP(E32,[1]!Bookings[Booking Name],[1]!Bookings[Final Sale Value After Discount])</f>
        <v>2290000</v>
      </c>
      <c r="T32">
        <f>XLOOKUP(E32,[1]!Bookings[Booking Name],[1]!Bookings[Inv Final Sale Value])</f>
        <v>2390000</v>
      </c>
      <c r="U32" t="str">
        <f>XLOOKUP(E32,[1]!Bookings[Booking Name],[1]!Bookings[Sales])</f>
        <v>Amr Abdelghafar</v>
      </c>
      <c r="V32" t="str">
        <f>XLOOKUP(E32,[1]!Bookings[Booking Name],[1]!Bookings[Agency Name])</f>
        <v>P S I ASSETS REAL ESTATES L.L.C.</v>
      </c>
      <c r="W32" t="str">
        <f>XLOOKUP(E32,[1]!Bookings[Booking Name],[1]!Bookings[Booking ID])</f>
        <v>a03NM00000SoqTB</v>
      </c>
      <c r="X32" t="str">
        <f>XLOOKUP(E32,[1]!Bookings[Booking Name],[1]!Bookings[Oracle Id])</f>
        <v>-</v>
      </c>
      <c r="Z32" t="str">
        <v>No Payment</v>
      </c>
      <c r="AA32">
        <v>0</v>
      </c>
      <c r="AB32" t="str">
        <v>N/A</v>
      </c>
      <c r="AC32" t="str">
        <v>Cancelled due to Repricing</v>
      </c>
      <c r="AD32" t="str">
        <v>https://onedevelopmentuae-my.sharepoint.com/personal/n_araujo_oneuae_com/Documents/Desktop/Norton-Local/Requests/Rejected%20Bookings/Booking-1420%20-%20Booking%20Rejection%20Request.msg</v>
      </c>
      <c r="AE32" t="str">
        <v>Cancelled due to Price Revision</v>
      </c>
      <c r="AF32" t="str">
        <v>Cancelled due to Price Revision</v>
      </c>
    </row>
    <row r="33">
      <c r="B33" t="str">
        <v>January</v>
      </c>
      <c r="C33">
        <v>46042</v>
      </c>
      <c r="D33">
        <f>XLOOKUP(E33,[1]!Bookings[Booking Name],[1]!Bookings[Rejected Date])</f>
        <v>46042</v>
      </c>
      <c r="E33" t="str">
        <v>Booking-1462</v>
      </c>
      <c r="F33" t="str">
        <f>XLOOKUP(E33,[1]!Bookings[Booking Name],[1]!Bookings[Booking Status])</f>
        <v>Rejected</v>
      </c>
      <c r="G33">
        <f>XLOOKUP(E33,[1]!Bookings[Booking Name],[1]!Bookings[Booking Date])</f>
        <v>46041</v>
      </c>
      <c r="H33">
        <f>XLOOKUP(E33,[1]!Bookings[Booking Name],[1]!Bookings[Booking Aging])</f>
        <v>18</v>
      </c>
      <c r="I33" t="str">
        <f>XLOOKUP(E33,[1]!Bookings[Booking Name],[1]!Bookings[Project Name])</f>
        <v>One Residence</v>
      </c>
      <c r="J33" t="str">
        <f>XLOOKUP(E33,[1]!Bookings[Booking Name],[1]!Bookings[Building])</f>
        <v>Tower 1</v>
      </c>
      <c r="K33" t="str">
        <f>XLOOKUP(E33,[1]!Bookings[Booking Name],[1]!Bookings[Bedrooms])</f>
        <v>2 BR</v>
      </c>
      <c r="L33" t="str">
        <f>XLOOKUP(E33,[1]!Bookings[Booking Name],[1]!Bookings[Unit No.])</f>
        <v>OR-2404</v>
      </c>
      <c r="M33" t="str">
        <f>XLOOKUP(E33,[1]!Bookings[Booking Name],[1]!Bookings[Inventory Unit Status])</f>
        <v>Booked</v>
      </c>
      <c r="N33" t="str">
        <f>XLOOKUP(E33,[1]!Bookings[Booking Name],[1]!Bookings[Booking Status])</f>
        <v>Rejected</v>
      </c>
      <c r="O33" t="str">
        <f>XLOOKUP(E33,[1]!Bookings[Booking Name],[1]!Bookings[Customer Name])</f>
        <v>Bader saeed Mohammedd Salem Allamki</v>
      </c>
      <c r="P33" t="str">
        <f>XLOOKUP(E33,[1]!Bookings[Booking Name],[1]!Bookings[Nationality])</f>
        <v>United Arab Emirates</v>
      </c>
      <c r="Q33">
        <f>XLOOKUP(E33,[1]!Bookings[Booking Name],[1]!Bookings[Discount Amount])</f>
        <v>21889</v>
      </c>
      <c r="R33">
        <f>XLOOKUP(E33,[1]!Bookings[Booking Name],[1]!Bookings[Discount Percentage])</f>
        <v>0.0087556</v>
      </c>
      <c r="S33">
        <f>XLOOKUP(E33,[1]!Bookings[Booking Name],[1]!Bookings[Final Sale Value After Discount])</f>
        <v>2478111</v>
      </c>
      <c r="T33">
        <f>XLOOKUP(E33,[1]!Bookings[Booking Name],[1]!Bookings[Inv Final Sale Value])</f>
        <v>2500000</v>
      </c>
      <c r="U33" t="str">
        <f>XLOOKUP(E33,[1]!Bookings[Booking Name],[1]!Bookings[Sales])</f>
        <v>Jamil Ibrahim</v>
      </c>
      <c r="V33" t="str">
        <f>XLOOKUP(E33,[1]!Bookings[Booking Name],[1]!Bookings[Agency Name])</f>
        <v>CAPITAL AVENUE REAL ESTATE SOLE PROPRIETORSHIP L.L.C.</v>
      </c>
      <c r="W33" t="str">
        <f>XLOOKUP(E33,[1]!Bookings[Booking Name],[1]!Bookings[Booking ID])</f>
        <v>a03NM00000TnDt3</v>
      </c>
      <c r="X33" t="str">
        <f>XLOOKUP(E33,[1]!Bookings[Booking Name],[1]!Bookings[Oracle Id])</f>
        <v>-</v>
      </c>
      <c r="Z33" t="str">
        <v>No Payment</v>
      </c>
      <c r="AA33">
        <v>0</v>
      </c>
      <c r="AB33" t="str">
        <v>N/A</v>
      </c>
      <c r="AC33" t="str">
        <v>Cancelled due to Repricing</v>
      </c>
      <c r="AD33" t="str">
        <v>https://onedevelopmentuae-my.sharepoint.com/personal/n_araujo_oneuae_com/Documents/Desktop/Norton-Local/Requests/Rejected%20Bookings/Booking-1462%20-%20Booking%20Rejection%20Request.msg</v>
      </c>
      <c r="AE33" t="str">
        <v>Cancelled due to Price Revision</v>
      </c>
      <c r="AF33" t="str">
        <v>Cancelled due to Price Revision</v>
      </c>
    </row>
    <row r="34">
      <c r="B34" t="str">
        <v>January</v>
      </c>
      <c r="C34">
        <v>46042</v>
      </c>
      <c r="D34">
        <f>XLOOKUP(E34,[1]!Bookings[Booking Name],[1]!Bookings[Rejected Date])</f>
        <v>46043</v>
      </c>
      <c r="E34" t="str">
        <v>Booking-1330</v>
      </c>
      <c r="F34" t="str">
        <f>XLOOKUP(E34,[1]!Bookings[Booking Name],[1]!Bookings[Booking Status])</f>
        <v>Rejected</v>
      </c>
      <c r="G34">
        <f>XLOOKUP(E34,[1]!Bookings[Booking Name],[1]!Bookings[Booking Date])</f>
        <v>46029</v>
      </c>
      <c r="H34">
        <f>XLOOKUP(E34,[1]!Bookings[Booking Name],[1]!Bookings[Booking Aging])</f>
        <v>30</v>
      </c>
      <c r="I34" t="str">
        <f>XLOOKUP(E34,[1]!Bookings[Booking Name],[1]!Bookings[Project Name])</f>
        <v>One Residence</v>
      </c>
      <c r="J34" t="str">
        <f>XLOOKUP(E34,[1]!Bookings[Booking Name],[1]!Bookings[Building])</f>
        <v>Tower 1</v>
      </c>
      <c r="K34" t="str">
        <f>XLOOKUP(E34,[1]!Bookings[Booking Name],[1]!Bookings[Bedrooms])</f>
        <v>2 BR</v>
      </c>
      <c r="L34" t="str">
        <f>XLOOKUP(E34,[1]!Bookings[Booking Name],[1]!Bookings[Unit No.])</f>
        <v>OR-2106</v>
      </c>
      <c r="M34" t="str">
        <f>XLOOKUP(E34,[1]!Bookings[Booking Name],[1]!Bookings[Inventory Unit Status])</f>
        <v>Blocked</v>
      </c>
      <c r="N34" t="str">
        <f>XLOOKUP(E34,[1]!Bookings[Booking Name],[1]!Bookings[Booking Status])</f>
        <v>Rejected</v>
      </c>
      <c r="O34" t="str">
        <f>XLOOKUP(E34,[1]!Bookings[Booking Name],[1]!Bookings[Customer Name])</f>
        <v>Khaja Huzoor Ahamed khan Hussain khan Ahamed Khan</v>
      </c>
      <c r="P34" t="str">
        <f>XLOOKUP(E34,[1]!Bookings[Booking Name],[1]!Bookings[Nationality])</f>
        <v>India</v>
      </c>
      <c r="Q34">
        <f>XLOOKUP(E34,[1]!Bookings[Booking Name],[1]!Bookings[Discount Amount])</f>
        <v>26104</v>
      </c>
      <c r="R34">
        <f>XLOOKUP(E34,[1]!Bookings[Booking Name],[1]!Bookings[Discount Percentage])</f>
        <v>0.010416167884493222</v>
      </c>
      <c r="S34">
        <f>XLOOKUP(E34,[1]!Bookings[Booking Name],[1]!Bookings[Final Sale Value After Discount])</f>
        <v>2480000</v>
      </c>
      <c r="T34">
        <f>XLOOKUP(E34,[1]!Bookings[Booking Name],[1]!Bookings[Inv Final Sale Value])</f>
        <v>2506104</v>
      </c>
      <c r="U34" t="str">
        <f>XLOOKUP(E34,[1]!Bookings[Booking Name],[1]!Bookings[Sales])</f>
        <v>Mohamed Safraji</v>
      </c>
      <c r="V34" t="str">
        <f>XLOOKUP(E34,[1]!Bookings[Booking Name],[1]!Bookings[Agency Name])</f>
        <v>Metropolitan Capital Real Estate - Sole proprietorship LLC</v>
      </c>
      <c r="W34" t="str">
        <f>XLOOKUP(E34,[1]!Bookings[Booking Name],[1]!Bookings[Booking ID])</f>
        <v>a03NM00000Sdqy3</v>
      </c>
      <c r="X34" t="str">
        <f>XLOOKUP(E34,[1]!Bookings[Booking Name],[1]!Bookings[Oracle Id])</f>
        <v>-</v>
      </c>
      <c r="Z34" t="str">
        <v>No Payment</v>
      </c>
      <c r="AA34">
        <v>0</v>
      </c>
      <c r="AB34" t="str">
        <v>N/A</v>
      </c>
      <c r="AC34" t="str">
        <v>Unit Swapped with OR-707 as approved by Management</v>
      </c>
      <c r="AD34" t="str">
        <v>https://onedevelopmentuae-my.sharepoint.com/personal/n_araujo_oneuae_com/Documents/Desktop/Norton-Local/Requests/Rejected%20Bookings/Booking-1330%20-%20Booking%20Rejection%20Request.msg</v>
      </c>
      <c r="AE34" t="str">
        <v>Unit Swap - Approved by Management</v>
      </c>
      <c r="AF34" t="str">
        <v>Swapped from OR-2106 to OR-707</v>
      </c>
    </row>
    <row r="35">
      <c r="B35" t="str">
        <v>January</v>
      </c>
      <c r="C35">
        <v>46041</v>
      </c>
      <c r="D35">
        <f>XLOOKUP(E35,[1]!Bookings[Booking Name],[1]!Bookings[Rejected Date])</f>
        <v>46042</v>
      </c>
      <c r="E35" t="str">
        <v>Booking-1423</v>
      </c>
      <c r="F35" t="str">
        <f>XLOOKUP(E35,[1]!Bookings[Booking Name],[1]!Bookings[Booking Status])</f>
        <v>Rejected</v>
      </c>
      <c r="G35">
        <f>XLOOKUP(E35,[1]!Bookings[Booking Name],[1]!Bookings[Booking Date])</f>
        <v>46031</v>
      </c>
      <c r="H35">
        <f>XLOOKUP(E35,[1]!Bookings[Booking Name],[1]!Bookings[Booking Aging])</f>
        <v>28</v>
      </c>
      <c r="I35" t="str">
        <f>XLOOKUP(E35,[1]!Bookings[Booking Name],[1]!Bookings[Project Name])</f>
        <v>One Residence</v>
      </c>
      <c r="J35" t="str">
        <f>XLOOKUP(E35,[1]!Bookings[Booking Name],[1]!Bookings[Building])</f>
        <v>Tower 1</v>
      </c>
      <c r="K35" t="str">
        <f>XLOOKUP(E35,[1]!Bookings[Booking Name],[1]!Bookings[Bedrooms])</f>
        <v>3 BR</v>
      </c>
      <c r="L35" t="str">
        <f>XLOOKUP(E35,[1]!Bookings[Booking Name],[1]!Bookings[Unit No.])</f>
        <v>OR-2602</v>
      </c>
      <c r="M35" t="str">
        <f>XLOOKUP(E35,[1]!Bookings[Booking Name],[1]!Bookings[Inventory Unit Status])</f>
        <v>Blocked</v>
      </c>
      <c r="N35" t="str">
        <f>XLOOKUP(E35,[1]!Bookings[Booking Name],[1]!Bookings[Booking Status])</f>
        <v>Rejected</v>
      </c>
      <c r="O35" t="str">
        <f>XLOOKUP(E35,[1]!Bookings[Booking Name],[1]!Bookings[Customer Name])</f>
        <v>MOHAMMED ABBAS HUSSAIN Al Obaidi</v>
      </c>
      <c r="P35" t="str">
        <f>XLOOKUP(E35,[1]!Bookings[Booking Name],[1]!Bookings[Nationality])</f>
        <v>Iraq</v>
      </c>
      <c r="Q35">
        <f>XLOOKUP(E35,[1]!Bookings[Booking Name],[1]!Bookings[Discount Amount])</f>
        <v>0</v>
      </c>
      <c r="R35">
        <f>XLOOKUP(E35,[1]!Bookings[Booking Name],[1]!Bookings[Discount Percentage])</f>
        <v>0</v>
      </c>
      <c r="S35">
        <f>XLOOKUP(E35,[1]!Bookings[Booking Name],[1]!Bookings[Final Sale Value After Discount])</f>
        <v>3850000</v>
      </c>
      <c r="T35">
        <f>XLOOKUP(E35,[1]!Bookings[Booking Name],[1]!Bookings[Inv Final Sale Value])</f>
        <v>3850000</v>
      </c>
      <c r="U35" t="str">
        <f>XLOOKUP(E35,[1]!Bookings[Booking Name],[1]!Bookings[Sales])</f>
        <v>Amr Abdelghafar</v>
      </c>
      <c r="V35" t="str">
        <f>XLOOKUP(E35,[1]!Bookings[Booking Name],[1]!Bookings[Agency Name])</f>
        <v>Royal Lounge Properties L.L.C.</v>
      </c>
      <c r="W35" t="str">
        <f>XLOOKUP(E35,[1]!Bookings[Booking Name],[1]!Bookings[Booking ID])</f>
        <v>a03NM00000SooOA</v>
      </c>
      <c r="X35" t="str">
        <f>XLOOKUP(E35,[1]!Bookings[Booking Name],[1]!Bookings[Oracle Id])</f>
        <v>-</v>
      </c>
      <c r="Z35" t="str">
        <v>No Payment</v>
      </c>
      <c r="AA35">
        <v>0</v>
      </c>
      <c r="AB35" t="str">
        <v>No</v>
      </c>
      <c r="AC35" t="str">
        <v>Customer requested to cancel Booking.</v>
      </c>
      <c r="AD35" t="str">
        <v>https://onedevelopmentuae-my.sharepoint.com/personal/n_araujo_oneuae_com/Documents/Desktop/Norton-Local/Requests/Rejected%20Bookings/Booking-1423%20-%20Booking%20Rejection%20Request.msg</v>
      </c>
      <c r="AE35" t="str">
        <v>Customer requested to cancel</v>
      </c>
      <c r="AF35" t="str">
        <v>Customer is unable to continue with the Purchase</v>
      </c>
    </row>
    <row r="36">
      <c r="B36" t="str">
        <v>January</v>
      </c>
      <c r="C36">
        <v>46041</v>
      </c>
      <c r="D36">
        <f>XLOOKUP(E36,[1]!Bookings[Booking Name],[1]!Bookings[Rejected Date])</f>
        <v>46042</v>
      </c>
      <c r="E36" t="str">
        <v>Booking-1434</v>
      </c>
      <c r="F36" t="str">
        <f>XLOOKUP(E36,[1]!Bookings[Booking Name],[1]!Bookings[Booking Status])</f>
        <v>Rejected</v>
      </c>
      <c r="G36">
        <f>XLOOKUP(E36,[1]!Bookings[Booking Name],[1]!Bookings[Booking Date])</f>
        <v>46034</v>
      </c>
      <c r="H36">
        <f>XLOOKUP(E36,[1]!Bookings[Booking Name],[1]!Bookings[Booking Aging])</f>
        <v>25</v>
      </c>
      <c r="I36" t="str">
        <f>XLOOKUP(E36,[1]!Bookings[Booking Name],[1]!Bookings[Project Name])</f>
        <v>One Residence</v>
      </c>
      <c r="J36" t="str">
        <f>XLOOKUP(E36,[1]!Bookings[Booking Name],[1]!Bookings[Building])</f>
        <v>Tower 1</v>
      </c>
      <c r="K36" t="str">
        <f>XLOOKUP(E36,[1]!Bookings[Booking Name],[1]!Bookings[Bedrooms])</f>
        <v>1 BR</v>
      </c>
      <c r="L36" t="str">
        <f>XLOOKUP(E36,[1]!Bookings[Booking Name],[1]!Bookings[Unit No.])</f>
        <v>OR-803</v>
      </c>
      <c r="M36" t="str">
        <f>XLOOKUP(E36,[1]!Bookings[Booking Name],[1]!Bookings[Inventory Unit Status])</f>
        <v>Booked</v>
      </c>
      <c r="N36" t="str">
        <f>XLOOKUP(E36,[1]!Bookings[Booking Name],[1]!Bookings[Booking Status])</f>
        <v>Rejected</v>
      </c>
      <c r="O36" t="str">
        <f>XLOOKUP(E36,[1]!Bookings[Booking Name],[1]!Bookings[Customer Name])</f>
        <v>SARA МОНАМЕD DIB</v>
      </c>
      <c r="P36" t="str">
        <f>XLOOKUP(E36,[1]!Bookings[Booking Name],[1]!Bookings[Nationality])</f>
        <v>Syria</v>
      </c>
      <c r="Q36">
        <f>XLOOKUP(E36,[1]!Bookings[Booking Name],[1]!Bookings[Discount Amount])</f>
        <v>194889</v>
      </c>
      <c r="R36">
        <f>XLOOKUP(E36,[1]!Bookings[Booking Name],[1]!Bookings[Discount Percentage])</f>
        <v>0.11149256292906179</v>
      </c>
      <c r="S36">
        <f>XLOOKUP(E36,[1]!Bookings[Booking Name],[1]!Bookings[Final Sale Value After Discount])</f>
        <v>1553111</v>
      </c>
      <c r="T36">
        <f>XLOOKUP(E36,[1]!Bookings[Booking Name],[1]!Bookings[Inv Final Sale Value])</f>
        <v>1748000</v>
      </c>
      <c r="U36" t="str">
        <f>XLOOKUP(E36,[1]!Bookings[Booking Name],[1]!Bookings[Sales])</f>
        <v>Hossam Mostafa</v>
      </c>
      <c r="V36" t="str">
        <f>XLOOKUP(E36,[1]!Bookings[Booking Name],[1]!Bookings[Agency Name])</f>
        <v/>
      </c>
      <c r="W36" t="str">
        <f>XLOOKUP(E36,[1]!Bookings[Booking Name],[1]!Bookings[Booking ID])</f>
        <v>a03NM00000T3Aju</v>
      </c>
      <c r="X36" t="str">
        <f>XLOOKUP(E36,[1]!Bookings[Booking Name],[1]!Bookings[Oracle Id])</f>
        <v>-</v>
      </c>
      <c r="Z36" t="str">
        <v>No Payment</v>
      </c>
      <c r="AA36">
        <v>0</v>
      </c>
      <c r="AB36" t="str">
        <v>N/A</v>
      </c>
      <c r="AC36" t="str">
        <v>Cancelled due to Repricing</v>
      </c>
      <c r="AD36" t="str">
        <v>https://onedevelopmentuae-my.sharepoint.com/personal/n_araujo_oneuae_com/Documents/Desktop/Norton-Local/Requests/Rejected%20Bookings/Booking-1434%20-%20Booking%20Rejection%20Request.msg</v>
      </c>
      <c r="AE36" t="str">
        <v>Cancelled due to Price Revision</v>
      </c>
      <c r="AF36" t="str">
        <v>Cancelled due to Price Revision</v>
      </c>
    </row>
    <row r="37">
      <c r="B37" t="str">
        <v>January</v>
      </c>
      <c r="C37">
        <v>46041</v>
      </c>
      <c r="D37">
        <f>XLOOKUP(E37,[1]!Bookings[Booking Name],[1]!Bookings[Rejected Date])</f>
        <v>46042</v>
      </c>
      <c r="E37" t="str">
        <v>Booking-1254</v>
      </c>
      <c r="F37" t="str">
        <f>XLOOKUP(E37,[1]!Bookings[Booking Name],[1]!Bookings[Booking Status])</f>
        <v>Rejected</v>
      </c>
      <c r="G37">
        <f>XLOOKUP(E37,[1]!Bookings[Booking Name],[1]!Bookings[Booking Date])</f>
        <v>46002</v>
      </c>
      <c r="H37">
        <f>XLOOKUP(E37,[1]!Bookings[Booking Name],[1]!Bookings[Booking Aging])</f>
        <v>57</v>
      </c>
      <c r="I37" t="str">
        <f>XLOOKUP(E37,[1]!Bookings[Booking Name],[1]!Bookings[Project Name])</f>
        <v>Do Dubai Island</v>
      </c>
      <c r="J37" t="str">
        <f>XLOOKUP(E37,[1]!Bookings[Booking Name],[1]!Bookings[Building])</f>
        <v>Tower 1</v>
      </c>
      <c r="K37" t="str">
        <f>XLOOKUP(E37,[1]!Bookings[Booking Name],[1]!Bookings[Bedrooms])</f>
        <v>1 Bedroom</v>
      </c>
      <c r="L37" t="str">
        <f>XLOOKUP(E37,[1]!Bookings[Booking Name],[1]!Bookings[Unit No.])</f>
        <v>508</v>
      </c>
      <c r="M37" t="str">
        <f>XLOOKUP(E37,[1]!Bookings[Booking Name],[1]!Bookings[Inventory Unit Status])</f>
        <v>Blocked</v>
      </c>
      <c r="N37" t="str">
        <f>XLOOKUP(E37,[1]!Bookings[Booking Name],[1]!Bookings[Booking Status])</f>
        <v>Rejected</v>
      </c>
      <c r="O37" t="str">
        <f>XLOOKUP(E37,[1]!Bookings[Booking Name],[1]!Bookings[Customer Name])</f>
        <v>Cemal Atilla Birmis</v>
      </c>
      <c r="P37" t="str">
        <f>XLOOKUP(E37,[1]!Bookings[Booking Name],[1]!Bookings[Nationality])</f>
        <v>Turkey</v>
      </c>
      <c r="Q37">
        <f>XLOOKUP(E37,[1]!Bookings[Booking Name],[1]!Bookings[Discount Amount])</f>
        <v>68080</v>
      </c>
      <c r="R37">
        <f>XLOOKUP(E37,[1]!Bookings[Booking Name],[1]!Bookings[Discount Percentage])</f>
        <v>0.02</v>
      </c>
      <c r="S37">
        <f>XLOOKUP(E37,[1]!Bookings[Booking Name],[1]!Bookings[Final Sale Value After Discount])</f>
        <v>3335920</v>
      </c>
      <c r="T37">
        <f>XLOOKUP(E37,[1]!Bookings[Booking Name],[1]!Bookings[Inv Final Sale Value])</f>
        <v>3404000</v>
      </c>
      <c r="U37" t="str">
        <f>XLOOKUP(E37,[1]!Bookings[Booking Name],[1]!Bookings[Sales])</f>
        <v>Midia Sedighi</v>
      </c>
      <c r="V37" t="str">
        <f>XLOOKUP(E37,[1]!Bookings[Booking Name],[1]!Bookings[Agency Name])</f>
        <v>PRIME RICHMOND PROPERTIES L.L.C</v>
      </c>
      <c r="W37" t="str">
        <f>XLOOKUP(E37,[1]!Bookings[Booking Name],[1]!Bookings[Booking ID])</f>
        <v>a03NM00000PHQvn</v>
      </c>
      <c r="X37" t="str">
        <f>XLOOKUP(E37,[1]!Bookings[Booking Name],[1]!Bookings[Oracle Id])</f>
        <v>-</v>
      </c>
      <c r="Z37">
        <v>8000</v>
      </c>
      <c r="AA37">
        <v>0.002398139044101777</v>
      </c>
      <c r="AB37" t="str">
        <v>No</v>
      </c>
      <c r="AC37" t="str">
        <v>Cancelled due to Non Payment</v>
      </c>
      <c r="AD37" t="str">
        <v>https://onedevelopmentuae-my.sharepoint.com/personal/n_araujo_oneuae_com/Documents/Desktop/Norton-Local/Requests/Rejected%20Bookings/Booking-1254%20-%20Booking%20Rejection%20Request.msg</v>
      </c>
      <c r="AE37" t="str">
        <v>Cancelled due to Non Payment</v>
      </c>
      <c r="AF37" t="str">
        <v>Cancellation Request raised by Collections Team</v>
      </c>
    </row>
    <row r="38">
      <c r="B38" t="str">
        <v>January</v>
      </c>
      <c r="C38">
        <v>46041</v>
      </c>
      <c r="D38">
        <f>XLOOKUP(E38,[1]!Bookings[Booking Name],[1]!Bookings[Rejected Date])</f>
        <v>46042</v>
      </c>
      <c r="E38" t="str">
        <v>Booking-1253</v>
      </c>
      <c r="F38" t="str">
        <f>XLOOKUP(E38,[1]!Bookings[Booking Name],[1]!Bookings[Booking Status])</f>
        <v>Rejected</v>
      </c>
      <c r="G38">
        <f>XLOOKUP(E38,[1]!Bookings[Booking Name],[1]!Bookings[Booking Date])</f>
        <v>46002</v>
      </c>
      <c r="H38">
        <f>XLOOKUP(E38,[1]!Bookings[Booking Name],[1]!Bookings[Booking Aging])</f>
        <v>57</v>
      </c>
      <c r="I38" t="str">
        <f>XLOOKUP(E38,[1]!Bookings[Booking Name],[1]!Bookings[Project Name])</f>
        <v>Do Dubai Island</v>
      </c>
      <c r="J38" t="str">
        <f>XLOOKUP(E38,[1]!Bookings[Booking Name],[1]!Bookings[Building])</f>
        <v>Tower 1</v>
      </c>
      <c r="K38" t="str">
        <f>XLOOKUP(E38,[1]!Bookings[Booking Name],[1]!Bookings[Bedrooms])</f>
        <v>1 Bedroom</v>
      </c>
      <c r="L38" t="str">
        <f>XLOOKUP(E38,[1]!Bookings[Booking Name],[1]!Bookings[Unit No.])</f>
        <v>409</v>
      </c>
      <c r="M38" t="str">
        <f>XLOOKUP(E38,[1]!Bookings[Booking Name],[1]!Bookings[Inventory Unit Status])</f>
        <v>Blocked</v>
      </c>
      <c r="N38" t="str">
        <f>XLOOKUP(E38,[1]!Bookings[Booking Name],[1]!Bookings[Booking Status])</f>
        <v>Rejected</v>
      </c>
      <c r="O38" t="str">
        <f>XLOOKUP(E38,[1]!Bookings[Booking Name],[1]!Bookings[Customer Name])</f>
        <v>Cemal Atilla Birmis</v>
      </c>
      <c r="P38" t="str">
        <f>XLOOKUP(E38,[1]!Bookings[Booking Name],[1]!Bookings[Nationality])</f>
        <v>Turkey</v>
      </c>
      <c r="Q38">
        <f>XLOOKUP(E38,[1]!Bookings[Booking Name],[1]!Bookings[Discount Amount])</f>
        <v>46580</v>
      </c>
      <c r="R38">
        <f>XLOOKUP(E38,[1]!Bookings[Booking Name],[1]!Bookings[Discount Percentage])</f>
        <v>0.02</v>
      </c>
      <c r="S38">
        <f>XLOOKUP(E38,[1]!Bookings[Booking Name],[1]!Bookings[Final Sale Value After Discount])</f>
        <v>2282420</v>
      </c>
      <c r="T38">
        <f>XLOOKUP(E38,[1]!Bookings[Booking Name],[1]!Bookings[Inv Final Sale Value])</f>
        <v>2329000</v>
      </c>
      <c r="U38" t="str">
        <f>XLOOKUP(E38,[1]!Bookings[Booking Name],[1]!Bookings[Sales])</f>
        <v>Midia Sedighi</v>
      </c>
      <c r="V38" t="str">
        <f>XLOOKUP(E38,[1]!Bookings[Booking Name],[1]!Bookings[Agency Name])</f>
        <v>PRIME RICHMOND PROPERTIES L.L.C</v>
      </c>
      <c r="W38" t="str">
        <f>XLOOKUP(E38,[1]!Bookings[Booking Name],[1]!Bookings[Booking ID])</f>
        <v>a03NM00000PHOxF</v>
      </c>
      <c r="X38" t="str">
        <f>XLOOKUP(E38,[1]!Bookings[Booking Name],[1]!Bookings[Oracle Id])</f>
        <v>-</v>
      </c>
      <c r="Z38">
        <v>8000</v>
      </c>
      <c r="AA38">
        <v>0.003505051655698776</v>
      </c>
      <c r="AB38" t="str">
        <v>No</v>
      </c>
      <c r="AC38" t="str">
        <v>Cancelled due to Non Payment</v>
      </c>
      <c r="AD38" t="str">
        <v>https://onedevelopmentuae-my.sharepoint.com/personal/n_araujo_oneuae_com/Documents/Desktop/Norton-Local/Requests/Rejected%20Bookings/Booking-1253%20-%20Booking%20Rejection%20Request.msg</v>
      </c>
      <c r="AE38" t="str">
        <v>Cancelled due to Non Payment</v>
      </c>
      <c r="AF38" t="str">
        <v>Cancellation Request raised by Collections Team</v>
      </c>
    </row>
    <row r="39">
      <c r="B39" t="str">
        <v>January</v>
      </c>
      <c r="C39">
        <v>46041</v>
      </c>
      <c r="D39">
        <f>XLOOKUP(E39,[1]!Bookings[Booking Name],[1]!Bookings[Rejected Date])</f>
        <v>46042</v>
      </c>
      <c r="E39" t="str">
        <v>Booking-1252</v>
      </c>
      <c r="F39" t="str">
        <f>XLOOKUP(E39,[1]!Bookings[Booking Name],[1]!Bookings[Booking Status])</f>
        <v>Rejected</v>
      </c>
      <c r="G39">
        <f>XLOOKUP(E39,[1]!Bookings[Booking Name],[1]!Bookings[Booking Date])</f>
        <v>46002</v>
      </c>
      <c r="H39">
        <f>XLOOKUP(E39,[1]!Bookings[Booking Name],[1]!Bookings[Booking Aging])</f>
        <v>57</v>
      </c>
      <c r="I39" t="str">
        <f>XLOOKUP(E39,[1]!Bookings[Booking Name],[1]!Bookings[Project Name])</f>
        <v>Do Dubai Island</v>
      </c>
      <c r="J39" t="str">
        <f>XLOOKUP(E39,[1]!Bookings[Booking Name],[1]!Bookings[Building])</f>
        <v>Tower 1</v>
      </c>
      <c r="K39" t="str">
        <f>XLOOKUP(E39,[1]!Bookings[Booking Name],[1]!Bookings[Bedrooms])</f>
        <v>1 Bedroom</v>
      </c>
      <c r="L39" t="str">
        <f>XLOOKUP(E39,[1]!Bookings[Booking Name],[1]!Bookings[Unit No.])</f>
        <v>204</v>
      </c>
      <c r="M39" t="str">
        <f>XLOOKUP(E39,[1]!Bookings[Booking Name],[1]!Bookings[Inventory Unit Status])</f>
        <v>Blocked</v>
      </c>
      <c r="N39" t="str">
        <f>XLOOKUP(E39,[1]!Bookings[Booking Name],[1]!Bookings[Booking Status])</f>
        <v>Rejected</v>
      </c>
      <c r="O39" t="str">
        <f>XLOOKUP(E39,[1]!Bookings[Booking Name],[1]!Bookings[Customer Name])</f>
        <v>Cemal Atilla Birmis</v>
      </c>
      <c r="P39" t="str">
        <f>XLOOKUP(E39,[1]!Bookings[Booking Name],[1]!Bookings[Nationality])</f>
        <v>Turkey</v>
      </c>
      <c r="Q39">
        <f>XLOOKUP(E39,[1]!Bookings[Booking Name],[1]!Bookings[Discount Amount])</f>
        <v>52620</v>
      </c>
      <c r="R39">
        <f>XLOOKUP(E39,[1]!Bookings[Booking Name],[1]!Bookings[Discount Percentage])</f>
        <v>0.02</v>
      </c>
      <c r="S39">
        <f>XLOOKUP(E39,[1]!Bookings[Booking Name],[1]!Bookings[Final Sale Value After Discount])</f>
        <v>2578380</v>
      </c>
      <c r="T39">
        <f>XLOOKUP(E39,[1]!Bookings[Booking Name],[1]!Bookings[Inv Final Sale Value])</f>
        <v>2631000</v>
      </c>
      <c r="U39" t="str">
        <f>XLOOKUP(E39,[1]!Bookings[Booking Name],[1]!Bookings[Sales])</f>
        <v>Midia Sedighi</v>
      </c>
      <c r="V39" t="str">
        <f>XLOOKUP(E39,[1]!Bookings[Booking Name],[1]!Bookings[Agency Name])</f>
        <v>PRIME RICHMOND PROPERTIES L.L.C</v>
      </c>
      <c r="W39" t="str">
        <f>XLOOKUP(E39,[1]!Bookings[Booking Name],[1]!Bookings[Booking ID])</f>
        <v>a03NM00000PHY8X</v>
      </c>
      <c r="X39" t="str">
        <f>XLOOKUP(E39,[1]!Bookings[Booking Name],[1]!Bookings[Oracle Id])</f>
        <v>-</v>
      </c>
      <c r="Z39">
        <v>8000</v>
      </c>
      <c r="AA39">
        <v>0.003102723415477936</v>
      </c>
      <c r="AB39" t="str">
        <v>No</v>
      </c>
      <c r="AC39" t="str">
        <v>Cancelled due to Non Payment</v>
      </c>
      <c r="AD39" t="str">
        <v>https://onedevelopmentuae-my.sharepoint.com/personal/n_araujo_oneuae_com/Documents/Desktop/Norton-Local/Requests/Rejected%20Bookings/Booking-1252%20-%20Booking%20Rejection%20Request.msg</v>
      </c>
      <c r="AE39" t="str">
        <v>Cancelled due to Non Payment</v>
      </c>
      <c r="AF39" t="str">
        <v>Cancellation Request raised by Collections Team</v>
      </c>
    </row>
    <row r="40">
      <c r="B40" t="str">
        <v>January</v>
      </c>
      <c r="C40">
        <v>46041</v>
      </c>
      <c r="D40">
        <f>XLOOKUP(E40,[1]!Bookings[Booking Name],[1]!Bookings[Rejected Date])</f>
        <v>46041</v>
      </c>
      <c r="E40" t="str">
        <v>Booking-1443</v>
      </c>
      <c r="F40" t="str">
        <f>XLOOKUP(E40,[1]!Bookings[Booking Name],[1]!Bookings[Booking Status])</f>
        <v>Rejected</v>
      </c>
      <c r="G40">
        <f>XLOOKUP(E40,[1]!Bookings[Booking Name],[1]!Bookings[Booking Date])</f>
        <v>46035</v>
      </c>
      <c r="H40">
        <f>XLOOKUP(E40,[1]!Bookings[Booking Name],[1]!Bookings[Booking Aging])</f>
        <v>24</v>
      </c>
      <c r="I40" t="str">
        <f>XLOOKUP(E40,[1]!Bookings[Booking Name],[1]!Bookings[Project Name])</f>
        <v>One Residence</v>
      </c>
      <c r="J40" t="str">
        <f>XLOOKUP(E40,[1]!Bookings[Booking Name],[1]!Bookings[Building])</f>
        <v>Tower 1</v>
      </c>
      <c r="K40" t="str">
        <f>XLOOKUP(E40,[1]!Bookings[Booking Name],[1]!Bookings[Bedrooms])</f>
        <v>1 BR</v>
      </c>
      <c r="L40" t="str">
        <f>XLOOKUP(E40,[1]!Bookings[Booking Name],[1]!Bookings[Unit No.])</f>
        <v>OR-402</v>
      </c>
      <c r="M40" t="str">
        <f>XLOOKUP(E40,[1]!Bookings[Booking Name],[1]!Bookings[Inventory Unit Status])</f>
        <v>Booked</v>
      </c>
      <c r="N40" t="str">
        <f>XLOOKUP(E40,[1]!Bookings[Booking Name],[1]!Bookings[Booking Status])</f>
        <v>Rejected</v>
      </c>
      <c r="O40" t="str">
        <f>XLOOKUP(E40,[1]!Bookings[Booking Name],[1]!Bookings[Customer Name])</f>
        <v>Dana Imad Aldin Al Afiouni</v>
      </c>
      <c r="P40" t="str">
        <f>XLOOKUP(E40,[1]!Bookings[Booking Name],[1]!Bookings[Nationality])</f>
        <v>Syria</v>
      </c>
      <c r="Q40">
        <f>XLOOKUP(E40,[1]!Bookings[Booking Name],[1]!Bookings[Discount Amount])</f>
        <v>10000</v>
      </c>
      <c r="R40">
        <f>XLOOKUP(E40,[1]!Bookings[Booking Name],[1]!Bookings[Discount Percentage])</f>
        <v>0.005555555555555556</v>
      </c>
      <c r="S40">
        <f>XLOOKUP(E40,[1]!Bookings[Booking Name],[1]!Bookings[Final Sale Value After Discount])</f>
        <v>1790000</v>
      </c>
      <c r="T40">
        <f>XLOOKUP(E40,[1]!Bookings[Booking Name],[1]!Bookings[Inv Final Sale Value])</f>
        <v>1800000</v>
      </c>
      <c r="U40" t="str">
        <f>XLOOKUP(E40,[1]!Bookings[Booking Name],[1]!Bookings[Sales])</f>
        <v>Jamil Ibrahim</v>
      </c>
      <c r="V40" t="str">
        <f>XLOOKUP(E40,[1]!Bookings[Booking Name],[1]!Bookings[Agency Name])</f>
        <v>Real Urban Modern International Real Estate L. L. C -S. P.C</v>
      </c>
      <c r="W40" t="str">
        <f>XLOOKUP(E40,[1]!Bookings[Booking Name],[1]!Bookings[Booking ID])</f>
        <v>a03NM00000TALnK</v>
      </c>
      <c r="X40" t="str">
        <f>XLOOKUP(E40,[1]!Bookings[Booking Name],[1]!Bookings[Oracle Id])</f>
        <v>-</v>
      </c>
      <c r="Z40" t="str">
        <v>No Payment</v>
      </c>
      <c r="AA40">
        <v>0</v>
      </c>
      <c r="AB40" t="str">
        <v>N/A</v>
      </c>
      <c r="AC40" t="str">
        <v>Cancelled due to Repricing</v>
      </c>
      <c r="AD40" t="str">
        <v>https://onedevelopmentuae-my.sharepoint.com/personal/n_araujo_oneuae_com/Documents/Desktop/Norton-Local/Requests/Rejected%20Bookings/Booking-1443%20-%20Booking%20Rejection%20Request.msg</v>
      </c>
      <c r="AE40" t="str">
        <v>Cancelled due to Price Revision</v>
      </c>
      <c r="AF40" t="str">
        <v>Cancelled due to Price Revision</v>
      </c>
    </row>
    <row r="41">
      <c r="B41" t="str">
        <v>January</v>
      </c>
      <c r="C41">
        <v>46039</v>
      </c>
      <c r="D41">
        <f>XLOOKUP(E41,[1]!Bookings[Booking Name],[1]!Bookings[Rejected Date])</f>
        <v>46041</v>
      </c>
      <c r="E41" t="str">
        <v>Booking-1392</v>
      </c>
      <c r="F41" t="str">
        <f>XLOOKUP(E41,[1]!Bookings[Booking Name],[1]!Bookings[Booking Status])</f>
        <v>Rejected</v>
      </c>
      <c r="G41">
        <f>XLOOKUP(E41,[1]!Bookings[Booking Name],[1]!Bookings[Booking Date])</f>
        <v>46031</v>
      </c>
      <c r="H41">
        <f>XLOOKUP(E41,[1]!Bookings[Booking Name],[1]!Bookings[Booking Aging])</f>
        <v>28</v>
      </c>
      <c r="I41" t="str">
        <f>XLOOKUP(E41,[1]!Bookings[Booking Name],[1]!Bookings[Project Name])</f>
        <v>One Residence</v>
      </c>
      <c r="J41" t="str">
        <f>XLOOKUP(E41,[1]!Bookings[Booking Name],[1]!Bookings[Building])</f>
        <v>Tower 1</v>
      </c>
      <c r="K41" t="str">
        <f>XLOOKUP(E41,[1]!Bookings[Booking Name],[1]!Bookings[Bedrooms])</f>
        <v>1 BR</v>
      </c>
      <c r="L41" t="str">
        <f>XLOOKUP(E41,[1]!Bookings[Booking Name],[1]!Bookings[Unit No.])</f>
        <v>OR-808</v>
      </c>
      <c r="M41" t="str">
        <f>XLOOKUP(E41,[1]!Bookings[Booking Name],[1]!Bookings[Inventory Unit Status])</f>
        <v>Booked</v>
      </c>
      <c r="N41" t="str">
        <f>XLOOKUP(E41,[1]!Bookings[Booking Name],[1]!Bookings[Booking Status])</f>
        <v>Rejected</v>
      </c>
      <c r="O41" t="str">
        <f>XLOOKUP(E41,[1]!Bookings[Booking Name],[1]!Bookings[Customer Name])</f>
        <v>FAHD AYOUBI</v>
      </c>
      <c r="P41" t="str">
        <f>XLOOKUP(E41,[1]!Bookings[Booking Name],[1]!Bookings[Nationality])</f>
        <v>United States of America</v>
      </c>
      <c r="Q41">
        <f>XLOOKUP(E41,[1]!Bookings[Booking Name],[1]!Bookings[Discount Amount])</f>
        <v>0</v>
      </c>
      <c r="R41">
        <f>XLOOKUP(E41,[1]!Bookings[Booking Name],[1]!Bookings[Discount Percentage])</f>
        <v>0</v>
      </c>
      <c r="S41">
        <f>XLOOKUP(E41,[1]!Bookings[Booking Name],[1]!Bookings[Final Sale Value After Discount])</f>
        <v>1630000</v>
      </c>
      <c r="T41">
        <f>XLOOKUP(E41,[1]!Bookings[Booking Name],[1]!Bookings[Inv Final Sale Value])</f>
        <v>1630000</v>
      </c>
      <c r="U41" t="str">
        <f>XLOOKUP(E41,[1]!Bookings[Booking Name],[1]!Bookings[Sales])</f>
        <v>Amr Abdelghafar</v>
      </c>
      <c r="V41" t="str">
        <f>XLOOKUP(E41,[1]!Bookings[Booking Name],[1]!Bookings[Agency Name])</f>
        <v>P S I ASSETS REAL ESTATES L.L.C.</v>
      </c>
      <c r="W41" t="str">
        <f>XLOOKUP(E41,[1]!Bookings[Booking Name],[1]!Bookings[Booking ID])</f>
        <v>a03NM00000SoeoZ</v>
      </c>
      <c r="X41" t="str">
        <f>XLOOKUP(E41,[1]!Bookings[Booking Name],[1]!Bookings[Oracle Id])</f>
        <v>-</v>
      </c>
      <c r="Z41" t="str">
        <v>No Payment</v>
      </c>
      <c r="AA41">
        <v>0</v>
      </c>
      <c r="AB41" t="str">
        <v>N/A</v>
      </c>
      <c r="AC41" t="str">
        <v>Cancelled due to Repricing</v>
      </c>
      <c r="AD41" t="str">
        <v>https://onedevelopmentuae-my.sharepoint.com/personal/n_araujo_oneuae_com/Documents/Desktop/Norton-Local/Requests/Rejected%20Bookings/Booking-1392%20-%20Booking%20Rejection%20Request.msg</v>
      </c>
      <c r="AE41" t="str">
        <v>Cancelled due to Price Revision</v>
      </c>
      <c r="AF41" t="str">
        <v>Cancelled due to Price Revision</v>
      </c>
    </row>
    <row r="42">
      <c r="B42" t="str">
        <v>January</v>
      </c>
      <c r="C42">
        <v>46037</v>
      </c>
      <c r="D42">
        <f>XLOOKUP(E42,[1]!Bookings[Booking Name],[1]!Bookings[Rejected Date])</f>
        <v>46037</v>
      </c>
      <c r="E42" t="str">
        <v>Booking-1451</v>
      </c>
      <c r="F42" t="str">
        <f>XLOOKUP(E42,[1]!Bookings[Booking Name],[1]!Bookings[Booking Status])</f>
        <v>Rejected</v>
      </c>
      <c r="G42">
        <f>XLOOKUP(E42,[1]!Bookings[Booking Name],[1]!Bookings[Booking Date])</f>
        <v>46037</v>
      </c>
      <c r="H42">
        <f>XLOOKUP(E42,[1]!Bookings[Booking Name],[1]!Bookings[Booking Aging])</f>
        <v>22</v>
      </c>
      <c r="I42" t="str">
        <f>XLOOKUP(E42,[1]!Bookings[Booking Name],[1]!Bookings[Project Name])</f>
        <v>One Residence</v>
      </c>
      <c r="J42" t="str">
        <f>XLOOKUP(E42,[1]!Bookings[Booking Name],[1]!Bookings[Building])</f>
        <v>Tower 1</v>
      </c>
      <c r="K42" t="str">
        <f>XLOOKUP(E42,[1]!Bookings[Booking Name],[1]!Bookings[Bedrooms])</f>
        <v>2 BR</v>
      </c>
      <c r="L42" t="str">
        <f>XLOOKUP(E42,[1]!Bookings[Booking Name],[1]!Bookings[Unit No.])</f>
        <v>OR-2506</v>
      </c>
      <c r="M42" t="str">
        <f>XLOOKUP(E42,[1]!Bookings[Booking Name],[1]!Bookings[Inventory Unit Status])</f>
        <v>Booked</v>
      </c>
      <c r="N42" t="str">
        <f>XLOOKUP(E42,[1]!Bookings[Booking Name],[1]!Bookings[Booking Status])</f>
        <v>Rejected</v>
      </c>
      <c r="O42" t="str">
        <f>XLOOKUP(E42,[1]!Bookings[Booking Name],[1]!Bookings[Customer Name])</f>
        <v>Amiran Kavkasidze</v>
      </c>
      <c r="P42" t="str">
        <f>XLOOKUP(E42,[1]!Bookings[Booking Name],[1]!Bookings[Nationality])</f>
        <v>Switzerland</v>
      </c>
      <c r="Q42">
        <f>XLOOKUP(E42,[1]!Bookings[Booking Name],[1]!Bookings[Discount Amount])</f>
        <v>17889</v>
      </c>
      <c r="R42">
        <f>XLOOKUP(E42,[1]!Bookings[Booking Name],[1]!Bookings[Discount Percentage])</f>
        <v>0.0071843373493975906</v>
      </c>
      <c r="S42">
        <f>XLOOKUP(E42,[1]!Bookings[Booking Name],[1]!Bookings[Final Sale Value After Discount])</f>
        <v>2472111</v>
      </c>
      <c r="T42">
        <f>XLOOKUP(E42,[1]!Bookings[Booking Name],[1]!Bookings[Inv Final Sale Value])</f>
        <v>2490000</v>
      </c>
      <c r="U42" t="str">
        <f>XLOOKUP(E42,[1]!Bookings[Booking Name],[1]!Bookings[Sales])</f>
        <v>Claire Moussa</v>
      </c>
      <c r="V42" t="str">
        <f>XLOOKUP(E42,[1]!Bookings[Booking Name],[1]!Bookings[Agency Name])</f>
        <v>IOKA International Real Estate LLC</v>
      </c>
      <c r="W42" t="str">
        <f>XLOOKUP(E42,[1]!Bookings[Booking Name],[1]!Bookings[Booking ID])</f>
        <v>a03NM00000TN2AV</v>
      </c>
      <c r="X42" t="str">
        <f>XLOOKUP(E42,[1]!Bookings[Booking Name],[1]!Bookings[Oracle Id])</f>
        <v>-</v>
      </c>
      <c r="Y42" t="e">
        <v>#N/A</v>
      </c>
      <c r="Z42" t="str">
        <v>No Payment</v>
      </c>
      <c r="AA42">
        <v>0</v>
      </c>
      <c r="AB42" t="str">
        <v>N/A</v>
      </c>
      <c r="AC42" t="str">
        <v>Cancelled due to Repricing</v>
      </c>
      <c r="AD42" t="str">
        <v>https://onedevelopmentuae-my.sharepoint.com/personal/n_araujo_oneuae_com/Documents/Desktop/Norton-Local/Requests/Rejected%20Bookings/Booking-1451%20-%20Booking%20Rejection%20Request.msg</v>
      </c>
      <c r="AE42" t="str">
        <v>Cancelled due to Price Revision</v>
      </c>
      <c r="AF42" t="str">
        <v>Cancelled due to Price Revision</v>
      </c>
    </row>
    <row r="43">
      <c r="B43" t="str">
        <v>January</v>
      </c>
      <c r="C43">
        <v>46036</v>
      </c>
      <c r="D43">
        <f>XLOOKUP(E43,[1]!Bookings[Booking Name],[1]!Bookings[Rejected Date])</f>
        <v>46037</v>
      </c>
      <c r="E43" t="str">
        <v>Booking-1406</v>
      </c>
      <c r="F43" t="str">
        <f>XLOOKUP(E43,[1]!Bookings[Booking Name],[1]!Bookings[Booking Status])</f>
        <v>Rejected</v>
      </c>
      <c r="G43">
        <f>XLOOKUP(E43,[1]!Bookings[Booking Name],[1]!Bookings[Booking Date])</f>
        <v>46031</v>
      </c>
      <c r="H43">
        <f>XLOOKUP(E43,[1]!Bookings[Booking Name],[1]!Bookings[Booking Aging])</f>
        <v>28</v>
      </c>
      <c r="I43" t="str">
        <f>XLOOKUP(E43,[1]!Bookings[Booking Name],[1]!Bookings[Project Name])</f>
        <v>One Residence</v>
      </c>
      <c r="J43" t="str">
        <f>XLOOKUP(E43,[1]!Bookings[Booking Name],[1]!Bookings[Building])</f>
        <v>Tower 1</v>
      </c>
      <c r="K43" t="str">
        <f>XLOOKUP(E43,[1]!Bookings[Booking Name],[1]!Bookings[Bedrooms])</f>
        <v>2 BR</v>
      </c>
      <c r="L43" t="str">
        <f>XLOOKUP(E43,[1]!Bookings[Booking Name],[1]!Bookings[Unit No.])</f>
        <v>OR-1403</v>
      </c>
      <c r="M43" t="str">
        <f>XLOOKUP(E43,[1]!Bookings[Booking Name],[1]!Bookings[Inventory Unit Status])</f>
        <v>Booked</v>
      </c>
      <c r="N43" t="str">
        <f>XLOOKUP(E43,[1]!Bookings[Booking Name],[1]!Bookings[Booking Status])</f>
        <v>Rejected</v>
      </c>
      <c r="O43" t="str">
        <f>XLOOKUP(E43,[1]!Bookings[Booking Name],[1]!Bookings[Customer Name])</f>
        <v>Anton Mikhailov</v>
      </c>
      <c r="P43" t="str">
        <f>XLOOKUP(E43,[1]!Bookings[Booking Name],[1]!Bookings[Nationality])</f>
        <v>Russia</v>
      </c>
      <c r="Q43">
        <f>XLOOKUP(E43,[1]!Bookings[Booking Name],[1]!Bookings[Discount Amount])</f>
        <v>0</v>
      </c>
      <c r="R43">
        <f>XLOOKUP(E43,[1]!Bookings[Booking Name],[1]!Bookings[Discount Percentage])</f>
        <v>0</v>
      </c>
      <c r="S43">
        <f>XLOOKUP(E43,[1]!Bookings[Booking Name],[1]!Bookings[Final Sale Value After Discount])</f>
        <v>2390000</v>
      </c>
      <c r="T43">
        <f>XLOOKUP(E43,[1]!Bookings[Booking Name],[1]!Bookings[Inv Final Sale Value])</f>
        <v>2390000</v>
      </c>
      <c r="U43" t="str">
        <f>XLOOKUP(E43,[1]!Bookings[Booking Name],[1]!Bookings[Sales])</f>
        <v>Jamil Ibrahim</v>
      </c>
      <c r="V43" t="str">
        <f>XLOOKUP(E43,[1]!Bookings[Booking Name],[1]!Bookings[Agency Name])</f>
        <v>CAPITAL AVENUE REAL ESTATE SOLE PROPRIETORSHIP L.L.C.</v>
      </c>
      <c r="W43" t="str">
        <f>XLOOKUP(E43,[1]!Bookings[Booking Name],[1]!Bookings[Booking ID])</f>
        <v>a03NM00000Son8f</v>
      </c>
      <c r="X43" t="str">
        <f>XLOOKUP(E43,[1]!Bookings[Booking Name],[1]!Bookings[Oracle Id])</f>
        <v>-</v>
      </c>
      <c r="Y43" t="e">
        <v>#N/A</v>
      </c>
      <c r="Z43" t="str">
        <v>No Payment</v>
      </c>
      <c r="AA43">
        <v>0</v>
      </c>
      <c r="AB43" t="str">
        <v>N/A</v>
      </c>
      <c r="AC43" t="str">
        <v xml:space="preserve">Booking was created under wrong unit </v>
      </c>
      <c r="AD43" t="str">
        <v>https://onedevelopmentuae-my.sharepoint.com/personal/n_araujo_oneuae_com/Documents/Desktop/Norton-Local/Requests/Rejected%20Bookings/Booking-1406%20-%20Booking%20Rejection%20Request.msg</v>
      </c>
      <c r="AE43" t="str">
        <v>Booking created on unit OR-1403 instead of OR-1402</v>
      </c>
      <c r="AF43" t="str">
        <v>Booking created on unit OR-1403 instead of OR-1402</v>
      </c>
    </row>
    <row r="44">
      <c r="B44" t="str">
        <v>January</v>
      </c>
      <c r="C44">
        <v>46036</v>
      </c>
      <c r="D44">
        <f>XLOOKUP(E44,[1]!Bookings[Booking Name],[1]!Bookings[Rejected Date])</f>
        <v>46038</v>
      </c>
      <c r="E44" t="str">
        <v>Booking-1446</v>
      </c>
      <c r="F44" t="str">
        <f>XLOOKUP(E44,[1]!Bookings[Booking Name],[1]!Bookings[Booking Status])</f>
        <v>Rejected</v>
      </c>
      <c r="G44">
        <f>XLOOKUP(E44,[1]!Bookings[Booking Name],[1]!Bookings[Booking Date])</f>
        <v>46035</v>
      </c>
      <c r="H44">
        <f>XLOOKUP(E44,[1]!Bookings[Booking Name],[1]!Bookings[Booking Aging])</f>
        <v>24</v>
      </c>
      <c r="I44" t="str">
        <f>XLOOKUP(E44,[1]!Bookings[Booking Name],[1]!Bookings[Project Name])</f>
        <v>One Residence</v>
      </c>
      <c r="J44" t="str">
        <f>XLOOKUP(E44,[1]!Bookings[Booking Name],[1]!Bookings[Building])</f>
        <v>Tower 1</v>
      </c>
      <c r="K44" t="str">
        <f>XLOOKUP(E44,[1]!Bookings[Booking Name],[1]!Bookings[Bedrooms])</f>
        <v>2 BR</v>
      </c>
      <c r="L44" t="str">
        <f>XLOOKUP(E44,[1]!Bookings[Booking Name],[1]!Bookings[Unit No.])</f>
        <v>OR-1503</v>
      </c>
      <c r="M44" t="str">
        <f>XLOOKUP(E44,[1]!Bookings[Booking Name],[1]!Bookings[Inventory Unit Status])</f>
        <v>Booked</v>
      </c>
      <c r="N44" t="str">
        <f>XLOOKUP(E44,[1]!Bookings[Booking Name],[1]!Bookings[Booking Status])</f>
        <v>Rejected</v>
      </c>
      <c r="O44" t="str">
        <f>XLOOKUP(E44,[1]!Bookings[Booking Name],[1]!Bookings[Customer Name])</f>
        <v>Mayank Chadha</v>
      </c>
      <c r="P44" t="str">
        <f>XLOOKUP(E44,[1]!Bookings[Booking Name],[1]!Bookings[Nationality])</f>
        <v>India</v>
      </c>
      <c r="Q44">
        <f>XLOOKUP(E44,[1]!Bookings[Booking Name],[1]!Bookings[Discount Amount])</f>
        <v>10000</v>
      </c>
      <c r="R44">
        <f>XLOOKUP(E44,[1]!Bookings[Booking Name],[1]!Bookings[Discount Percentage])</f>
        <v>0.0040650406504065045</v>
      </c>
      <c r="S44">
        <f>XLOOKUP(E44,[1]!Bookings[Booking Name],[1]!Bookings[Final Sale Value After Discount])</f>
        <v>2450000</v>
      </c>
      <c r="T44">
        <f>XLOOKUP(E44,[1]!Bookings[Booking Name],[1]!Bookings[Inv Final Sale Value])</f>
        <v>2460000</v>
      </c>
      <c r="U44" t="str">
        <f>XLOOKUP(E44,[1]!Bookings[Booking Name],[1]!Bookings[Sales])</f>
        <v>Jamil Ibrahim</v>
      </c>
      <c r="V44" t="str">
        <f>XLOOKUP(E44,[1]!Bookings[Booking Name],[1]!Bookings[Agency Name])</f>
        <v>EAST WEST HOMES PROPERTIES - L.L.C - S.P.C</v>
      </c>
      <c r="W44" t="str">
        <f>XLOOKUP(E44,[1]!Bookings[Booking Name],[1]!Bookings[Booking ID])</f>
        <v>a03NM00000TBPLr</v>
      </c>
      <c r="X44" t="str">
        <f>XLOOKUP(E44,[1]!Bookings[Booking Name],[1]!Bookings[Oracle Id])</f>
        <v>-</v>
      </c>
      <c r="Y44" t="e">
        <v>#N/A</v>
      </c>
      <c r="Z44" t="str">
        <v>No Payment</v>
      </c>
      <c r="AA44">
        <v>0</v>
      </c>
      <c r="AB44" t="str">
        <v>N/A</v>
      </c>
      <c r="AC44" t="str">
        <v>Cancelled due to Repricing</v>
      </c>
      <c r="AD44" t="str">
        <v>https://onedevelopmentuae-my.sharepoint.com/personal/n_araujo_oneuae_com/Documents/Desktop/Norton-Local/Requests/Rejected%20Bookings/Booking-1446%20-%20Booking%20Rejection%20Request.msg</v>
      </c>
      <c r="AE44" t="str">
        <v>Cancelled due to Price Revision</v>
      </c>
      <c r="AF44" t="str">
        <v>Cancelled due to Price Revision</v>
      </c>
    </row>
    <row r="45">
      <c r="B45" t="str">
        <v>January</v>
      </c>
      <c r="C45">
        <v>46036</v>
      </c>
      <c r="D45">
        <f>XLOOKUP(E45,[1]!Bookings[Booking Name],[1]!Bookings[Rejected Date])</f>
        <v>46038</v>
      </c>
      <c r="E45" t="str">
        <v>Booking-800</v>
      </c>
      <c r="F45" t="str">
        <f>XLOOKUP(E45,[1]!Bookings[Booking Name],[1]!Bookings[Booking Status])</f>
        <v>Rejected</v>
      </c>
      <c r="G45">
        <f>XLOOKUP(E45,[1]!Bookings[Booking Name],[1]!Bookings[Booking Date])</f>
        <v>45839</v>
      </c>
      <c r="H45">
        <f>XLOOKUP(E45,[1]!Bookings[Booking Name],[1]!Bookings[Booking Aging])</f>
        <v>220</v>
      </c>
      <c r="I45" t="str">
        <f>XLOOKUP(E45,[1]!Bookings[Booking Name],[1]!Bookings[Project Name])</f>
        <v>Laguna Residence</v>
      </c>
      <c r="J45" t="str">
        <f>XLOOKUP(E45,[1]!Bookings[Booking Name],[1]!Bookings[Building])</f>
        <v>Tower B</v>
      </c>
      <c r="K45" t="str">
        <f>XLOOKUP(E45,[1]!Bookings[Booking Name],[1]!Bookings[Bedrooms])</f>
        <v>1 Bedroom</v>
      </c>
      <c r="L45" t="str">
        <f>XLOOKUP(E45,[1]!Bookings[Booking Name],[1]!Bookings[Unit No.])</f>
        <v>B205</v>
      </c>
      <c r="M45" t="str">
        <f>XLOOKUP(E45,[1]!Bookings[Booking Name],[1]!Bookings[Inventory Unit Status])</f>
        <v>Blocked</v>
      </c>
      <c r="N45" t="str">
        <f>XLOOKUP(E45,[1]!Bookings[Booking Name],[1]!Bookings[Booking Status])</f>
        <v>Rejected</v>
      </c>
      <c r="O45" t="str">
        <f>XLOOKUP(E45,[1]!Bookings[Booking Name],[1]!Bookings[Customer Name])</f>
        <v>Mohanad Adel Abdo Saif</v>
      </c>
      <c r="P45" t="str">
        <f>XLOOKUP(E45,[1]!Bookings[Booking Name],[1]!Bookings[Nationality])</f>
        <v>Yemen</v>
      </c>
      <c r="Q45">
        <f>XLOOKUP(E45,[1]!Bookings[Booking Name],[1]!Bookings[Discount Amount])</f>
        <v>98000</v>
      </c>
      <c r="R45">
        <f>XLOOKUP(E45,[1]!Bookings[Booking Name],[1]!Bookings[Discount Percentage])</f>
        <v>0.07728706624605679</v>
      </c>
      <c r="S45">
        <f>XLOOKUP(E45,[1]!Bookings[Booking Name],[1]!Bookings[Final Sale Value After Discount])</f>
        <v>1170000</v>
      </c>
      <c r="T45">
        <f>XLOOKUP(E45,[1]!Bookings[Booking Name],[1]!Bookings[Inv Final Sale Value])</f>
        <v>1268000</v>
      </c>
      <c r="U45" t="str">
        <f>XLOOKUP(E45,[1]!Bookings[Booking Name],[1]!Bookings[Sales])</f>
        <v>Ramy Abdelsalam</v>
      </c>
      <c r="V45" t="str">
        <f>XLOOKUP(E45,[1]!Bookings[Booking Name],[1]!Bookings[Agency Name])</f>
        <v>STARS AND SANDS PROPERTIES L.L.C</v>
      </c>
      <c r="W45" t="str">
        <f>XLOOKUP(E45,[1]!Bookings[Booking Name],[1]!Bookings[Booking ID])</f>
        <v>a03J6000009mhWb</v>
      </c>
      <c r="X45" t="str">
        <f>XLOOKUP(E45,[1]!Bookings[Booking Name],[1]!Bookings[Oracle Id])</f>
        <v>-</v>
      </c>
      <c r="Y45">
        <v>8000</v>
      </c>
      <c r="Z45">
        <v>317550</v>
      </c>
      <c r="AA45">
        <v>0.2714102564102564</v>
      </c>
      <c r="AB45" t="str">
        <v>No</v>
      </c>
      <c r="AC45" t="str">
        <v>Unit Swapped with A604 as approved by Management</v>
      </c>
      <c r="AD45" t="str">
        <v>https://onedevelopmentuae-my.sharepoint.com/personal/n_araujo_oneuae_com/Documents/Desktop/Norton-Local/Requests/Rejected%20Bookings/Booking-800%20-%20Booking%20Rejection%20Request.msg</v>
      </c>
      <c r="AE45" t="str">
        <v>Unit Swap - Approved by Management</v>
      </c>
      <c r="AF45" t="str">
        <v>Swapped from B205 to A604</v>
      </c>
    </row>
    <row r="46">
      <c r="B46" t="str">
        <v>January</v>
      </c>
      <c r="C46">
        <v>46032</v>
      </c>
      <c r="D46">
        <f>XLOOKUP(E46,[1]!Bookings[Booking Name],[1]!Bookings[Rejected Date])</f>
        <v>46035</v>
      </c>
      <c r="E46" t="str">
        <v>Booking-1345</v>
      </c>
      <c r="F46" t="str">
        <f>XLOOKUP(E46,[1]!Bookings[Booking Name],[1]!Bookings[Booking Status])</f>
        <v>Rejected</v>
      </c>
      <c r="G46">
        <f>XLOOKUP(E46,[1]!Bookings[Booking Name],[1]!Bookings[Booking Date])</f>
        <v>46029</v>
      </c>
      <c r="H46">
        <f>XLOOKUP(E46,[1]!Bookings[Booking Name],[1]!Bookings[Booking Aging])</f>
        <v>30</v>
      </c>
      <c r="I46" t="str">
        <f>XLOOKUP(E46,[1]!Bookings[Booking Name],[1]!Bookings[Project Name])</f>
        <v>One Residence</v>
      </c>
      <c r="J46" t="str">
        <f>XLOOKUP(E46,[1]!Bookings[Booking Name],[1]!Bookings[Building])</f>
        <v>Tower 1</v>
      </c>
      <c r="K46" t="str">
        <f>XLOOKUP(E46,[1]!Bookings[Booking Name],[1]!Bookings[Bedrooms])</f>
        <v>1 BR</v>
      </c>
      <c r="L46" t="str">
        <f>XLOOKUP(E46,[1]!Bookings[Booking Name],[1]!Bookings[Unit No.])</f>
        <v>OR-810</v>
      </c>
      <c r="M46" t="str">
        <f>XLOOKUP(E46,[1]!Bookings[Booking Name],[1]!Bookings[Inventory Unit Status])</f>
        <v>Booked</v>
      </c>
      <c r="N46" t="str">
        <f>XLOOKUP(E46,[1]!Bookings[Booking Name],[1]!Bookings[Booking Status])</f>
        <v>Rejected</v>
      </c>
      <c r="O46" t="str">
        <f>XLOOKUP(E46,[1]!Bookings[Booking Name],[1]!Bookings[Customer Name])</f>
        <v>Andrea Nannini</v>
      </c>
      <c r="P46" t="str">
        <f>XLOOKUP(E46,[1]!Bookings[Booking Name],[1]!Bookings[Nationality])</f>
        <v>Italy</v>
      </c>
      <c r="Q46">
        <f>XLOOKUP(E46,[1]!Bookings[Booking Name],[1]!Bookings[Discount Amount])</f>
        <v>113889</v>
      </c>
      <c r="R46">
        <f>XLOOKUP(E46,[1]!Bookings[Booking Name],[1]!Bookings[Discount Percentage])</f>
        <v>0.06902363636363637</v>
      </c>
      <c r="S46">
        <f>XLOOKUP(E46,[1]!Bookings[Booking Name],[1]!Bookings[Final Sale Value After Discount])</f>
        <v>1536111</v>
      </c>
      <c r="T46">
        <f>XLOOKUP(E46,[1]!Bookings[Booking Name],[1]!Bookings[Inv Final Sale Value])</f>
        <v>1650000</v>
      </c>
      <c r="U46" t="str">
        <f>XLOOKUP(E46,[1]!Bookings[Booking Name],[1]!Bookings[Sales])</f>
        <v>Hussam Haitham Alrez</v>
      </c>
      <c r="V46" t="str">
        <f>XLOOKUP(E46,[1]!Bookings[Booking Name],[1]!Bookings[Agency Name])</f>
        <v>NARA REAL ESTATE SOLE PROPRIETORSHIP  L.L.C</v>
      </c>
      <c r="W46" t="str">
        <f>XLOOKUP(E46,[1]!Bookings[Booking Name],[1]!Bookings[Booking ID])</f>
        <v>a03NM00000Sf0vZ</v>
      </c>
      <c r="X46" t="str">
        <f>XLOOKUP(E46,[1]!Bookings[Booking Name],[1]!Bookings[Oracle Id])</f>
        <v>-</v>
      </c>
      <c r="Y46" t="e">
        <v>#N/A</v>
      </c>
      <c r="Z46" t="str">
        <v>No Payment</v>
      </c>
      <c r="AA46">
        <v>0</v>
      </c>
      <c r="AB46" t="str">
        <v>N/A</v>
      </c>
      <c r="AC46" t="str">
        <v>Cancelled due to Repricing</v>
      </c>
      <c r="AD46" t="str">
        <v>https://onedevelopmentuae-my.sharepoint.com/personal/n_araujo_oneuae_com/Documents/Desktop/Norton-Local/Requests/Rejected%20Bookings/Booking-1345%20-%20Booking%20Rejection%20Request.msg</v>
      </c>
      <c r="AE46" t="str">
        <v>Cancelled due to Price Revision</v>
      </c>
      <c r="AF46" t="str">
        <v>Cancelled due to Price Revision</v>
      </c>
    </row>
    <row r="47">
      <c r="B47" t="str">
        <v>January</v>
      </c>
      <c r="C47">
        <v>46029</v>
      </c>
      <c r="D47">
        <f>XLOOKUP(E47,[1]!Bookings[Booking Name],[1]!Bookings[Rejected Date])</f>
        <v>46031</v>
      </c>
      <c r="E47" t="str">
        <v>Booking-1085</v>
      </c>
      <c r="F47" t="str">
        <f>XLOOKUP(E47,[1]!Bookings[Booking Name],[1]!Bookings[Booking Status])</f>
        <v>Rejected</v>
      </c>
      <c r="G47">
        <f>XLOOKUP(E47,[1]!Bookings[Booking Name],[1]!Bookings[Booking Date])</f>
        <v>45958</v>
      </c>
      <c r="H47">
        <f>XLOOKUP(E47,[1]!Bookings[Booking Name],[1]!Bookings[Booking Aging])</f>
        <v>101</v>
      </c>
      <c r="I47" t="str">
        <f>XLOOKUP(E47,[1]!Bookings[Booking Name],[1]!Bookings[Project Name])</f>
        <v>Laguna Residence</v>
      </c>
      <c r="J47" t="str">
        <f>XLOOKUP(E47,[1]!Bookings[Booking Name],[1]!Bookings[Building])</f>
        <v>Tower B</v>
      </c>
      <c r="K47" t="str">
        <f>XLOOKUP(E47,[1]!Bookings[Booking Name],[1]!Bookings[Bedrooms])</f>
        <v>Studio</v>
      </c>
      <c r="L47" t="str">
        <f>XLOOKUP(E47,[1]!Bookings[Booking Name],[1]!Bookings[Unit No.])</f>
        <v>B914</v>
      </c>
      <c r="M47" t="str">
        <f>XLOOKUP(E47,[1]!Bookings[Booking Name],[1]!Bookings[Inventory Unit Status])</f>
        <v>Blocked</v>
      </c>
      <c r="N47" t="str">
        <f>XLOOKUP(E47,[1]!Bookings[Booking Name],[1]!Bookings[Booking Status])</f>
        <v>Rejected</v>
      </c>
      <c r="O47" t="str">
        <f>XLOOKUP(E47,[1]!Bookings[Booking Name],[1]!Bookings[Customer Name])</f>
        <v>Syeda Sadiya</v>
      </c>
      <c r="P47" t="str">
        <f>XLOOKUP(E47,[1]!Bookings[Booking Name],[1]!Bookings[Nationality])</f>
        <v>India</v>
      </c>
      <c r="Q47">
        <f>XLOOKUP(E47,[1]!Bookings[Booking Name],[1]!Bookings[Discount Amount])</f>
        <v>0</v>
      </c>
      <c r="R47">
        <f>XLOOKUP(E47,[1]!Bookings[Booking Name],[1]!Bookings[Discount Percentage])</f>
        <v>0</v>
      </c>
      <c r="S47">
        <f>XLOOKUP(E47,[1]!Bookings[Booking Name],[1]!Bookings[Final Sale Value After Discount])</f>
        <v>832000</v>
      </c>
      <c r="T47">
        <f>XLOOKUP(E47,[1]!Bookings[Booking Name],[1]!Bookings[Inv Final Sale Value])</f>
        <v>832000</v>
      </c>
      <c r="U47" t="str">
        <f>XLOOKUP(E47,[1]!Bookings[Booking Name],[1]!Bookings[Sales])</f>
        <v>Aqsa Bhatti</v>
      </c>
      <c r="V47" t="str">
        <f>XLOOKUP(E47,[1]!Bookings[Booking Name],[1]!Bookings[Agency Name])</f>
        <v>MUHAMMAD SAEEDI REAL ESTATE MANAGEMENT SUPERVISION SERVICES L.L.C</v>
      </c>
      <c r="W47" t="str">
        <f>XLOOKUP(E47,[1]!Bookings[Booking Name],[1]!Bookings[Booking ID])</f>
        <v>a03J600000FmHk1</v>
      </c>
      <c r="X47" t="str">
        <f>XLOOKUP(E47,[1]!Bookings[Booking Name],[1]!Bookings[Oracle Id])</f>
        <v>-</v>
      </c>
      <c r="Y47" t="str">
        <v>Not Available on Finance Tracker</v>
      </c>
      <c r="Z47" t="str">
        <v>No Payment</v>
      </c>
      <c r="AA47">
        <v>0</v>
      </c>
      <c r="AB47" t="str">
        <v>N/A</v>
      </c>
      <c r="AC47" t="str">
        <v>Cancelled due to Non Payment</v>
      </c>
      <c r="AD47" t="str">
        <v>https://onedevelopmentuae-my.sharepoint.com/personal/n_araujo_oneuae_com/Documents/Desktop/Norton-Local/Requests/Rejected%20Bookings/Booking-1085%20-%20Booking%20Rejection%20Request.msg</v>
      </c>
      <c r="AE47" t="str">
        <v>Cancelled due to Non Payment</v>
      </c>
      <c r="AF47" t="str">
        <v>Cancellation Request raised by Sales Operations Team</v>
      </c>
    </row>
    <row r="48">
      <c r="B48" t="str">
        <v>January</v>
      </c>
      <c r="C48">
        <v>46029</v>
      </c>
      <c r="D48">
        <f>XLOOKUP(E48,[1]!Bookings[Booking Name],[1]!Bookings[Rejected Date])</f>
        <v>46031</v>
      </c>
      <c r="E48" t="str">
        <v>Booking-1111</v>
      </c>
      <c r="F48" t="str">
        <f>XLOOKUP(E48,[1]!Bookings[Booking Name],[1]!Bookings[Booking Status])</f>
        <v>Rejected</v>
      </c>
      <c r="G48">
        <f>XLOOKUP(E48,[1]!Bookings[Booking Name],[1]!Bookings[Booking Date])</f>
        <v>45961</v>
      </c>
      <c r="H48">
        <f>XLOOKUP(E48,[1]!Bookings[Booking Name],[1]!Bookings[Booking Aging])</f>
        <v>98</v>
      </c>
      <c r="I48" t="str">
        <f>XLOOKUP(E48,[1]!Bookings[Booking Name],[1]!Bookings[Project Name])</f>
        <v>Laguna Residence</v>
      </c>
      <c r="J48" t="str">
        <f>XLOOKUP(E48,[1]!Bookings[Booking Name],[1]!Bookings[Building])</f>
        <v>Tower B</v>
      </c>
      <c r="K48" t="str">
        <f>XLOOKUP(E48,[1]!Bookings[Booking Name],[1]!Bookings[Bedrooms])</f>
        <v>Studio</v>
      </c>
      <c r="L48" t="str">
        <f>XLOOKUP(E48,[1]!Bookings[Booking Name],[1]!Bookings[Unit No.])</f>
        <v>B814</v>
      </c>
      <c r="M48" t="str">
        <f>XLOOKUP(E48,[1]!Bookings[Booking Name],[1]!Bookings[Inventory Unit Status])</f>
        <v>Blocked</v>
      </c>
      <c r="N48" t="str">
        <f>XLOOKUP(E48,[1]!Bookings[Booking Name],[1]!Bookings[Booking Status])</f>
        <v>Rejected</v>
      </c>
      <c r="O48" t="str">
        <f>XLOOKUP(E48,[1]!Bookings[Booking Name],[1]!Bookings[Customer Name])</f>
        <v>Harutyun Melikyan</v>
      </c>
      <c r="P48" t="str">
        <f>XLOOKUP(E48,[1]!Bookings[Booking Name],[1]!Bookings[Nationality])</f>
        <v>Armenia</v>
      </c>
      <c r="Q48">
        <f>XLOOKUP(E48,[1]!Bookings[Booking Name],[1]!Bookings[Discount Amount])</f>
        <v>0</v>
      </c>
      <c r="R48">
        <f>XLOOKUP(E48,[1]!Bookings[Booking Name],[1]!Bookings[Discount Percentage])</f>
        <v>0</v>
      </c>
      <c r="S48">
        <f>XLOOKUP(E48,[1]!Bookings[Booking Name],[1]!Bookings[Final Sale Value After Discount])</f>
        <v>840000</v>
      </c>
      <c r="T48">
        <f>XLOOKUP(E48,[1]!Bookings[Booking Name],[1]!Bookings[Inv Final Sale Value])</f>
        <v>840000</v>
      </c>
      <c r="U48" t="str">
        <f>XLOOKUP(E48,[1]!Bookings[Booking Name],[1]!Bookings[Sales])</f>
        <v>Zarina Avdalian</v>
      </c>
      <c r="V48" t="str">
        <f>XLOOKUP(E48,[1]!Bookings[Booking Name],[1]!Bookings[Agency Name])</f>
        <v>ALBINA MKRTCHYAN REAL ESTATE</v>
      </c>
      <c r="W48" t="str">
        <f>XLOOKUP(E48,[1]!Bookings[Booking Name],[1]!Bookings[Booking ID])</f>
        <v>a03J600000Fmas0</v>
      </c>
      <c r="X48" t="str">
        <f>XLOOKUP(E48,[1]!Bookings[Booking Name],[1]!Bookings[Oracle Id])</f>
        <v>-</v>
      </c>
      <c r="Y48" t="str">
        <v>Not Available on Finance Tracker</v>
      </c>
      <c r="Z48">
        <v>8400</v>
      </c>
      <c r="AA48">
        <v>0.01</v>
      </c>
      <c r="AB48" t="str">
        <v>No</v>
      </c>
      <c r="AC48" t="str">
        <v>Cancelled due to Non Payment</v>
      </c>
      <c r="AD48" t="str">
        <v>https://onedevelopmentuae-my.sharepoint.com/personal/n_araujo_oneuae_com/Documents/Desktop/Norton-Local/Requests/Rejected%20Bookings/Booking-1111%20-%20Booking%20Rejection%20Request.msg</v>
      </c>
      <c r="AE48" t="str">
        <v>Cancelled due to Non Payment</v>
      </c>
      <c r="AF48" t="str">
        <v>Cancellation Request raised by Sales Operations Team - No Refund</v>
      </c>
    </row>
    <row r="49">
      <c r="B49" t="str">
        <v>January</v>
      </c>
      <c r="C49">
        <v>46028</v>
      </c>
      <c r="D49">
        <f>XLOOKUP(E49,[1]!Bookings[Booking Name],[1]!Bookings[Rejected Date])</f>
        <v>46055</v>
      </c>
      <c r="E49" t="str">
        <v>Booking-818</v>
      </c>
      <c r="F49" t="str">
        <f>XLOOKUP(E49,[1]!Bookings[Booking Name],[1]!Bookings[Booking Status])</f>
        <v>Rejected</v>
      </c>
      <c r="G49">
        <f>XLOOKUP(E49,[1]!Bookings[Booking Name],[1]!Bookings[Booking Date])</f>
        <v>45847</v>
      </c>
      <c r="H49">
        <f>XLOOKUP(E49,[1]!Bookings[Booking Name],[1]!Bookings[Booking Aging])</f>
        <v>212</v>
      </c>
      <c r="I49" t="str">
        <f>XLOOKUP(E49,[1]!Bookings[Booking Name],[1]!Bookings[Project Name])</f>
        <v>Laguna Residence</v>
      </c>
      <c r="J49" t="str">
        <f>XLOOKUP(E49,[1]!Bookings[Booking Name],[1]!Bookings[Building])</f>
        <v>Tower B</v>
      </c>
      <c r="K49" t="str">
        <f>XLOOKUP(E49,[1]!Bookings[Booking Name],[1]!Bookings[Bedrooms])</f>
        <v>Studio</v>
      </c>
      <c r="L49" t="str">
        <f>XLOOKUP(E49,[1]!Bookings[Booking Name],[1]!Bookings[Unit No.])</f>
        <v>B807</v>
      </c>
      <c r="M49" t="str">
        <f>XLOOKUP(E49,[1]!Bookings[Booking Name],[1]!Bookings[Inventory Unit Status])</f>
        <v>Blocked</v>
      </c>
      <c r="N49" t="str">
        <f>XLOOKUP(E49,[1]!Bookings[Booking Name],[1]!Bookings[Booking Status])</f>
        <v>Rejected</v>
      </c>
      <c r="O49" t="str">
        <f>XLOOKUP(E49,[1]!Bookings[Booking Name],[1]!Bookings[Customer Name])</f>
        <v>Daniele Lisboa Kon Caval Canti Da Silva</v>
      </c>
      <c r="P49" t="str">
        <f>XLOOKUP(E49,[1]!Bookings[Booking Name],[1]!Bookings[Nationality])</f>
        <v>Brazil</v>
      </c>
      <c r="Q49">
        <f>XLOOKUP(E49,[1]!Bookings[Booking Name],[1]!Bookings[Discount Amount])</f>
        <v>60060</v>
      </c>
      <c r="R49">
        <f>XLOOKUP(E49,[1]!Bookings[Booking Name],[1]!Bookings[Discount Percentage])</f>
        <v>0.07</v>
      </c>
      <c r="S49">
        <f>XLOOKUP(E49,[1]!Bookings[Booking Name],[1]!Bookings[Final Sale Value After Discount])</f>
        <v>797940</v>
      </c>
      <c r="T49">
        <f>XLOOKUP(E49,[1]!Bookings[Booking Name],[1]!Bookings[Inv Final Sale Value])</f>
        <v>858000</v>
      </c>
      <c r="U49" t="str">
        <f>XLOOKUP(E49,[1]!Bookings[Booking Name],[1]!Bookings[Sales])</f>
        <v>Muhammad Al Qaq</v>
      </c>
      <c r="V49" t="str">
        <f>XLOOKUP(E49,[1]!Bookings[Booking Name],[1]!Bookings[Agency Name])</f>
        <v>NAHY REAL ESTATE LLC</v>
      </c>
      <c r="W49" t="str">
        <f>XLOOKUP(E49,[1]!Bookings[Booking Name],[1]!Bookings[Booking ID])</f>
        <v>a03J6000009nARB</v>
      </c>
      <c r="X49" t="str">
        <f>XLOOKUP(E49,[1]!Bookings[Booking Name],[1]!Bookings[Oracle Id])</f>
        <v>-</v>
      </c>
      <c r="Z49">
        <v>95694</v>
      </c>
      <c r="AA49">
        <v>0.11992631024889089</v>
      </c>
      <c r="AB49" t="str">
        <v>No</v>
      </c>
      <c r="AC49" t="str">
        <v>Cancelled due to Non Payment</v>
      </c>
      <c r="AD49" t="str">
        <v>https://onedevelopmentuae-my.sharepoint.com/personal/n_araujo_oneuae_com/Documents/Desktop/Norton-Local/Requests/Rejected%20Bookings/Booking-818%20-%20Booking%20Rejection%20Request.pdf</v>
      </c>
      <c r="AE49" t="str">
        <v>Cancelled due to Non Payment</v>
      </c>
      <c r="AF49" t="str">
        <v>Cancellation Request raised by Sales Operations Team - No Refund</v>
      </c>
    </row>
    <row r="50">
      <c r="B50" t="str">
        <v>January</v>
      </c>
      <c r="C50">
        <v>46028</v>
      </c>
      <c r="D50">
        <f>XLOOKUP(E50,[1]!Bookings[Booking Name],[1]!Bookings[Rejected Date])</f>
        <v>46055</v>
      </c>
      <c r="E50" t="str">
        <v>Booking-906</v>
      </c>
      <c r="F50" t="str">
        <f>XLOOKUP(E50,[1]!Bookings[Booking Name],[1]!Bookings[Booking Status])</f>
        <v>Rejected</v>
      </c>
      <c r="G50">
        <f>XLOOKUP(E50,[1]!Bookings[Booking Name],[1]!Bookings[Booking Date])</f>
        <v>45884</v>
      </c>
      <c r="H50">
        <f>XLOOKUP(E50,[1]!Bookings[Booking Name],[1]!Bookings[Booking Aging])</f>
        <v>175</v>
      </c>
      <c r="I50" t="str">
        <f>XLOOKUP(E50,[1]!Bookings[Booking Name],[1]!Bookings[Project Name])</f>
        <v>Laguna Residence</v>
      </c>
      <c r="J50" t="str">
        <f>XLOOKUP(E50,[1]!Bookings[Booking Name],[1]!Bookings[Building])</f>
        <v>Tower A</v>
      </c>
      <c r="K50" t="str">
        <f>XLOOKUP(E50,[1]!Bookings[Booking Name],[1]!Bookings[Bedrooms])</f>
        <v>Studio</v>
      </c>
      <c r="L50" t="str">
        <f>XLOOKUP(E50,[1]!Bookings[Booking Name],[1]!Bookings[Unit No.])</f>
        <v>A2413</v>
      </c>
      <c r="M50" t="str">
        <f>XLOOKUP(E50,[1]!Bookings[Booking Name],[1]!Bookings[Inventory Unit Status])</f>
        <v>Blocked</v>
      </c>
      <c r="N50" t="str">
        <f>XLOOKUP(E50,[1]!Bookings[Booking Name],[1]!Bookings[Booking Status])</f>
        <v>Rejected</v>
      </c>
      <c r="O50" t="str">
        <f>XLOOKUP(E50,[1]!Bookings[Booking Name],[1]!Bookings[Customer Name])</f>
        <v>Walid Monir Ahmed Radwan</v>
      </c>
      <c r="P50" t="str">
        <f>XLOOKUP(E50,[1]!Bookings[Booking Name],[1]!Bookings[Nationality])</f>
        <v>Egypt</v>
      </c>
      <c r="Q50">
        <f>XLOOKUP(E50,[1]!Bookings[Booking Name],[1]!Bookings[Discount Amount])</f>
        <v>39650</v>
      </c>
      <c r="R50">
        <f>XLOOKUP(E50,[1]!Bookings[Booking Name],[1]!Bookings[Discount Percentage])</f>
        <v>0.05</v>
      </c>
      <c r="S50">
        <f>XLOOKUP(E50,[1]!Bookings[Booking Name],[1]!Bookings[Final Sale Value After Discount])</f>
        <v>753350</v>
      </c>
      <c r="T50">
        <f>XLOOKUP(E50,[1]!Bookings[Booking Name],[1]!Bookings[Inv Final Sale Value])</f>
        <v>793000</v>
      </c>
      <c r="U50" t="str">
        <f>XLOOKUP(E50,[1]!Bookings[Booking Name],[1]!Bookings[Sales])</f>
        <v>Ahmed Eissa</v>
      </c>
      <c r="V50" t="str">
        <f>XLOOKUP(E50,[1]!Bookings[Booking Name],[1]!Bookings[Agency Name])</f>
        <v>Dar Alsarh Real Estate Brokerage</v>
      </c>
      <c r="W50" t="str">
        <f>XLOOKUP(E50,[1]!Bookings[Booking Name],[1]!Bookings[Booking ID])</f>
        <v>a03J600000Br1GH</v>
      </c>
      <c r="X50" t="str">
        <f>XLOOKUP(E50,[1]!Bookings[Booking Name],[1]!Bookings[Oracle Id])</f>
        <v>-</v>
      </c>
      <c r="Z50">
        <v>47340.19</v>
      </c>
      <c r="AA50">
        <v>0.06283956992101945</v>
      </c>
      <c r="AB50" t="str">
        <v>No</v>
      </c>
      <c r="AC50" t="str">
        <v>Cancelled due to Non Payment</v>
      </c>
      <c r="AD50" t="str">
        <v>https://onedevelopmentuae-my.sharepoint.com/personal/n_araujo_oneuae_com/Documents/Desktop/Norton-Local/Requests/Rejected%20Bookings/Booking-906%20-%20Booking%20Rejection%20Request.pdf</v>
      </c>
      <c r="AE50" t="str">
        <v>Cancelled due to Non Payment</v>
      </c>
      <c r="AF50" t="str">
        <v>Cancellation Request raised by Sales Operations Team - No Refund</v>
      </c>
    </row>
    <row r="51">
      <c r="B51" t="str">
        <v>January</v>
      </c>
      <c r="C51">
        <v>46024</v>
      </c>
      <c r="D51">
        <f>XLOOKUP(E51,[1]!Bookings[Booking Name],[1]!Bookings[Rejected Date])</f>
        <v>46031</v>
      </c>
      <c r="E51" t="str">
        <v>Booking-1226</v>
      </c>
      <c r="F51" t="str">
        <f>XLOOKUP(E51,[1]!Bookings[Booking Name],[1]!Bookings[Booking Status])</f>
        <v>Rejected</v>
      </c>
      <c r="G51">
        <f>XLOOKUP(E51,[1]!Bookings[Booking Name],[1]!Bookings[Booking Date])</f>
        <v>45987</v>
      </c>
      <c r="H51">
        <f>XLOOKUP(E51,[1]!Bookings[Booking Name],[1]!Bookings[Booking Aging])</f>
        <v>72</v>
      </c>
      <c r="I51" t="str">
        <f>XLOOKUP(E51,[1]!Bookings[Booking Name],[1]!Bookings[Project Name])</f>
        <v>Laguna Residence</v>
      </c>
      <c r="J51" t="str">
        <f>XLOOKUP(E51,[1]!Bookings[Booking Name],[1]!Bookings[Building])</f>
        <v>Tower B</v>
      </c>
      <c r="K51" t="str">
        <f>XLOOKUP(E51,[1]!Bookings[Booking Name],[1]!Bookings[Bedrooms])</f>
        <v>2 Bedroom</v>
      </c>
      <c r="L51" t="str">
        <f>XLOOKUP(E51,[1]!Bookings[Booking Name],[1]!Bookings[Unit No.])</f>
        <v>B2101</v>
      </c>
      <c r="M51" t="str">
        <f>XLOOKUP(E51,[1]!Bookings[Booking Name],[1]!Bookings[Inventory Unit Status])</f>
        <v>Blocked</v>
      </c>
      <c r="N51" t="str">
        <f>XLOOKUP(E51,[1]!Bookings[Booking Name],[1]!Bookings[Booking Status])</f>
        <v>Rejected</v>
      </c>
      <c r="O51" t="str">
        <f>XLOOKUP(E51,[1]!Bookings[Booking Name],[1]!Bookings[Customer Name])</f>
        <v>Garry Anthony Mebane</v>
      </c>
      <c r="P51" t="str">
        <f>XLOOKUP(E51,[1]!Bookings[Booking Name],[1]!Bookings[Nationality])</f>
        <v>United States of America</v>
      </c>
      <c r="Q51">
        <f>XLOOKUP(E51,[1]!Bookings[Booking Name],[1]!Bookings[Discount Amount])</f>
        <v>0</v>
      </c>
      <c r="R51">
        <f>XLOOKUP(E51,[1]!Bookings[Booking Name],[1]!Bookings[Discount Percentage])</f>
        <v>0</v>
      </c>
      <c r="S51">
        <f>XLOOKUP(E51,[1]!Bookings[Booking Name],[1]!Bookings[Final Sale Value After Discount])</f>
        <v>2790000</v>
      </c>
      <c r="T51">
        <f>XLOOKUP(E51,[1]!Bookings[Booking Name],[1]!Bookings[Inv Final Sale Value])</f>
        <v>2790000</v>
      </c>
      <c r="U51" t="str">
        <f>XLOOKUP(E51,[1]!Bookings[Booking Name],[1]!Bookings[Sales])</f>
        <v>Jude Kwakye</v>
      </c>
      <c r="V51" t="str">
        <f>XLOOKUP(E51,[1]!Bookings[Booking Name],[1]!Bookings[Agency Name])</f>
        <v>ANCHORMAN REAL ESTATE L.L.C</v>
      </c>
      <c r="W51" t="str">
        <f>XLOOKUP(E51,[1]!Bookings[Booking Name],[1]!Bookings[Booking ID])</f>
        <v>a03NM00000NvuTI</v>
      </c>
      <c r="X51" t="str">
        <f>XLOOKUP(E51,[1]!Bookings[Booking Name],[1]!Bookings[Oracle Id])</f>
        <v>-</v>
      </c>
      <c r="Y51" t="e">
        <v>#N/A</v>
      </c>
      <c r="Z51">
        <v>7345.2</v>
      </c>
      <c r="AA51">
        <v>0.0026326881720430107</v>
      </c>
      <c r="AB51" t="str">
        <v>No</v>
      </c>
      <c r="AC51" t="str">
        <v>Cancelled due to Non Payment</v>
      </c>
      <c r="AD51" t="str">
        <v>https://onedevelopmentuae-my.sharepoint.com/personal/n_araujo_oneuae_com/Documents/Desktop/Norton-Local/Requests/Rejected%20Bookings/Booking-1226%20-%20Booking%20Rejection%20Request.pdf</v>
      </c>
      <c r="AE51" t="str">
        <v>Cancelled due to Non Payment</v>
      </c>
      <c r="AF51" t="str">
        <v>Cancellation Request raised by Sales Operations Team - No Refund</v>
      </c>
    </row>
    <row r="52">
      <c r="B52" t="str">
        <v>January</v>
      </c>
      <c r="C52">
        <v>46024</v>
      </c>
      <c r="D52">
        <f>XLOOKUP(E52,[1]!Bookings[Booking Name],[1]!Bookings[Rejected Date])</f>
        <v>46031</v>
      </c>
      <c r="E52" t="str">
        <v>Booking-951</v>
      </c>
      <c r="F52" t="str">
        <f>XLOOKUP(E52,[1]!Bookings[Booking Name],[1]!Bookings[Booking Status])</f>
        <v>Rejected</v>
      </c>
      <c r="G52">
        <f>XLOOKUP(E52,[1]!Bookings[Booking Name],[1]!Bookings[Booking Date])</f>
        <v>45896</v>
      </c>
      <c r="H52">
        <f>XLOOKUP(E52,[1]!Bookings[Booking Name],[1]!Bookings[Booking Aging])</f>
        <v>163</v>
      </c>
      <c r="I52" t="str">
        <f>XLOOKUP(E52,[1]!Bookings[Booking Name],[1]!Bookings[Project Name])</f>
        <v>Laguna Residence</v>
      </c>
      <c r="J52" t="str">
        <f>XLOOKUP(E52,[1]!Bookings[Booking Name],[1]!Bookings[Building])</f>
        <v>Tower A</v>
      </c>
      <c r="K52" t="str">
        <f>XLOOKUP(E52,[1]!Bookings[Booking Name],[1]!Bookings[Bedrooms])</f>
        <v>Studio</v>
      </c>
      <c r="L52" t="str">
        <f>XLOOKUP(E52,[1]!Bookings[Booking Name],[1]!Bookings[Unit No.])</f>
        <v>A3113</v>
      </c>
      <c r="M52" t="str">
        <f>XLOOKUP(E52,[1]!Bookings[Booking Name],[1]!Bookings[Inventory Unit Status])</f>
        <v>Booked</v>
      </c>
      <c r="N52" t="str">
        <f>XLOOKUP(E52,[1]!Bookings[Booking Name],[1]!Bookings[Booking Status])</f>
        <v>Rejected</v>
      </c>
      <c r="O52" t="str">
        <f>XLOOKUP(E52,[1]!Bookings[Booking Name],[1]!Bookings[Customer Name])</f>
        <v>Osha Ali Salmeen Ali Almazrouei</v>
      </c>
      <c r="P52" t="str">
        <f>XLOOKUP(E52,[1]!Bookings[Booking Name],[1]!Bookings[Nationality])</f>
        <v>United Arab Emirates</v>
      </c>
      <c r="Q52">
        <f>XLOOKUP(E52,[1]!Bookings[Booking Name],[1]!Bookings[Discount Amount])</f>
        <v>0</v>
      </c>
      <c r="R52">
        <f>XLOOKUP(E52,[1]!Bookings[Booking Name],[1]!Bookings[Discount Percentage])</f>
        <v>0</v>
      </c>
      <c r="S52">
        <f>XLOOKUP(E52,[1]!Bookings[Booking Name],[1]!Bookings[Final Sale Value After Discount])</f>
        <v>805000</v>
      </c>
      <c r="T52">
        <f>XLOOKUP(E52,[1]!Bookings[Booking Name],[1]!Bookings[Inv Final Sale Value])</f>
        <v>805000</v>
      </c>
      <c r="U52" t="str">
        <f>XLOOKUP(E52,[1]!Bookings[Booking Name],[1]!Bookings[Sales])</f>
        <v>Mohamed El Shimy</v>
      </c>
      <c r="V52" t="str">
        <f>XLOOKUP(E52,[1]!Bookings[Booking Name],[1]!Bookings[Agency Name])</f>
        <v>Eleva Properties LLC</v>
      </c>
      <c r="W52" t="str">
        <f>XLOOKUP(E52,[1]!Bookings[Booking Name],[1]!Bookings[Booking ID])</f>
        <v>a03J600000BrdNw</v>
      </c>
      <c r="X52" t="str">
        <f>XLOOKUP(E52,[1]!Bookings[Booking Name],[1]!Bookings[Oracle Id])</f>
        <v>-</v>
      </c>
      <c r="Y52" t="str">
        <v>Not Available on Finance Tracker</v>
      </c>
      <c r="Z52">
        <v>5000</v>
      </c>
      <c r="AA52">
        <v>0.006211180124223602</v>
      </c>
      <c r="AB52" t="str">
        <v>N/A</v>
      </c>
      <c r="AC52" t="str">
        <v>Error in Booking</v>
      </c>
      <c r="AD52" t="str">
        <v>https://onedevelopmentuae-my.sharepoint.com/personal/n_araujo_oneuae_com/Documents/Desktop/Norton-Local/Requests/Rejected%20Bookings/Booking-951%20-%20Booking%20Rejection%20Request.msg</v>
      </c>
      <c r="AE52" t="str">
        <v>Error In Cancellation</v>
      </c>
      <c r="AF52" t="str">
        <v>Unit has been rebooked as SD confirmed payment was cleared</v>
      </c>
    </row>
    <row r="53" xml:space="preserve">
      <c r="B53" t="str">
        <v>December</v>
      </c>
      <c r="C53">
        <v>46021</v>
      </c>
      <c r="D53">
        <f>XLOOKUP(E53,[1]!Bookings[Booking Name],[1]!Bookings[Rejected Date])</f>
        <v>46031</v>
      </c>
      <c r="E53" t="str">
        <v>Booking-1224</v>
      </c>
      <c r="F53" t="str">
        <f>XLOOKUP(E53,[1]!Bookings[Booking Name],[1]!Bookings[Booking Status])</f>
        <v>Rejected</v>
      </c>
      <c r="G53">
        <f>XLOOKUP(E53,[1]!Bookings[Booking Name],[1]!Bookings[Booking Date])</f>
        <v>45987</v>
      </c>
      <c r="H53">
        <f>XLOOKUP(E53,[1]!Bookings[Booking Name],[1]!Bookings[Booking Aging])</f>
        <v>72</v>
      </c>
      <c r="I53" t="str">
        <f>XLOOKUP(E53,[1]!Bookings[Booking Name],[1]!Bookings[Project Name])</f>
        <v>Do Dubai Island</v>
      </c>
      <c r="J53" t="str">
        <f>XLOOKUP(E53,[1]!Bookings[Booking Name],[1]!Bookings[Building])</f>
        <v>Tower 1</v>
      </c>
      <c r="K53" t="str">
        <f>XLOOKUP(E53,[1]!Bookings[Booking Name],[1]!Bookings[Bedrooms])</f>
        <v>1 Bedroom</v>
      </c>
      <c r="L53" t="str">
        <f>XLOOKUP(E53,[1]!Bookings[Booking Name],[1]!Bookings[Unit No.])</f>
        <v>206</v>
      </c>
      <c r="M53" t="str">
        <f>XLOOKUP(E53,[1]!Bookings[Booking Name],[1]!Bookings[Inventory Unit Status])</f>
        <v>Blocked</v>
      </c>
      <c r="N53" t="str">
        <f>XLOOKUP(E53,[1]!Bookings[Booking Name],[1]!Bookings[Booking Status])</f>
        <v>Rejected</v>
      </c>
      <c r="O53" t="str">
        <f>XLOOKUP(E53,[1]!Bookings[Booking Name],[1]!Bookings[Customer Name])</f>
        <v>Jens Michael Engelhardt</v>
      </c>
      <c r="P53" t="str">
        <f>XLOOKUP(E53,[1]!Bookings[Booking Name],[1]!Bookings[Nationality])</f>
        <v>Switzerland</v>
      </c>
      <c r="Q53">
        <f>XLOOKUP(E53,[1]!Bookings[Booking Name],[1]!Bookings[Discount Amount])</f>
        <v>0</v>
      </c>
      <c r="R53">
        <f>XLOOKUP(E53,[1]!Bookings[Booking Name],[1]!Bookings[Discount Percentage])</f>
        <v>0</v>
      </c>
      <c r="S53">
        <f>XLOOKUP(E53,[1]!Bookings[Booking Name],[1]!Bookings[Final Sale Value After Discount])</f>
        <v>2670000</v>
      </c>
      <c r="T53">
        <f>XLOOKUP(E53,[1]!Bookings[Booking Name],[1]!Bookings[Inv Final Sale Value])</f>
        <v>2670000</v>
      </c>
      <c r="U53" t="str">
        <f>XLOOKUP(E53,[1]!Bookings[Booking Name],[1]!Bookings[Sales])</f>
        <v>Zarina Avdalian</v>
      </c>
      <c r="V53" t="str">
        <f>XLOOKUP(E53,[1]!Bookings[Booking Name],[1]!Bookings[Agency Name])</f>
        <v>Metropolitan Premium Properties</v>
      </c>
      <c r="W53" t="str">
        <f>XLOOKUP(E53,[1]!Bookings[Booking Name],[1]!Bookings[Booking ID])</f>
        <v>a03NM00000Nuh6f</v>
      </c>
      <c r="X53" t="str">
        <f>XLOOKUP(E53,[1]!Bookings[Booking Name],[1]!Bookings[Oracle Id])</f>
        <v>-</v>
      </c>
      <c r="Y53" t="e">
        <v>#N/A</v>
      </c>
      <c r="Z53">
        <v>10000</v>
      </c>
      <c r="AA53">
        <v>0.003745318352059925</v>
      </c>
      <c r="AB53" t="str">
        <v>No</v>
      </c>
      <c r="AC53" t="str" xml:space="preserve">
        <v xml:space="preserve">Customer requested to cancel Booking and for the paid amount to be refunded._x000d_
Refund not approved by Management</v>
      </c>
      <c r="AD53" t="str">
        <v>https://onedevelopmentuae-my.sharepoint.com/personal/n_araujo_oneuae_com/Documents/Desktop/Norton-Local/Requests/Rejected%20Bookings/Booking-1224%20-%20Booking%20Rejection%20Request.pdf</v>
      </c>
      <c r="AE53" t="str">
        <v>Customer requested to cancel</v>
      </c>
      <c r="AF53" t="str">
        <v>Customer is unable to continue with the Purchase</v>
      </c>
    </row>
    <row r="54" xml:space="preserve">
      <c r="B54" t="str">
        <v>December</v>
      </c>
      <c r="C54">
        <v>46015</v>
      </c>
      <c r="D54">
        <f>XLOOKUP(E54,[1]!Bookings[Booking Name],[1]!Bookings[Rejected Date])</f>
        <v>46020</v>
      </c>
      <c r="E54" t="str">
        <v>Booking-1101</v>
      </c>
      <c r="F54" t="str">
        <f>XLOOKUP(E54,[1]!Bookings[Booking Name],[1]!Bookings[Booking Status])</f>
        <v>Rejected</v>
      </c>
      <c r="G54">
        <f>XLOOKUP(E54,[1]!Bookings[Booking Name],[1]!Bookings[Booking Date])</f>
        <v>45960</v>
      </c>
      <c r="H54">
        <f>XLOOKUP(E54,[1]!Bookings[Booking Name],[1]!Bookings[Booking Aging])</f>
        <v>99</v>
      </c>
      <c r="I54" t="str">
        <f>XLOOKUP(E54,[1]!Bookings[Booking Name],[1]!Bookings[Project Name])</f>
        <v>Laguna Residence</v>
      </c>
      <c r="J54" t="str">
        <f>XLOOKUP(E54,[1]!Bookings[Booking Name],[1]!Bookings[Building])</f>
        <v>Tower B</v>
      </c>
      <c r="K54" t="str">
        <f>XLOOKUP(E54,[1]!Bookings[Booking Name],[1]!Bookings[Bedrooms])</f>
        <v>Studio</v>
      </c>
      <c r="L54" t="str">
        <f>XLOOKUP(E54,[1]!Bookings[Booking Name],[1]!Bookings[Unit No.])</f>
        <v>B1513</v>
      </c>
      <c r="M54" t="str">
        <f>XLOOKUP(E54,[1]!Bookings[Booking Name],[1]!Bookings[Inventory Unit Status])</f>
        <v>Blocked</v>
      </c>
      <c r="N54" t="str">
        <f>XLOOKUP(E54,[1]!Bookings[Booking Name],[1]!Bookings[Booking Status])</f>
        <v>Rejected</v>
      </c>
      <c r="O54" t="str">
        <f>XLOOKUP(E54,[1]!Bookings[Booking Name],[1]!Bookings[Customer Name])</f>
        <v>Poorva Avinash Rupawate</v>
      </c>
      <c r="P54" t="str">
        <f>XLOOKUP(E54,[1]!Bookings[Booking Name],[1]!Bookings[Nationality])</f>
        <v>India</v>
      </c>
      <c r="Q54">
        <f>XLOOKUP(E54,[1]!Bookings[Booking Name],[1]!Bookings[Discount Amount])</f>
        <v>0</v>
      </c>
      <c r="R54">
        <f>XLOOKUP(E54,[1]!Bookings[Booking Name],[1]!Bookings[Discount Percentage])</f>
        <v>0</v>
      </c>
      <c r="S54">
        <f>XLOOKUP(E54,[1]!Bookings[Booking Name],[1]!Bookings[Final Sale Value After Discount])</f>
        <v>854000</v>
      </c>
      <c r="T54">
        <f>XLOOKUP(E54,[1]!Bookings[Booking Name],[1]!Bookings[Inv Final Sale Value])</f>
        <v>854000</v>
      </c>
      <c r="U54" t="str">
        <f>XLOOKUP(E54,[1]!Bookings[Booking Name],[1]!Bookings[Sales])</f>
        <v>Jamil Ibrahim</v>
      </c>
      <c r="V54" t="str">
        <f>XLOOKUP(E54,[1]!Bookings[Booking Name],[1]!Bookings[Agency Name])</f>
        <v>BANKE INTERNATIONAL PROPERTIES L.L.C</v>
      </c>
      <c r="W54" t="str">
        <f>XLOOKUP(E54,[1]!Bookings[Booking Name],[1]!Bookings[Booking ID])</f>
        <v>a03J600000FmRI5</v>
      </c>
      <c r="X54" t="str">
        <f>XLOOKUP(E54,[1]!Bookings[Booking Name],[1]!Bookings[Oracle Id])</f>
        <v>-</v>
      </c>
      <c r="Y54" t="str">
        <v>Not Available on Finance Tracker</v>
      </c>
      <c r="Z54">
        <v>8160</v>
      </c>
      <c r="AA54">
        <v>0.00955503512880562</v>
      </c>
      <c r="AB54" t="str">
        <v>No</v>
      </c>
      <c r="AC54" t="str" xml:space="preserve">
        <v xml:space="preserve">Customer requested to cancel Booking and for the paid amount to be refunded._x000d_
Refund not approved by Management</v>
      </c>
      <c r="AD54" t="str">
        <v>https://onedevelopmentuae-my.sharepoint.com/personal/n_araujo_oneuae_com/Documents/Desktop/Norton-Local/Requests/Rejected%20Bookings/Booking-1101%20-%20Booking%20Rejection%20Request.pdf</v>
      </c>
      <c r="AE54" t="str">
        <v>Customer requested to cancel</v>
      </c>
      <c r="AF54" t="str">
        <v>Customer is unable to continue with the Purchase</v>
      </c>
    </row>
    <row r="55">
      <c r="B55" t="str">
        <v>December</v>
      </c>
      <c r="C55">
        <v>46014</v>
      </c>
      <c r="D55">
        <f>XLOOKUP(E55,[1]!Bookings[Booking Name],[1]!Bookings[Rejected Date])</f>
        <v>46031</v>
      </c>
      <c r="E55" t="str">
        <v>Booking-1231</v>
      </c>
      <c r="F55" t="str">
        <f>XLOOKUP(E55,[1]!Bookings[Booking Name],[1]!Bookings[Booking Status])</f>
        <v>Rejected</v>
      </c>
      <c r="G55">
        <f>XLOOKUP(E55,[1]!Bookings[Booking Name],[1]!Bookings[Booking Date])</f>
        <v>45994</v>
      </c>
      <c r="H55">
        <f>XLOOKUP(E55,[1]!Bookings[Booking Name],[1]!Bookings[Booking Aging])</f>
        <v>65</v>
      </c>
      <c r="I55" t="str">
        <f>XLOOKUP(E55,[1]!Bookings[Booking Name],[1]!Bookings[Project Name])</f>
        <v>Laguna Residence</v>
      </c>
      <c r="J55" t="str">
        <f>XLOOKUP(E55,[1]!Bookings[Booking Name],[1]!Bookings[Building])</f>
        <v>Tower A</v>
      </c>
      <c r="K55" t="str">
        <f>XLOOKUP(E55,[1]!Bookings[Booking Name],[1]!Bookings[Bedrooms])</f>
        <v>Studio</v>
      </c>
      <c r="L55" t="str">
        <f>XLOOKUP(E55,[1]!Bookings[Booking Name],[1]!Bookings[Unit No.])</f>
        <v>A1917</v>
      </c>
      <c r="M55" t="str">
        <f>XLOOKUP(E55,[1]!Bookings[Booking Name],[1]!Bookings[Inventory Unit Status])</f>
        <v>Blocked</v>
      </c>
      <c r="N55" t="str">
        <f>XLOOKUP(E55,[1]!Bookings[Booking Name],[1]!Bookings[Booking Status])</f>
        <v>Rejected</v>
      </c>
      <c r="O55" t="str">
        <f>XLOOKUP(E55,[1]!Bookings[Booking Name],[1]!Bookings[Customer Name])</f>
        <v>Vijay Kumar Bhatia</v>
      </c>
      <c r="P55" t="str">
        <f>XLOOKUP(E55,[1]!Bookings[Booking Name],[1]!Bookings[Nationality])</f>
        <v>India</v>
      </c>
      <c r="Q55">
        <f>XLOOKUP(E55,[1]!Bookings[Booking Name],[1]!Bookings[Discount Amount])</f>
        <v>0</v>
      </c>
      <c r="R55">
        <f>XLOOKUP(E55,[1]!Bookings[Booking Name],[1]!Bookings[Discount Percentage])</f>
        <v>0</v>
      </c>
      <c r="S55">
        <f>XLOOKUP(E55,[1]!Bookings[Booking Name],[1]!Bookings[Final Sale Value After Discount])</f>
        <v>871000</v>
      </c>
      <c r="T55">
        <f>XLOOKUP(E55,[1]!Bookings[Booking Name],[1]!Bookings[Inv Final Sale Value])</f>
        <v>871000</v>
      </c>
      <c r="U55" t="str">
        <f>XLOOKUP(E55,[1]!Bookings[Booking Name],[1]!Bookings[Sales])</f>
        <v>Sumeet Mehta</v>
      </c>
      <c r="V55" t="str">
        <f>XLOOKUP(E55,[1]!Bookings[Booking Name],[1]!Bookings[Agency Name])</f>
        <v>ANCHORMAN REAL ESTATE L.L.C</v>
      </c>
      <c r="W55" t="str">
        <f>XLOOKUP(E55,[1]!Bookings[Booking Name],[1]!Bookings[Booking ID])</f>
        <v>a03NM00000OQ12h</v>
      </c>
      <c r="X55" t="str">
        <f>XLOOKUP(E55,[1]!Bookings[Booking Name],[1]!Bookings[Oracle Id])</f>
        <v>-</v>
      </c>
      <c r="Y55" t="e">
        <v>#N/A</v>
      </c>
      <c r="Z55">
        <v>12500</v>
      </c>
      <c r="AA55">
        <v>0.014351320321469576</v>
      </c>
      <c r="AB55" t="str">
        <v>No</v>
      </c>
      <c r="AC55" t="str">
        <v>Customer requested to cancel Booking. Refund not approved by Management</v>
      </c>
      <c r="AD55" t="str">
        <v>https://onedevelopmentuae-my.sharepoint.com/personal/n_araujo_oneuae_com/Documents/Desktop/Norton-Local/Requests/Rejected%20Bookings/Booking-1231%20-%20Booking%20Rejection%20Request.pdf</v>
      </c>
      <c r="AE55" t="str">
        <v>Customer requested to cancel</v>
      </c>
      <c r="AF55" t="str">
        <v>Customer is unable to continue with the Purchase</v>
      </c>
    </row>
    <row r="56">
      <c r="B56" t="str">
        <v>December</v>
      </c>
      <c r="C56">
        <v>46010</v>
      </c>
      <c r="D56">
        <f>XLOOKUP(E56,[1]!Bookings[Booking Name],[1]!Bookings[Rejected Date])</f>
        <v>46031</v>
      </c>
      <c r="E56" t="str">
        <v>Booking-864</v>
      </c>
      <c r="F56" t="str">
        <f>XLOOKUP(E56,[1]!Bookings[Booking Name],[1]!Bookings[Booking Status])</f>
        <v>Rejected</v>
      </c>
      <c r="G56">
        <f>XLOOKUP(E56,[1]!Bookings[Booking Name],[1]!Bookings[Booking Date])</f>
        <v>45871</v>
      </c>
      <c r="H56">
        <f>XLOOKUP(E56,[1]!Bookings[Booking Name],[1]!Bookings[Booking Aging])</f>
        <v>188</v>
      </c>
      <c r="I56" t="str">
        <f>XLOOKUP(E56,[1]!Bookings[Booking Name],[1]!Bookings[Project Name])</f>
        <v>Laguna Residence</v>
      </c>
      <c r="J56" t="str">
        <f>XLOOKUP(E56,[1]!Bookings[Booking Name],[1]!Bookings[Building])</f>
        <v>Tower A</v>
      </c>
      <c r="K56" t="str">
        <f>XLOOKUP(E56,[1]!Bookings[Booking Name],[1]!Bookings[Bedrooms])</f>
        <v>1 Bedroom</v>
      </c>
      <c r="L56" t="str">
        <f>XLOOKUP(E56,[1]!Bookings[Booking Name],[1]!Bookings[Unit No.])</f>
        <v>A1622</v>
      </c>
      <c r="M56" t="str">
        <f>XLOOKUP(E56,[1]!Bookings[Booking Name],[1]!Bookings[Inventory Unit Status])</f>
        <v>Blocked</v>
      </c>
      <c r="N56" t="str">
        <f>XLOOKUP(E56,[1]!Bookings[Booking Name],[1]!Bookings[Booking Status])</f>
        <v>Rejected</v>
      </c>
      <c r="O56" t="str">
        <f>XLOOKUP(E56,[1]!Bookings[Booking Name],[1]!Bookings[Customer Name])</f>
        <v>Magdi H F Al Hassi</v>
      </c>
      <c r="P56" t="str">
        <f>XLOOKUP(E56,[1]!Bookings[Booking Name],[1]!Bookings[Nationality])</f>
        <v>Libya</v>
      </c>
      <c r="Q56">
        <f>XLOOKUP(E56,[1]!Bookings[Booking Name],[1]!Bookings[Discount Amount])</f>
        <v>-47634</v>
      </c>
      <c r="R56">
        <f>XLOOKUP(E56,[1]!Bookings[Booking Name],[1]!Bookings[Discount Percentage])</f>
        <v>-0.034</v>
      </c>
      <c r="S56">
        <f>XLOOKUP(E56,[1]!Bookings[Booking Name],[1]!Bookings[Final Sale Value After Discount])</f>
        <v>1448634</v>
      </c>
      <c r="T56">
        <f>XLOOKUP(E56,[1]!Bookings[Booking Name],[1]!Bookings[Inv Final Sale Value])</f>
        <v>1401000</v>
      </c>
      <c r="U56" t="str">
        <f>XLOOKUP(E56,[1]!Bookings[Booking Name],[1]!Bookings[Sales])</f>
        <v>Amal El Gendy</v>
      </c>
      <c r="V56" t="str">
        <f>XLOOKUP(E56,[1]!Bookings[Booking Name],[1]!Bookings[Agency Name])</f>
        <v>F B B REAL ESTATE BROKERAGE LLC.</v>
      </c>
      <c r="W56" t="str">
        <f>XLOOKUP(E56,[1]!Bookings[Booking Name],[1]!Bookings[Booking ID])</f>
        <v>a03J6000009oRWK</v>
      </c>
      <c r="X56" t="str">
        <f>XLOOKUP(E56,[1]!Bookings[Booking Name],[1]!Bookings[Oracle Id])</f>
        <v>-</v>
      </c>
      <c r="Y56" t="str">
        <v>Not Available on Finance Tracker</v>
      </c>
      <c r="Z56">
        <v>20000</v>
      </c>
      <c r="AA56">
        <v>0.013806109755811338</v>
      </c>
      <c r="AB56" t="str">
        <v>NA</v>
      </c>
      <c r="AC56" t="str">
        <v>Cancelled due to Non Payment</v>
      </c>
      <c r="AD56" t="str">
        <v>https://onedevelopmentuae-my.sharepoint.com/personal/n_araujo_oneuae_com/Documents/Desktop/Norton-Local/Requests/Rejected%20Bookings/Booking-864%20-%20Booking%20Rejection%20Request.pdf</v>
      </c>
      <c r="AE56" t="str">
        <v>Cancelled due to Non Payment</v>
      </c>
      <c r="AF56" t="str">
        <v>Cancellation Request raised by Sales Operations Team</v>
      </c>
    </row>
    <row r="57">
      <c r="B57" t="str">
        <v>December</v>
      </c>
      <c r="C57">
        <v>46009</v>
      </c>
      <c r="D57">
        <f>XLOOKUP(E57,[1]!Bookings[Booking Name],[1]!Bookings[Rejected Date])</f>
        <v>46031</v>
      </c>
      <c r="E57" t="str">
        <v>Booking-1054</v>
      </c>
      <c r="F57" t="str">
        <f>XLOOKUP(E57,[1]!Bookings[Booking Name],[1]!Bookings[Booking Status])</f>
        <v>Rejected</v>
      </c>
      <c r="G57">
        <f>XLOOKUP(E57,[1]!Bookings[Booking Name],[1]!Bookings[Booking Date])</f>
        <v>45939</v>
      </c>
      <c r="H57">
        <f>XLOOKUP(E57,[1]!Bookings[Booking Name],[1]!Bookings[Booking Aging])</f>
        <v>120</v>
      </c>
      <c r="I57" t="str">
        <f>XLOOKUP(E57,[1]!Bookings[Booking Name],[1]!Bookings[Project Name])</f>
        <v>Laguna Residence</v>
      </c>
      <c r="J57" t="str">
        <f>XLOOKUP(E57,[1]!Bookings[Booking Name],[1]!Bookings[Building])</f>
        <v>Tower B</v>
      </c>
      <c r="K57" t="str">
        <f>XLOOKUP(E57,[1]!Bookings[Booking Name],[1]!Bookings[Bedrooms])</f>
        <v>Studio</v>
      </c>
      <c r="L57" t="str">
        <f>XLOOKUP(E57,[1]!Bookings[Booking Name],[1]!Bookings[Unit No.])</f>
        <v>B2303</v>
      </c>
      <c r="M57" t="str">
        <f>XLOOKUP(E57,[1]!Bookings[Booking Name],[1]!Bookings[Inventory Unit Status])</f>
        <v>Available</v>
      </c>
      <c r="N57" t="str">
        <f>XLOOKUP(E57,[1]!Bookings[Booking Name],[1]!Bookings[Booking Status])</f>
        <v>Rejected</v>
      </c>
      <c r="O57" t="str">
        <f>XLOOKUP(E57,[1]!Bookings[Booking Name],[1]!Bookings[Customer Name])</f>
        <v>Michael Talarico</v>
      </c>
      <c r="P57" t="str">
        <f>XLOOKUP(E57,[1]!Bookings[Booking Name],[1]!Bookings[Nationality])</f>
        <v>Australia</v>
      </c>
      <c r="Q57">
        <f>XLOOKUP(E57,[1]!Bookings[Booking Name],[1]!Bookings[Discount Amount])</f>
        <v>43800</v>
      </c>
      <c r="R57">
        <f>XLOOKUP(E57,[1]!Bookings[Booking Name],[1]!Bookings[Discount Percentage])</f>
        <v>0.05</v>
      </c>
      <c r="S57">
        <f>XLOOKUP(E57,[1]!Bookings[Booking Name],[1]!Bookings[Final Sale Value After Discount])</f>
        <v>832200</v>
      </c>
      <c r="T57">
        <f>XLOOKUP(E57,[1]!Bookings[Booking Name],[1]!Bookings[Inv Final Sale Value])</f>
        <v>876000</v>
      </c>
      <c r="U57" t="str">
        <f>XLOOKUP(E57,[1]!Bookings[Booking Name],[1]!Bookings[Sales])</f>
        <v>Fadwa Belkaid</v>
      </c>
      <c r="V57" t="str">
        <f>XLOOKUP(E57,[1]!Bookings[Booking Name],[1]!Bookings[Agency Name])</f>
        <v>SEVEN CENTURY REAL ESTATE BROKERS L.L.C</v>
      </c>
      <c r="W57" t="str">
        <f>XLOOKUP(E57,[1]!Bookings[Booking Name],[1]!Bookings[Booking ID])</f>
        <v>a03J600000BuBcq</v>
      </c>
      <c r="X57" t="str">
        <f>XLOOKUP(E57,[1]!Bookings[Booking Name],[1]!Bookings[Oracle Id])</f>
        <v>-</v>
      </c>
      <c r="Y57" t="str">
        <v>Not Available on Finance Tracker</v>
      </c>
      <c r="Z57">
        <v>8450</v>
      </c>
      <c r="AA57">
        <v>0.01015380918048546</v>
      </c>
      <c r="AB57" t="str">
        <v>N/A</v>
      </c>
      <c r="AC57" t="str">
        <v>Cancelled due to Non Payment</v>
      </c>
      <c r="AD57" t="str">
        <v>https://onedevelopmentuae-my.sharepoint.com/personal/n_araujo_oneuae_com/Documents/Desktop/Norton-Local/Requests/Rejected%20Bookings/Booking-1054%20-%20Booking%20Rejection%20Request.msg</v>
      </c>
      <c r="AE57" t="str">
        <v>Cancelled due to Non Payment</v>
      </c>
      <c r="AF57" t="str">
        <v>Cancellation Request raised by Sales Operations Team - No Refund</v>
      </c>
    </row>
    <row r="58">
      <c r="B58" t="str">
        <v>December</v>
      </c>
      <c r="C58">
        <v>46009</v>
      </c>
      <c r="D58">
        <f>XLOOKUP(E58,[1]!Bookings[Booking Name],[1]!Bookings[Rejected Date])</f>
        <v>46031</v>
      </c>
      <c r="E58" t="str">
        <v>Booking-1029</v>
      </c>
      <c r="F58" t="str">
        <f>XLOOKUP(E58,[1]!Bookings[Booking Name],[1]!Bookings[Booking Status])</f>
        <v>Rejected</v>
      </c>
      <c r="G58">
        <f>XLOOKUP(E58,[1]!Bookings[Booking Name],[1]!Bookings[Booking Date])</f>
        <v>45933</v>
      </c>
      <c r="H58">
        <f>XLOOKUP(E58,[1]!Bookings[Booking Name],[1]!Bookings[Booking Aging])</f>
        <v>126</v>
      </c>
      <c r="I58" t="str">
        <f>XLOOKUP(E58,[1]!Bookings[Booking Name],[1]!Bookings[Project Name])</f>
        <v>Laguna Residence</v>
      </c>
      <c r="J58" t="str">
        <f>XLOOKUP(E58,[1]!Bookings[Booking Name],[1]!Bookings[Building])</f>
        <v>Tower B</v>
      </c>
      <c r="K58" t="str">
        <f>XLOOKUP(E58,[1]!Bookings[Booking Name],[1]!Bookings[Bedrooms])</f>
        <v>Studio</v>
      </c>
      <c r="L58" t="str">
        <f>XLOOKUP(E58,[1]!Bookings[Booking Name],[1]!Bookings[Unit No.])</f>
        <v>B3303</v>
      </c>
      <c r="M58" t="str">
        <f>XLOOKUP(E58,[1]!Bookings[Booking Name],[1]!Bookings[Inventory Unit Status])</f>
        <v>Blocked</v>
      </c>
      <c r="N58" t="str">
        <f>XLOOKUP(E58,[1]!Bookings[Booking Name],[1]!Bookings[Booking Status])</f>
        <v>Rejected</v>
      </c>
      <c r="O58" t="str">
        <f>XLOOKUP(E58,[1]!Bookings[Booking Name],[1]!Bookings[Customer Name])</f>
        <v>Blake Taylor Talarico</v>
      </c>
      <c r="P58" t="str">
        <f>XLOOKUP(E58,[1]!Bookings[Booking Name],[1]!Bookings[Nationality])</f>
        <v>Australia</v>
      </c>
      <c r="Q58">
        <f>XLOOKUP(E58,[1]!Bookings[Booking Name],[1]!Bookings[Discount Amount])</f>
        <v>48300</v>
      </c>
      <c r="R58">
        <f>XLOOKUP(E58,[1]!Bookings[Booking Name],[1]!Bookings[Discount Percentage])</f>
        <v>0.05</v>
      </c>
      <c r="S58">
        <f>XLOOKUP(E58,[1]!Bookings[Booking Name],[1]!Bookings[Final Sale Value After Discount])</f>
        <v>917700</v>
      </c>
      <c r="T58">
        <f>XLOOKUP(E58,[1]!Bookings[Booking Name],[1]!Bookings[Inv Final Sale Value])</f>
        <v>966000</v>
      </c>
      <c r="U58" t="str">
        <f>XLOOKUP(E58,[1]!Bookings[Booking Name],[1]!Bookings[Sales])</f>
        <v>Fadwa Belkaid</v>
      </c>
      <c r="V58" t="str">
        <f>XLOOKUP(E58,[1]!Bookings[Booking Name],[1]!Bookings[Agency Name])</f>
        <v>SEVEN CENTURY REAL ESTATE BROKERS L.L.C</v>
      </c>
      <c r="W58" t="str">
        <f>XLOOKUP(E58,[1]!Bookings[Booking Name],[1]!Bookings[Booking ID])</f>
        <v>a03J600000BtrEr</v>
      </c>
      <c r="X58" t="str">
        <f>XLOOKUP(E58,[1]!Bookings[Booking Name],[1]!Bookings[Oracle Id])</f>
        <v>-</v>
      </c>
      <c r="Y58" t="str">
        <v>Not Available on Finance Tracker</v>
      </c>
      <c r="Z58">
        <v>8450</v>
      </c>
      <c r="AA58">
        <v>0.009207802113980604</v>
      </c>
      <c r="AB58" t="str">
        <v>No</v>
      </c>
      <c r="AC58" t="str">
        <v>Cancelled due to Non Payment</v>
      </c>
      <c r="AD58" t="str">
        <v>https://onedevelopmentuae-my.sharepoint.com/personal/n_araujo_oneuae_com/Documents/Desktop/Norton-Local/Requests/Rejected%20Bookings/Booking-1029%20-%20Booking%20Rejection%20Request.msg</v>
      </c>
      <c r="AE58" t="str">
        <v>Cancelled due to Non Payment</v>
      </c>
      <c r="AF58" t="str">
        <v>Cancellation Request raised by Sales Operations Team - No Refund</v>
      </c>
    </row>
    <row r="59">
      <c r="B59" t="str">
        <v>December</v>
      </c>
      <c r="C59">
        <v>46006</v>
      </c>
      <c r="D59">
        <f>XLOOKUP(E59,[1]!Bookings[Booking Name],[1]!Bookings[Rejected Date])</f>
        <v>46031</v>
      </c>
      <c r="E59" t="str">
        <v>Booking-948</v>
      </c>
      <c r="F59" t="str">
        <f>XLOOKUP(E59,[1]!Bookings[Booking Name],[1]!Bookings[Booking Status])</f>
        <v>Rejected</v>
      </c>
      <c r="G59">
        <f>XLOOKUP(E59,[1]!Bookings[Booking Name],[1]!Bookings[Booking Date])</f>
        <v>45896</v>
      </c>
      <c r="H59">
        <f>XLOOKUP(E59,[1]!Bookings[Booking Name],[1]!Bookings[Booking Aging])</f>
        <v>163</v>
      </c>
      <c r="I59" t="str">
        <f>XLOOKUP(E59,[1]!Bookings[Booking Name],[1]!Bookings[Project Name])</f>
        <v>Laguna Residence</v>
      </c>
      <c r="J59" t="str">
        <f>XLOOKUP(E59,[1]!Bookings[Booking Name],[1]!Bookings[Building])</f>
        <v>Tower A</v>
      </c>
      <c r="K59" t="str">
        <f>XLOOKUP(E59,[1]!Bookings[Booking Name],[1]!Bookings[Bedrooms])</f>
        <v>Studio</v>
      </c>
      <c r="L59" t="str">
        <f>XLOOKUP(E59,[1]!Bookings[Booking Name],[1]!Bookings[Unit No.])</f>
        <v>A2913</v>
      </c>
      <c r="M59" t="str">
        <f>XLOOKUP(E59,[1]!Bookings[Booking Name],[1]!Bookings[Inventory Unit Status])</f>
        <v>Booked</v>
      </c>
      <c r="N59" t="str">
        <f>XLOOKUP(E59,[1]!Bookings[Booking Name],[1]!Bookings[Booking Status])</f>
        <v>Rejected</v>
      </c>
      <c r="O59" t="str">
        <f>XLOOKUP(E59,[1]!Bookings[Booking Name],[1]!Bookings[Customer Name])</f>
        <v>Saleha Mubarak Murshed Ali Almarar</v>
      </c>
      <c r="P59" t="str">
        <f>XLOOKUP(E59,[1]!Bookings[Booking Name],[1]!Bookings[Nationality])</f>
        <v>United Arab Emirates</v>
      </c>
      <c r="Q59">
        <f>XLOOKUP(E59,[1]!Bookings[Booking Name],[1]!Bookings[Discount Amount])</f>
        <v>0</v>
      </c>
      <c r="R59">
        <f>XLOOKUP(E59,[1]!Bookings[Booking Name],[1]!Bookings[Discount Percentage])</f>
        <v>0</v>
      </c>
      <c r="S59">
        <f>XLOOKUP(E59,[1]!Bookings[Booking Name],[1]!Bookings[Final Sale Value After Discount])</f>
        <v>805000</v>
      </c>
      <c r="T59">
        <f>XLOOKUP(E59,[1]!Bookings[Booking Name],[1]!Bookings[Inv Final Sale Value])</f>
        <v>805000</v>
      </c>
      <c r="U59" t="str">
        <f>XLOOKUP(E59,[1]!Bookings[Booking Name],[1]!Bookings[Sales])</f>
        <v>Mohamed El Shimy</v>
      </c>
      <c r="V59" t="str">
        <f>XLOOKUP(E59,[1]!Bookings[Booking Name],[1]!Bookings[Agency Name])</f>
        <v>Eleva Properties LLC</v>
      </c>
      <c r="W59" t="str">
        <f>XLOOKUP(E59,[1]!Bookings[Booking Name],[1]!Bookings[Booking ID])</f>
        <v>a03J600000BrdNX</v>
      </c>
      <c r="X59" t="str">
        <f>XLOOKUP(E59,[1]!Bookings[Booking Name],[1]!Bookings[Oracle Id])</f>
        <v>-</v>
      </c>
      <c r="Y59" t="str">
        <v>Not Available on Finance Tracker</v>
      </c>
      <c r="Z59">
        <v>5000</v>
      </c>
      <c r="AA59">
        <v>0.006211180124223602</v>
      </c>
      <c r="AB59" t="str">
        <v>N/A</v>
      </c>
      <c r="AC59" t="str">
        <v>Error in Booking</v>
      </c>
      <c r="AD59" t="str">
        <v>https://onedevelopmentuae-my.sharepoint.com/personal/n_araujo_oneuae_com/Documents/Desktop/Norton-Local/Requests/Rejected%20Bookings/Booking-948%20-%20Booking%20Rejection%20Request.msg</v>
      </c>
      <c r="AE59" t="str">
        <v>Error in Booking</v>
      </c>
      <c r="AF59" t="str">
        <v>Unit has been rebooked as SD confirmed payment was cleared</v>
      </c>
    </row>
    <row r="60">
      <c r="B60" t="str">
        <v>December</v>
      </c>
      <c r="C60">
        <v>46006</v>
      </c>
      <c r="D60">
        <f>XLOOKUP(E60,[1]!Bookings[Booking Name],[1]!Bookings[Rejected Date])</f>
        <v>46031</v>
      </c>
      <c r="E60" t="str">
        <v>Booking-950</v>
      </c>
      <c r="F60" t="str">
        <f>XLOOKUP(E60,[1]!Bookings[Booking Name],[1]!Bookings[Booking Status])</f>
        <v>Rejected</v>
      </c>
      <c r="G60">
        <f>XLOOKUP(E60,[1]!Bookings[Booking Name],[1]!Bookings[Booking Date])</f>
        <v>45896</v>
      </c>
      <c r="H60">
        <f>XLOOKUP(E60,[1]!Bookings[Booking Name],[1]!Bookings[Booking Aging])</f>
        <v>163</v>
      </c>
      <c r="I60" t="str">
        <f>XLOOKUP(E60,[1]!Bookings[Booking Name],[1]!Bookings[Project Name])</f>
        <v>Laguna Residence</v>
      </c>
      <c r="J60" t="str">
        <f>XLOOKUP(E60,[1]!Bookings[Booking Name],[1]!Bookings[Building])</f>
        <v>Tower A</v>
      </c>
      <c r="K60" t="str">
        <f>XLOOKUP(E60,[1]!Bookings[Booking Name],[1]!Bookings[Bedrooms])</f>
        <v>Studio</v>
      </c>
      <c r="L60" t="str">
        <f>XLOOKUP(E60,[1]!Bookings[Booking Name],[1]!Bookings[Unit No.])</f>
        <v>A3013</v>
      </c>
      <c r="M60" t="str">
        <f>XLOOKUP(E60,[1]!Bookings[Booking Name],[1]!Bookings[Inventory Unit Status])</f>
        <v>Booked</v>
      </c>
      <c r="N60" t="str">
        <f>XLOOKUP(E60,[1]!Bookings[Booking Name],[1]!Bookings[Booking Status])</f>
        <v>Rejected</v>
      </c>
      <c r="O60" t="str">
        <f>XLOOKUP(E60,[1]!Bookings[Booking Name],[1]!Bookings[Customer Name])</f>
        <v>Jaber Ali Salmeen Ali Almazrouei</v>
      </c>
      <c r="P60" t="str">
        <f>XLOOKUP(E60,[1]!Bookings[Booking Name],[1]!Bookings[Nationality])</f>
        <v>United Arab Emirates</v>
      </c>
      <c r="Q60">
        <f>XLOOKUP(E60,[1]!Bookings[Booking Name],[1]!Bookings[Discount Amount])</f>
        <v>0</v>
      </c>
      <c r="R60">
        <f>XLOOKUP(E60,[1]!Bookings[Booking Name],[1]!Bookings[Discount Percentage])</f>
        <v>0</v>
      </c>
      <c r="S60">
        <f>XLOOKUP(E60,[1]!Bookings[Booking Name],[1]!Bookings[Final Sale Value After Discount])</f>
        <v>806000</v>
      </c>
      <c r="T60">
        <f>XLOOKUP(E60,[1]!Bookings[Booking Name],[1]!Bookings[Inv Final Sale Value])</f>
        <v>806000</v>
      </c>
      <c r="U60" t="str">
        <f>XLOOKUP(E60,[1]!Bookings[Booking Name],[1]!Bookings[Sales])</f>
        <v>Mohamed El Shimy</v>
      </c>
      <c r="V60" t="str">
        <f>XLOOKUP(E60,[1]!Bookings[Booking Name],[1]!Bookings[Agency Name])</f>
        <v>Eleva Properties LLC</v>
      </c>
      <c r="W60" t="str">
        <f>XLOOKUP(E60,[1]!Bookings[Booking Name],[1]!Bookings[Booking ID])</f>
        <v>a03J600000BrdNr</v>
      </c>
      <c r="X60" t="str">
        <f>XLOOKUP(E60,[1]!Bookings[Booking Name],[1]!Bookings[Oracle Id])</f>
        <v>-</v>
      </c>
      <c r="Y60" t="str">
        <v>Not Available on Finance Tracker</v>
      </c>
      <c r="Z60">
        <v>5000</v>
      </c>
      <c r="AA60">
        <v>0.00620347394540943</v>
      </c>
      <c r="AB60" t="str">
        <v>N/A</v>
      </c>
      <c r="AC60" t="str">
        <v>Error in Booking</v>
      </c>
      <c r="AD60" t="str">
        <v>https://onedevelopmentuae-my.sharepoint.com/personal/n_araujo_oneuae_com/Documents/Desktop/Norton-Local/Requests/Rejected%20Bookings/Booking-950%20-%20Booking%20Rejection%20Request.msg</v>
      </c>
      <c r="AE60" t="str">
        <v>Error in Booking</v>
      </c>
      <c r="AF60" t="str">
        <v>Unit has been rebooked as SD confirmed payment was cleared</v>
      </c>
    </row>
    <row r="61">
      <c r="B61" t="str">
        <v>December</v>
      </c>
      <c r="C61">
        <v>46003</v>
      </c>
      <c r="D61">
        <f>XLOOKUP(E61,[1]!Bookings[Booking Name],[1]!Bookings[Rejected Date])</f>
        <v>46013</v>
      </c>
      <c r="E61" t="str">
        <v>Booking-1100</v>
      </c>
      <c r="F61" t="str">
        <f>XLOOKUP(E61,[1]!Bookings[Booking Name],[1]!Bookings[Booking Status])</f>
        <v>Rejected</v>
      </c>
      <c r="G61">
        <f>XLOOKUP(E61,[1]!Bookings[Booking Name],[1]!Bookings[Booking Date])</f>
        <v>45960</v>
      </c>
      <c r="H61">
        <f>XLOOKUP(E61,[1]!Bookings[Booking Name],[1]!Bookings[Booking Aging])</f>
        <v>99</v>
      </c>
      <c r="I61" t="str">
        <f>XLOOKUP(E61,[1]!Bookings[Booking Name],[1]!Bookings[Project Name])</f>
        <v>Laguna Residence</v>
      </c>
      <c r="J61" t="str">
        <f>XLOOKUP(E61,[1]!Bookings[Booking Name],[1]!Bookings[Building])</f>
        <v>Tower A</v>
      </c>
      <c r="K61" t="str">
        <f>XLOOKUP(E61,[1]!Bookings[Booking Name],[1]!Bookings[Bedrooms])</f>
        <v>Studio</v>
      </c>
      <c r="L61" t="str">
        <f>XLOOKUP(E61,[1]!Bookings[Booking Name],[1]!Bookings[Unit No.])</f>
        <v>A1611</v>
      </c>
      <c r="M61" t="str">
        <f>XLOOKUP(E61,[1]!Bookings[Booking Name],[1]!Bookings[Inventory Unit Status])</f>
        <v>SPA Executed</v>
      </c>
      <c r="N61" t="str">
        <f>XLOOKUP(E61,[1]!Bookings[Booking Name],[1]!Bookings[Booking Status])</f>
        <v>Rejected</v>
      </c>
      <c r="O61" t="str">
        <f>XLOOKUP(E61,[1]!Bookings[Booking Name],[1]!Bookings[Customer Name])</f>
        <v>Su Mon Phyo</v>
      </c>
      <c r="P61" t="str">
        <f>XLOOKUP(E61,[1]!Bookings[Booking Name],[1]!Bookings[Nationality])</f>
        <v>Myanmar (formerly Burma)</v>
      </c>
      <c r="Q61">
        <f>XLOOKUP(E61,[1]!Bookings[Booking Name],[1]!Bookings[Discount Amount])</f>
        <v>39700</v>
      </c>
      <c r="R61">
        <f>XLOOKUP(E61,[1]!Bookings[Booking Name],[1]!Bookings[Discount Percentage])</f>
        <v>0.05</v>
      </c>
      <c r="S61">
        <f>XLOOKUP(E61,[1]!Bookings[Booking Name],[1]!Bookings[Final Sale Value After Discount])</f>
        <v>754300</v>
      </c>
      <c r="T61">
        <f>XLOOKUP(E61,[1]!Bookings[Booking Name],[1]!Bookings[Inv Final Sale Value])</f>
        <v>794000</v>
      </c>
      <c r="U61" t="str">
        <f>XLOOKUP(E61,[1]!Bookings[Booking Name],[1]!Bookings[Sales])</f>
        <v>Yang XI</v>
      </c>
      <c r="V61" t="str">
        <f>XLOOKUP(E61,[1]!Bookings[Booking Name],[1]!Bookings[Agency Name])</f>
        <v>TRILUXE LIVING PROPERTIES LLC</v>
      </c>
      <c r="W61" t="str">
        <f>XLOOKUP(E61,[1]!Bookings[Booking Name],[1]!Bookings[Booking ID])</f>
        <v>a03J600000FmRFL</v>
      </c>
      <c r="X61" t="str">
        <f>XLOOKUP(E61,[1]!Bookings[Booking Name],[1]!Bookings[Oracle Id])</f>
        <v>-</v>
      </c>
      <c r="Y61" t="str">
        <v>Not Available on Finance Tracker</v>
      </c>
      <c r="Z61">
        <v>10000</v>
      </c>
      <c r="AA61">
        <v>0.013257324671881215</v>
      </c>
      <c r="AB61" t="str">
        <v>No</v>
      </c>
      <c r="AC61" t="str">
        <v>Cancelled due to Non Payment</v>
      </c>
      <c r="AD61" t="str">
        <v>https://onedevelopmentuae-my.sharepoint.com/personal/n_araujo_oneuae_com/Documents/Desktop/Norton-Local/Requests/Rejected%20Bookings/Booking-1100%20-%20Booking%20Rejection%20Request.msg</v>
      </c>
      <c r="AE61" t="str">
        <v>Cancelled due to Non Payment</v>
      </c>
      <c r="AF61" t="str">
        <v>Cancellation Request raised by Sales Operations Team</v>
      </c>
    </row>
    <row r="62" xml:space="preserve">
      <c r="B62" t="str">
        <v>December</v>
      </c>
      <c r="C62">
        <v>45994</v>
      </c>
      <c r="D62">
        <f>XLOOKUP(E62,[1]!Bookings[Booking Name],[1]!Bookings[Rejected Date])</f>
        <v>46001</v>
      </c>
      <c r="E62" t="str">
        <v>Booking-1162</v>
      </c>
      <c r="F62" t="str">
        <f>XLOOKUP(E62,[1]!Bookings[Booking Name],[1]!Bookings[Booking Status])</f>
        <v>Rejected</v>
      </c>
      <c r="G62">
        <f>XLOOKUP(E62,[1]!Bookings[Booking Name],[1]!Bookings[Booking Date])</f>
        <v>45970</v>
      </c>
      <c r="H62">
        <f>XLOOKUP(E62,[1]!Bookings[Booking Name],[1]!Bookings[Booking Aging])</f>
        <v>89</v>
      </c>
      <c r="I62" t="str">
        <f>XLOOKUP(E62,[1]!Bookings[Booking Name],[1]!Bookings[Project Name])</f>
        <v>Laguna Residence</v>
      </c>
      <c r="J62" t="str">
        <f>XLOOKUP(E62,[1]!Bookings[Booking Name],[1]!Bookings[Building])</f>
        <v>Tower B</v>
      </c>
      <c r="K62" t="str">
        <f>XLOOKUP(E62,[1]!Bookings[Booking Name],[1]!Bookings[Bedrooms])</f>
        <v>Studio</v>
      </c>
      <c r="L62" t="str">
        <f>XLOOKUP(E62,[1]!Bookings[Booking Name],[1]!Bookings[Unit No.])</f>
        <v>B1807</v>
      </c>
      <c r="M62" t="str">
        <f>XLOOKUP(E62,[1]!Bookings[Booking Name],[1]!Bookings[Inventory Unit Status])</f>
        <v>Blocked</v>
      </c>
      <c r="N62" t="str">
        <f>XLOOKUP(E62,[1]!Bookings[Booking Name],[1]!Bookings[Booking Status])</f>
        <v>Rejected</v>
      </c>
      <c r="O62" t="str">
        <f>XLOOKUP(E62,[1]!Bookings[Booking Name],[1]!Bookings[Customer Name])</f>
        <v>Riad El Kaddouri</v>
      </c>
      <c r="P62" t="str">
        <f>XLOOKUP(E62,[1]!Bookings[Booking Name],[1]!Bookings[Nationality])</f>
        <v>Netherlands</v>
      </c>
      <c r="Q62">
        <f>XLOOKUP(E62,[1]!Bookings[Booking Name],[1]!Bookings[Discount Amount])</f>
        <v>47420</v>
      </c>
      <c r="R62">
        <f>XLOOKUP(E62,[1]!Bookings[Booking Name],[1]!Bookings[Discount Percentage])</f>
        <v>0.050770877944325485</v>
      </c>
      <c r="S62">
        <f>XLOOKUP(E62,[1]!Bookings[Booking Name],[1]!Bookings[Final Sale Value After Discount])</f>
        <v>886580</v>
      </c>
      <c r="T62">
        <f>XLOOKUP(E62,[1]!Bookings[Booking Name],[1]!Bookings[Inv Final Sale Value])</f>
        <v>934000</v>
      </c>
      <c r="U62" t="str">
        <f>XLOOKUP(E62,[1]!Bookings[Booking Name],[1]!Bookings[Sales])</f>
        <v>Joudy Shaker</v>
      </c>
      <c r="V62" t="str">
        <f>XLOOKUP(E62,[1]!Bookings[Booking Name],[1]!Bookings[Agency Name])</f>
        <v>GLOBEX REAL ESTATE L L C</v>
      </c>
      <c r="W62" t="str">
        <f>XLOOKUP(E62,[1]!Bookings[Booking Name],[1]!Bookings[Booking ID])</f>
        <v>a03NM00000MY1oE</v>
      </c>
      <c r="X62" t="str">
        <f>XLOOKUP(E62,[1]!Bookings[Booking Name],[1]!Bookings[Oracle Id])</f>
        <v>-</v>
      </c>
      <c r="Y62" t="str">
        <v>Not Available on Finance Tracker</v>
      </c>
      <c r="Z62">
        <v>3000</v>
      </c>
      <c r="AA62">
        <v>0.003383789392948183</v>
      </c>
      <c r="AB62" t="str">
        <v>Yes</v>
      </c>
      <c r="AC62" t="str" xml:space="preserve">
        <v xml:space="preserve">Customer requested to cancel Booking and for the paid amount to be refunded._x000d_
Refund approved by Management</v>
      </c>
      <c r="AD62" t="str">
        <v>https://onedevelopmentuae-my.sharepoint.com/personal/n_araujo_oneuae_com/Documents/Desktop/Norton-Local/Requests/Rejected%20Bookings/Booking-1162%20-%20Booking%20Rejection%20Request.msg</v>
      </c>
      <c r="AE62" t="str">
        <v>Customer requested to cancel</v>
      </c>
      <c r="AF62" t="str">
        <v>Customer is unable to continue with the Purchase - Refund Requested</v>
      </c>
    </row>
    <row r="63">
      <c r="B63" t="str">
        <v>December</v>
      </c>
      <c r="C63">
        <v>45994</v>
      </c>
      <c r="D63">
        <f>XLOOKUP(E63,[1]!Bookings[Booking Name],[1]!Bookings[Rejected Date])</f>
        <v>45995</v>
      </c>
      <c r="E63" t="str">
        <v>Booking-1171</v>
      </c>
      <c r="F63" t="str">
        <f>XLOOKUP(E63,[1]!Bookings[Booking Name],[1]!Bookings[Booking Status])</f>
        <v>Rejected</v>
      </c>
      <c r="G63">
        <f>XLOOKUP(E63,[1]!Bookings[Booking Name],[1]!Bookings[Booking Date])</f>
        <v>45973</v>
      </c>
      <c r="H63">
        <f>XLOOKUP(E63,[1]!Bookings[Booking Name],[1]!Bookings[Booking Aging])</f>
        <v>86</v>
      </c>
      <c r="I63" t="str">
        <f>XLOOKUP(E63,[1]!Bookings[Booking Name],[1]!Bookings[Project Name])</f>
        <v>Do New Cairo</v>
      </c>
      <c r="J63" t="str">
        <f>XLOOKUP(E63,[1]!Bookings[Booking Name],[1]!Bookings[Building])</f>
        <v>Hotel Apartments</v>
      </c>
      <c r="K63" t="str">
        <f>XLOOKUP(E63,[1]!Bookings[Booking Name],[1]!Bookings[Bedrooms])</f>
        <v>Studio</v>
      </c>
      <c r="L63" t="str">
        <f>XLOOKUP(E63,[1]!Bookings[Booking Name],[1]!Bookings[Unit No.])</f>
        <v>DNC-HA-207</v>
      </c>
      <c r="M63" t="str">
        <f>XLOOKUP(E63,[1]!Bookings[Booking Name],[1]!Bookings[Inventory Unit Status])</f>
        <v>Blocked</v>
      </c>
      <c r="N63" t="str">
        <f>XLOOKUP(E63,[1]!Bookings[Booking Name],[1]!Bookings[Booking Status])</f>
        <v>Rejected</v>
      </c>
      <c r="O63" t="str">
        <f>XLOOKUP(E63,[1]!Bookings[Booking Name],[1]!Bookings[Customer Name])</f>
        <v>Ahmed Mohamed said zakria</v>
      </c>
      <c r="P63" t="str">
        <f>XLOOKUP(E63,[1]!Bookings[Booking Name],[1]!Bookings[Nationality])</f>
        <v>Syria</v>
      </c>
      <c r="Q63">
        <f>XLOOKUP(E63,[1]!Bookings[Booking Name],[1]!Bookings[Discount Amount])</f>
        <v>1598750</v>
      </c>
      <c r="R63">
        <f>XLOOKUP(E63,[1]!Bookings[Booking Name],[1]!Bookings[Discount Percentage])</f>
        <v>0.11618822674418605</v>
      </c>
      <c r="S63">
        <f>XLOOKUP(E63,[1]!Bookings[Booking Name],[1]!Bookings[Final Sale Value After Discount])</f>
        <v>12161250</v>
      </c>
      <c r="T63">
        <f>XLOOKUP(E63,[1]!Bookings[Booking Name],[1]!Bookings[Inv Final Sale Value])</f>
        <v>13760000</v>
      </c>
      <c r="U63" t="str">
        <f>XLOOKUP(E63,[1]!Bookings[Booking Name],[1]!Bookings[Sales])</f>
        <v>Omar Magdy</v>
      </c>
      <c r="V63" t="str">
        <f>XLOOKUP(E63,[1]!Bookings[Booking Name],[1]!Bookings[Agency Name])</f>
        <v/>
      </c>
      <c r="W63" t="str">
        <f>XLOOKUP(E63,[1]!Bookings[Booking Name],[1]!Bookings[Booking ID])</f>
        <v>a03NM00000Moq0S</v>
      </c>
      <c r="X63" t="str">
        <f>XLOOKUP(E63,[1]!Bookings[Booking Name],[1]!Bookings[Oracle Id])</f>
        <v>-</v>
      </c>
      <c r="Y63" t="str">
        <v>Not Available on Finance Tracker</v>
      </c>
      <c r="Z63" t="str">
        <v>No Payment</v>
      </c>
      <c r="AA63">
        <v>0</v>
      </c>
      <c r="AB63" t="str">
        <v>N/A</v>
      </c>
      <c r="AC63" t="str">
        <v>Cancellation requested by Egypt Sales Operations Team</v>
      </c>
      <c r="AD63" t="str">
        <v>https://onedevelopmentuae-my.sharepoint.com/personal/n_araujo_oneuae_com/Documents/Desktop/Norton-Local/Requests/Rejected%20Bookings/Booking-1171%20-%20Booking%20Rejection%20Request.msg</v>
      </c>
      <c r="AE63" t="str">
        <v>Cancellation Request raised by Egypt Sales Operations Team</v>
      </c>
      <c r="AF63" t="str">
        <v>Cancellation Request raised by Egypt Sales Operations Team</v>
      </c>
    </row>
    <row r="64">
      <c r="B64" t="str">
        <v>November</v>
      </c>
      <c r="C64">
        <v>45991</v>
      </c>
      <c r="D64">
        <f>XLOOKUP(E64,[1]!Bookings[Booking Name],[1]!Bookings[Rejected Date])</f>
        <v>45995</v>
      </c>
      <c r="E64" t="str">
        <v>Booking-1180</v>
      </c>
      <c r="F64" t="str">
        <f>XLOOKUP(E64,[1]!Bookings[Booking Name],[1]!Bookings[Booking Status])</f>
        <v>Rejected</v>
      </c>
      <c r="G64">
        <f>XLOOKUP(E64,[1]!Bookings[Booking Name],[1]!Bookings[Booking Date])</f>
        <v>45973</v>
      </c>
      <c r="H64">
        <f>XLOOKUP(E64,[1]!Bookings[Booking Name],[1]!Bookings[Booking Aging])</f>
        <v>86</v>
      </c>
      <c r="I64" t="str">
        <f>XLOOKUP(E64,[1]!Bookings[Booking Name],[1]!Bookings[Project Name])</f>
        <v>Do New Cairo</v>
      </c>
      <c r="J64" t="str">
        <f>XLOOKUP(E64,[1]!Bookings[Booking Name],[1]!Bookings[Building])</f>
        <v>Offices</v>
      </c>
      <c r="K64" t="str">
        <f>XLOOKUP(E64,[1]!Bookings[Booking Name],[1]!Bookings[Bedrooms])</f>
        <v>-</v>
      </c>
      <c r="L64" t="str">
        <f>XLOOKUP(E64,[1]!Bookings[Booking Name],[1]!Bookings[Unit No.])</f>
        <v>DNC-O3-111</v>
      </c>
      <c r="M64" t="str">
        <f>XLOOKUP(E64,[1]!Bookings[Booking Name],[1]!Bookings[Inventory Unit Status])</f>
        <v>Blocked</v>
      </c>
      <c r="N64" t="str">
        <f>XLOOKUP(E64,[1]!Bookings[Booking Name],[1]!Bookings[Booking Status])</f>
        <v>Rejected</v>
      </c>
      <c r="O64" t="str">
        <f>XLOOKUP(E64,[1]!Bookings[Booking Name],[1]!Bookings[Customer Name])</f>
        <v>Ali ali nasr nouh</v>
      </c>
      <c r="P64" t="str">
        <f>XLOOKUP(E64,[1]!Bookings[Booking Name],[1]!Bookings[Nationality])</f>
        <v>-</v>
      </c>
      <c r="Q64">
        <f>XLOOKUP(E64,[1]!Bookings[Booking Name],[1]!Bookings[Discount Amount])</f>
        <v>0</v>
      </c>
      <c r="R64">
        <f>XLOOKUP(E64,[1]!Bookings[Booking Name],[1]!Bookings[Discount Percentage])</f>
        <v>0</v>
      </c>
      <c r="S64">
        <f>XLOOKUP(E64,[1]!Bookings[Booking Name],[1]!Bookings[Final Sale Value After Discount])</f>
        <v>20728125</v>
      </c>
      <c r="T64">
        <f>XLOOKUP(E64,[1]!Bookings[Booking Name],[1]!Bookings[Inv Final Sale Value])</f>
        <v>20728125</v>
      </c>
      <c r="U64" t="str">
        <f>XLOOKUP(E64,[1]!Bookings[Booking Name],[1]!Bookings[Sales])</f>
        <v>Rowan Abbady</v>
      </c>
      <c r="V64" t="str">
        <f>XLOOKUP(E64,[1]!Bookings[Booking Name],[1]!Bookings[Agency Name])</f>
        <v/>
      </c>
      <c r="W64" t="str">
        <f>XLOOKUP(E64,[1]!Bookings[Booking Name],[1]!Bookings[Booking ID])</f>
        <v>a03NM00000Mpzj9</v>
      </c>
      <c r="X64" t="str">
        <f>XLOOKUP(E64,[1]!Bookings[Booking Name],[1]!Bookings[Oracle Id])</f>
        <v>-</v>
      </c>
      <c r="Y64" t="str">
        <v>Not Available on Finance Tracker</v>
      </c>
      <c r="Z64" t="str">
        <v>No Payment</v>
      </c>
      <c r="AA64">
        <v>0</v>
      </c>
      <c r="AB64" t="str">
        <v>N/A</v>
      </c>
      <c r="AC64" t="str">
        <v>Cancellation requested by Egypt Sales Operations Team</v>
      </c>
      <c r="AD64" t="str">
        <v>https://onedevelopmentuae-my.sharepoint.com/personal/n_araujo_oneuae_com/Documents/Desktop/Norton-Local/Requests/Rejected%20Bookings/Booking-1180%20-%20Booking%20Rejection%20Request.msg</v>
      </c>
      <c r="AE64" t="str">
        <v>Cancellation Request raised by Egypt Sales Operations Team</v>
      </c>
      <c r="AF64" t="str">
        <v>Cancellation Request raised by Egypt Sales Operations Team</v>
      </c>
    </row>
    <row r="65">
      <c r="B65" t="str">
        <v>November</v>
      </c>
      <c r="C65">
        <v>45991</v>
      </c>
      <c r="D65">
        <f>XLOOKUP(E65,[1]!Bookings[Booking Name],[1]!Bookings[Rejected Date])</f>
        <v>45994</v>
      </c>
      <c r="E65" t="str">
        <v>Booking-1192</v>
      </c>
      <c r="F65" t="str">
        <f>XLOOKUP(E65,[1]!Bookings[Booking Name],[1]!Bookings[Booking Status])</f>
        <v>Rejected</v>
      </c>
      <c r="G65">
        <f>XLOOKUP(E65,[1]!Bookings[Booking Name],[1]!Bookings[Booking Date])</f>
        <v>45973</v>
      </c>
      <c r="H65">
        <f>XLOOKUP(E65,[1]!Bookings[Booking Name],[1]!Bookings[Booking Aging])</f>
        <v>86</v>
      </c>
      <c r="I65" t="str">
        <f>XLOOKUP(E65,[1]!Bookings[Booking Name],[1]!Bookings[Project Name])</f>
        <v>Do New Cairo</v>
      </c>
      <c r="J65" t="str">
        <f>XLOOKUP(E65,[1]!Bookings[Booking Name],[1]!Bookings[Building])</f>
        <v>Hotel Apartments</v>
      </c>
      <c r="K65" t="str">
        <f>XLOOKUP(E65,[1]!Bookings[Booking Name],[1]!Bookings[Bedrooms])</f>
        <v>1 BR</v>
      </c>
      <c r="L65" t="str">
        <f>XLOOKUP(E65,[1]!Bookings[Booking Name],[1]!Bookings[Unit No.])</f>
        <v>DNC-HA-219</v>
      </c>
      <c r="M65" t="str">
        <f>XLOOKUP(E65,[1]!Bookings[Booking Name],[1]!Bookings[Inventory Unit Status])</f>
        <v>Booked</v>
      </c>
      <c r="N65" t="str">
        <f>XLOOKUP(E65,[1]!Bookings[Booking Name],[1]!Bookings[Booking Status])</f>
        <v>Rejected</v>
      </c>
      <c r="O65" t="str">
        <f>XLOOKUP(E65,[1]!Bookings[Booking Name],[1]!Bookings[Customer Name])</f>
        <v>Tawfik Salah Eldin Ahmed Diab</v>
      </c>
      <c r="P65" t="str">
        <f>XLOOKUP(E65,[1]!Bookings[Booking Name],[1]!Bookings[Nationality])</f>
        <v>Egypt</v>
      </c>
      <c r="Q65">
        <f>XLOOKUP(E65,[1]!Bookings[Booking Name],[1]!Bookings[Discount Amount])</f>
        <v>0</v>
      </c>
      <c r="R65">
        <f>XLOOKUP(E65,[1]!Bookings[Booking Name],[1]!Bookings[Discount Percentage])</f>
        <v>0</v>
      </c>
      <c r="S65">
        <f>XLOOKUP(E65,[1]!Bookings[Booking Name],[1]!Bookings[Final Sale Value After Discount])</f>
        <v>22912500</v>
      </c>
      <c r="T65">
        <f>XLOOKUP(E65,[1]!Bookings[Booking Name],[1]!Bookings[Inv Final Sale Value])</f>
        <v>22912500</v>
      </c>
      <c r="U65" t="str">
        <f>XLOOKUP(E65,[1]!Bookings[Booking Name],[1]!Bookings[Sales])</f>
        <v>Hana Soliman</v>
      </c>
      <c r="V65" t="str">
        <f>XLOOKUP(E65,[1]!Bookings[Booking Name],[1]!Bookings[Agency Name])</f>
        <v/>
      </c>
      <c r="W65" t="str">
        <f>XLOOKUP(E65,[1]!Bookings[Booking Name],[1]!Bookings[Booking ID])</f>
        <v>a03NM00000Mqxc2</v>
      </c>
      <c r="X65" t="str">
        <f>XLOOKUP(E65,[1]!Bookings[Booking Name],[1]!Bookings[Oracle Id])</f>
        <v>-</v>
      </c>
      <c r="Y65" t="str">
        <v>Not Available on Finance Tracker</v>
      </c>
      <c r="Z65" t="str">
        <v>No Payment</v>
      </c>
      <c r="AA65">
        <v>0</v>
      </c>
      <c r="AB65" t="str">
        <v>N/A</v>
      </c>
      <c r="AC65" t="str">
        <v>Cancellation requested by Egypt Sales Operations Team</v>
      </c>
      <c r="AD65" t="str">
        <v>https://onedevelopmentuae-my.sharepoint.com/personal/n_araujo_oneuae_com/Documents/Desktop/Norton-Local/Requests/Rejected%20Bookings/Booking-1192%20-%20Booking%20Rejection%20Request.msg</v>
      </c>
      <c r="AE65" t="str">
        <v>Cancellation Request raised by Egypt Sales Operations Team</v>
      </c>
      <c r="AF65" t="str">
        <v>Cancellation Request raised by Egypt Sales Operations Team</v>
      </c>
    </row>
    <row r="66">
      <c r="B66" t="str">
        <v>November</v>
      </c>
      <c r="C66">
        <v>45991</v>
      </c>
      <c r="D66">
        <f>XLOOKUP(E66,[1]!Bookings[Booking Name],[1]!Bookings[Rejected Date])</f>
        <v>45994</v>
      </c>
      <c r="E66" t="str">
        <v>Booking-1181</v>
      </c>
      <c r="F66" t="str">
        <f>XLOOKUP(E66,[1]!Bookings[Booking Name],[1]!Bookings[Booking Status])</f>
        <v>Rejected</v>
      </c>
      <c r="G66">
        <f>XLOOKUP(E66,[1]!Bookings[Booking Name],[1]!Bookings[Booking Date])</f>
        <v>45973</v>
      </c>
      <c r="H66">
        <f>XLOOKUP(E66,[1]!Bookings[Booking Name],[1]!Bookings[Booking Aging])</f>
        <v>86</v>
      </c>
      <c r="I66" t="str">
        <f>XLOOKUP(E66,[1]!Bookings[Booking Name],[1]!Bookings[Project Name])</f>
        <v>Do New Cairo</v>
      </c>
      <c r="J66" t="str">
        <f>XLOOKUP(E66,[1]!Bookings[Booking Name],[1]!Bookings[Building])</f>
        <v>Hotel Apartments</v>
      </c>
      <c r="K66" t="str">
        <f>XLOOKUP(E66,[1]!Bookings[Booking Name],[1]!Bookings[Bedrooms])</f>
        <v>1 BR</v>
      </c>
      <c r="L66" t="str">
        <f>XLOOKUP(E66,[1]!Bookings[Booking Name],[1]!Bookings[Unit No.])</f>
        <v>DNC-HA-420</v>
      </c>
      <c r="M66" t="str">
        <f>XLOOKUP(E66,[1]!Bookings[Booking Name],[1]!Bookings[Inventory Unit Status])</f>
        <v>Blocked</v>
      </c>
      <c r="N66" t="str">
        <f>XLOOKUP(E66,[1]!Bookings[Booking Name],[1]!Bookings[Booking Status])</f>
        <v>Rejected</v>
      </c>
      <c r="O66" t="str">
        <f>XLOOKUP(E66,[1]!Bookings[Booking Name],[1]!Bookings[Customer Name])</f>
        <v>Ali ali nasr nouh</v>
      </c>
      <c r="P66" t="str">
        <f>XLOOKUP(E66,[1]!Bookings[Booking Name],[1]!Bookings[Nationality])</f>
        <v>-</v>
      </c>
      <c r="Q66">
        <f>XLOOKUP(E66,[1]!Bookings[Booking Name],[1]!Bookings[Discount Amount])</f>
        <v>0</v>
      </c>
      <c r="R66">
        <f>XLOOKUP(E66,[1]!Bookings[Booking Name],[1]!Bookings[Discount Percentage])</f>
        <v>0</v>
      </c>
      <c r="S66">
        <f>XLOOKUP(E66,[1]!Bookings[Booking Name],[1]!Bookings[Final Sale Value After Discount])</f>
        <v>23887500</v>
      </c>
      <c r="T66">
        <f>XLOOKUP(E66,[1]!Bookings[Booking Name],[1]!Bookings[Inv Final Sale Value])</f>
        <v>23887500</v>
      </c>
      <c r="U66" t="str">
        <f>XLOOKUP(E66,[1]!Bookings[Booking Name],[1]!Bookings[Sales])</f>
        <v>Rowan Abbady</v>
      </c>
      <c r="V66" t="str">
        <f>XLOOKUP(E66,[1]!Bookings[Booking Name],[1]!Bookings[Agency Name])</f>
        <v/>
      </c>
      <c r="W66" t="str">
        <f>XLOOKUP(E66,[1]!Bookings[Booking Name],[1]!Bookings[Booking ID])</f>
        <v>a03NM00000MpXlJ</v>
      </c>
      <c r="X66" t="str">
        <f>XLOOKUP(E66,[1]!Bookings[Booking Name],[1]!Bookings[Oracle Id])</f>
        <v>-</v>
      </c>
      <c r="Y66" t="str">
        <v>Not Available on Finance Tracker</v>
      </c>
      <c r="Z66" t="str">
        <v>No Payment</v>
      </c>
      <c r="AA66">
        <v>0</v>
      </c>
      <c r="AB66" t="str">
        <v>N/A</v>
      </c>
      <c r="AC66" t="str">
        <v>Cancellation requested by Egypt Sales Operations Team</v>
      </c>
      <c r="AD66" t="str">
        <v>https://onedevelopmentuae-my.sharepoint.com/personal/n_araujo_oneuae_com/Documents/Desktop/Norton-Local/Requests/Rejected%20Bookings/Booking-1181%20-%20Booking%20Rejection%20Request.msg</v>
      </c>
      <c r="AE66" t="str">
        <v>Cancellation Request raised by Egypt Sales Operations Team</v>
      </c>
      <c r="AF66" t="str">
        <v>Cancellation Request raised by Egypt Sales Operations Team</v>
      </c>
    </row>
    <row r="67">
      <c r="B67" t="str">
        <v>November</v>
      </c>
      <c r="C67">
        <v>45989</v>
      </c>
      <c r="D67">
        <f>XLOOKUP(E67,[1]!Bookings[Booking Name],[1]!Bookings[Rejected Date])</f>
        <v>45995</v>
      </c>
      <c r="E67" t="str">
        <v>Booking-973</v>
      </c>
      <c r="F67" t="str">
        <f>XLOOKUP(E67,[1]!Bookings[Booking Name],[1]!Bookings[Booking Status])</f>
        <v>Rejected</v>
      </c>
      <c r="G67">
        <f>XLOOKUP(E67,[1]!Bookings[Booking Name],[1]!Bookings[Booking Date])</f>
        <v>45904</v>
      </c>
      <c r="H67">
        <f>XLOOKUP(E67,[1]!Bookings[Booking Name],[1]!Bookings[Booking Aging])</f>
        <v>155</v>
      </c>
      <c r="I67" t="str">
        <f>XLOOKUP(E67,[1]!Bookings[Booking Name],[1]!Bookings[Project Name])</f>
        <v>Laguna Residence</v>
      </c>
      <c r="J67" t="str">
        <f>XLOOKUP(E67,[1]!Bookings[Booking Name],[1]!Bookings[Building])</f>
        <v>Tower B</v>
      </c>
      <c r="K67" t="str">
        <f>XLOOKUP(E67,[1]!Bookings[Booking Name],[1]!Bookings[Bedrooms])</f>
        <v>Studio</v>
      </c>
      <c r="L67" t="str">
        <f>XLOOKUP(E67,[1]!Bookings[Booking Name],[1]!Bookings[Unit No.])</f>
        <v>B3012</v>
      </c>
      <c r="M67" t="str">
        <f>XLOOKUP(E67,[1]!Bookings[Booking Name],[1]!Bookings[Inventory Unit Status])</f>
        <v>Available</v>
      </c>
      <c r="N67" t="str">
        <f>XLOOKUP(E67,[1]!Bookings[Booking Name],[1]!Bookings[Booking Status])</f>
        <v>Rejected</v>
      </c>
      <c r="O67" t="str">
        <f>XLOOKUP(E67,[1]!Bookings[Booking Name],[1]!Bookings[Customer Name])</f>
        <v>Mohammed Fardin Khan</v>
      </c>
      <c r="P67" t="str">
        <f>XLOOKUP(E67,[1]!Bookings[Booking Name],[1]!Bookings[Nationality])</f>
        <v>United States of America</v>
      </c>
      <c r="Q67">
        <f>XLOOKUP(E67,[1]!Bookings[Booking Name],[1]!Bookings[Discount Amount])</f>
        <v>44450</v>
      </c>
      <c r="R67">
        <f>XLOOKUP(E67,[1]!Bookings[Booking Name],[1]!Bookings[Discount Percentage])</f>
        <v>0.05</v>
      </c>
      <c r="S67">
        <f>XLOOKUP(E67,[1]!Bookings[Booking Name],[1]!Bookings[Final Sale Value After Discount])</f>
        <v>844550</v>
      </c>
      <c r="T67">
        <f>XLOOKUP(E67,[1]!Bookings[Booking Name],[1]!Bookings[Inv Final Sale Value])</f>
        <v>889000</v>
      </c>
      <c r="U67" t="str">
        <f>XLOOKUP(E67,[1]!Bookings[Booking Name],[1]!Bookings[Sales])</f>
        <v>Ramy Abdelsalam</v>
      </c>
      <c r="V67" t="str">
        <f>XLOOKUP(E67,[1]!Bookings[Booking Name],[1]!Bookings[Agency Name])</f>
        <v>Sevenx Properties LLC</v>
      </c>
      <c r="W67" t="str">
        <f>XLOOKUP(E67,[1]!Bookings[Booking Name],[1]!Bookings[Booking ID])</f>
        <v>a03J600000Bs7e5</v>
      </c>
      <c r="X67" t="str">
        <f>XLOOKUP(E67,[1]!Bookings[Booking Name],[1]!Bookings[Oracle Id])</f>
        <v>-</v>
      </c>
      <c r="Y67" t="str">
        <v>Not Available on Finance Tracker</v>
      </c>
      <c r="Z67">
        <v>60000</v>
      </c>
      <c r="AA67">
        <v>0.07104375111005862</v>
      </c>
      <c r="AB67" t="str">
        <v>N/A</v>
      </c>
      <c r="AC67" t="str">
        <v>Cancelled due to Non Payment</v>
      </c>
      <c r="AD67" t="str">
        <v>https://onedevelopmentuae-my.sharepoint.com/personal/n_araujo_oneuae_com/Documents/Desktop/Norton-Local/Requests/Rejected%20Bookings/Booking%20973%20-%20Booking%20Rejection%20Request.msg</v>
      </c>
      <c r="AE67" t="str">
        <v>Cancelled due to Non Payment</v>
      </c>
      <c r="AF67" t="str">
        <v>Cancellation Request raised by Sales Operations Team</v>
      </c>
    </row>
    <row r="68">
      <c r="B68" t="str">
        <v>November</v>
      </c>
      <c r="C68">
        <v>45989</v>
      </c>
      <c r="D68">
        <f>XLOOKUP(E68,[1]!Bookings[Booking Name],[1]!Bookings[Rejected Date])</f>
        <v>45995</v>
      </c>
      <c r="E68" t="str">
        <v>Booking-1011</v>
      </c>
      <c r="F68" t="str">
        <f>XLOOKUP(E68,[1]!Bookings[Booking Name],[1]!Bookings[Booking Status])</f>
        <v>Rejected</v>
      </c>
      <c r="G68">
        <f>XLOOKUP(E68,[1]!Bookings[Booking Name],[1]!Bookings[Booking Date])</f>
        <v>45924</v>
      </c>
      <c r="H68">
        <f>XLOOKUP(E68,[1]!Bookings[Booking Name],[1]!Bookings[Booking Aging])</f>
        <v>135</v>
      </c>
      <c r="I68" t="str">
        <f>XLOOKUP(E68,[1]!Bookings[Booking Name],[1]!Bookings[Project Name])</f>
        <v>Laguna Residence</v>
      </c>
      <c r="J68" t="str">
        <f>XLOOKUP(E68,[1]!Bookings[Booking Name],[1]!Bookings[Building])</f>
        <v>Tower A</v>
      </c>
      <c r="K68" t="str">
        <f>XLOOKUP(E68,[1]!Bookings[Booking Name],[1]!Bookings[Bedrooms])</f>
        <v>2 Bedroom</v>
      </c>
      <c r="L68" t="str">
        <f>XLOOKUP(E68,[1]!Bookings[Booking Name],[1]!Bookings[Unit No.])</f>
        <v>A2305</v>
      </c>
      <c r="M68" t="str">
        <f>XLOOKUP(E68,[1]!Bookings[Booking Name],[1]!Bookings[Inventory Unit Status])</f>
        <v>SPA Executed</v>
      </c>
      <c r="N68" t="str">
        <f>XLOOKUP(E68,[1]!Bookings[Booking Name],[1]!Bookings[Booking Status])</f>
        <v>Rejected</v>
      </c>
      <c r="O68" t="str">
        <f>XLOOKUP(E68,[1]!Bookings[Booking Name],[1]!Bookings[Customer Name])</f>
        <v>Amr Mahdy Sallam Mahmoud</v>
      </c>
      <c r="P68" t="str">
        <f>XLOOKUP(E68,[1]!Bookings[Booking Name],[1]!Bookings[Nationality])</f>
        <v>Egypt</v>
      </c>
      <c r="Q68">
        <f>XLOOKUP(E68,[1]!Bookings[Booking Name],[1]!Bookings[Discount Amount])</f>
        <v>114700</v>
      </c>
      <c r="R68">
        <f>XLOOKUP(E68,[1]!Bookings[Booking Name],[1]!Bookings[Discount Percentage])</f>
        <v>0.05</v>
      </c>
      <c r="S68">
        <f>XLOOKUP(E68,[1]!Bookings[Booking Name],[1]!Bookings[Final Sale Value After Discount])</f>
        <v>2179300</v>
      </c>
      <c r="T68">
        <f>XLOOKUP(E68,[1]!Bookings[Booking Name],[1]!Bookings[Inv Final Sale Value])</f>
        <v>2294000</v>
      </c>
      <c r="U68" t="str">
        <f>XLOOKUP(E68,[1]!Bookings[Booking Name],[1]!Bookings[Sales])</f>
        <v>Feriel Dridi</v>
      </c>
      <c r="V68" t="str">
        <f>XLOOKUP(E68,[1]!Bookings[Booking Name],[1]!Bookings[Agency Name])</f>
        <v>Eleva Properties LLC</v>
      </c>
      <c r="W68" t="str">
        <f>XLOOKUP(E68,[1]!Bookings[Booking Name],[1]!Bookings[Booking ID])</f>
        <v>a03J600000BtKzJ</v>
      </c>
      <c r="X68" t="str">
        <f>XLOOKUP(E68,[1]!Bookings[Booking Name],[1]!Bookings[Oracle Id])</f>
        <v>-</v>
      </c>
      <c r="Y68" t="str">
        <v>Not Available on Finance Tracker</v>
      </c>
      <c r="Z68">
        <v>20000</v>
      </c>
      <c r="AA68">
        <v>0.009177258752810535</v>
      </c>
      <c r="AB68" t="str">
        <v>N/A</v>
      </c>
      <c r="AC68" t="str">
        <v>Cancelled due to Non Payment</v>
      </c>
      <c r="AD68" t="str">
        <v>https://onedevelopmentuae-my.sharepoint.com/personal/n_araujo_oneuae_com/Documents/Desktop/Norton-Local/Requests/Rejected%20Bookings/Booking-1011%20-%20Booking%20Rejection%20Request.msg</v>
      </c>
      <c r="AE68" t="str">
        <v>Cancelled due to Non Payment</v>
      </c>
      <c r="AF68" t="str">
        <v>Cancellation Request raised by Sales Operations Team</v>
      </c>
    </row>
    <row r="69">
      <c r="B69" t="str">
        <v>November</v>
      </c>
      <c r="C69">
        <v>45987</v>
      </c>
      <c r="D69">
        <f>XLOOKUP(E69,[1]!Bookings[Booking Name],[1]!Bookings[Rejected Date])</f>
        <v>46001</v>
      </c>
      <c r="E69" t="str">
        <v>Booking-949</v>
      </c>
      <c r="F69" t="str">
        <f>XLOOKUP(E69,[1]!Bookings[Booking Name],[1]!Bookings[Booking Status])</f>
        <v>Rejected</v>
      </c>
      <c r="G69">
        <f>XLOOKUP(E69,[1]!Bookings[Booking Name],[1]!Bookings[Booking Date])</f>
        <v>45896</v>
      </c>
      <c r="H69">
        <f>XLOOKUP(E69,[1]!Bookings[Booking Name],[1]!Bookings[Booking Aging])</f>
        <v>163</v>
      </c>
      <c r="I69" t="str">
        <f>XLOOKUP(E69,[1]!Bookings[Booking Name],[1]!Bookings[Project Name])</f>
        <v>Laguna Residence</v>
      </c>
      <c r="J69" t="str">
        <f>XLOOKUP(E69,[1]!Bookings[Booking Name],[1]!Bookings[Building])</f>
        <v>Tower A</v>
      </c>
      <c r="K69" t="str">
        <f>XLOOKUP(E69,[1]!Bookings[Booking Name],[1]!Bookings[Bedrooms])</f>
        <v>Studio</v>
      </c>
      <c r="L69" t="str">
        <f>XLOOKUP(E69,[1]!Bookings[Booking Name],[1]!Bookings[Unit No.])</f>
        <v>A2713</v>
      </c>
      <c r="M69" t="str">
        <f>XLOOKUP(E69,[1]!Bookings[Booking Name],[1]!Bookings[Inventory Unit Status])</f>
        <v>Booked</v>
      </c>
      <c r="N69" t="str">
        <f>XLOOKUP(E69,[1]!Bookings[Booking Name],[1]!Bookings[Booking Status])</f>
        <v>Rejected</v>
      </c>
      <c r="O69" t="str">
        <f>XLOOKUP(E69,[1]!Bookings[Booking Name],[1]!Bookings[Customer Name])</f>
        <v>Meera Ali Salmeen Ali Almazrouei</v>
      </c>
      <c r="P69" t="str">
        <f>XLOOKUP(E69,[1]!Bookings[Booking Name],[1]!Bookings[Nationality])</f>
        <v>United Arab Emirates</v>
      </c>
      <c r="Q69">
        <f>XLOOKUP(E69,[1]!Bookings[Booking Name],[1]!Bookings[Discount Amount])</f>
        <v>0</v>
      </c>
      <c r="R69">
        <f>XLOOKUP(E69,[1]!Bookings[Booking Name],[1]!Bookings[Discount Percentage])</f>
        <v>0</v>
      </c>
      <c r="S69">
        <f>XLOOKUP(E69,[1]!Bookings[Booking Name],[1]!Bookings[Final Sale Value After Discount])</f>
        <v>801000</v>
      </c>
      <c r="T69">
        <f>XLOOKUP(E69,[1]!Bookings[Booking Name],[1]!Bookings[Inv Final Sale Value])</f>
        <v>801000</v>
      </c>
      <c r="U69" t="str">
        <f>XLOOKUP(E69,[1]!Bookings[Booking Name],[1]!Bookings[Sales])</f>
        <v>Mohamed El Shimy</v>
      </c>
      <c r="V69" t="str">
        <f>XLOOKUP(E69,[1]!Bookings[Booking Name],[1]!Bookings[Agency Name])</f>
        <v>Eleva Properties LLC</v>
      </c>
      <c r="W69" t="str">
        <f>XLOOKUP(E69,[1]!Bookings[Booking Name],[1]!Bookings[Booking ID])</f>
        <v>a03J600000BrdNh</v>
      </c>
      <c r="X69" t="str">
        <f>XLOOKUP(E69,[1]!Bookings[Booking Name],[1]!Bookings[Oracle Id])</f>
        <v>-</v>
      </c>
      <c r="Y69" t="str">
        <v>Not Available on Finance Tracker</v>
      </c>
      <c r="Z69">
        <v>10000</v>
      </c>
      <c r="AA69">
        <v>0.012484394506866416</v>
      </c>
      <c r="AB69" t="str">
        <v>No</v>
      </c>
      <c r="AC69" t="str">
        <v>Cancelled due to Non Payment</v>
      </c>
      <c r="AD69" t="str">
        <v>https://onedevelopmentuae-my.sharepoint.com/personal/n_araujo_oneuae_com/Documents/Desktop/Norton-Local/Requests/Rejected%20Bookings/Booking-949%20-%20Booking%20Rejection%20Request.msg</v>
      </c>
      <c r="AE69" t="str">
        <v>Cancelled due to Non Payment</v>
      </c>
      <c r="AF69" t="str">
        <v>Cancellation Request raised by Collections Team</v>
      </c>
    </row>
    <row r="70">
      <c r="B70" t="str">
        <v>November</v>
      </c>
      <c r="C70">
        <v>45986</v>
      </c>
      <c r="D70">
        <f>XLOOKUP(E70,[1]!Bookings[Booking Name],[1]!Bookings[Rejected Date])</f>
        <v>45987</v>
      </c>
      <c r="E70" t="str">
        <v>Booking-1165</v>
      </c>
      <c r="F70" t="str">
        <f>XLOOKUP(E70,[1]!Bookings[Booking Name],[1]!Bookings[Booking Status])</f>
        <v>Rejected</v>
      </c>
      <c r="G70">
        <f>XLOOKUP(E70,[1]!Bookings[Booking Name],[1]!Bookings[Booking Date])</f>
        <v>45972</v>
      </c>
      <c r="H70">
        <f>XLOOKUP(E70,[1]!Bookings[Booking Name],[1]!Bookings[Booking Aging])</f>
        <v>87</v>
      </c>
      <c r="I70" t="str">
        <f>XLOOKUP(E70,[1]!Bookings[Booking Name],[1]!Bookings[Project Name])</f>
        <v>Do Dubai Island</v>
      </c>
      <c r="J70" t="str">
        <f>XLOOKUP(E70,[1]!Bookings[Booking Name],[1]!Bookings[Building])</f>
        <v>Tower 1</v>
      </c>
      <c r="K70" t="str">
        <f>XLOOKUP(E70,[1]!Bookings[Booking Name],[1]!Bookings[Bedrooms])</f>
        <v>1 Bedroom</v>
      </c>
      <c r="L70" t="str">
        <f>XLOOKUP(E70,[1]!Bookings[Booking Name],[1]!Bookings[Unit No.])</f>
        <v>609</v>
      </c>
      <c r="M70" t="str">
        <f>XLOOKUP(E70,[1]!Bookings[Booking Name],[1]!Bookings[Inventory Unit Status])</f>
        <v>Available</v>
      </c>
      <c r="N70" t="str">
        <f>XLOOKUP(E70,[1]!Bookings[Booking Name],[1]!Bookings[Booking Status])</f>
        <v>Rejected</v>
      </c>
      <c r="O70" t="str">
        <f>XLOOKUP(E70,[1]!Bookings[Booking Name],[1]!Bookings[Customer Name])</f>
        <v>Samir Bahida</v>
      </c>
      <c r="P70" t="str">
        <f>XLOOKUP(E70,[1]!Bookings[Booking Name],[1]!Bookings[Nationality])</f>
        <v>Morocco</v>
      </c>
      <c r="Q70">
        <f>XLOOKUP(E70,[1]!Bookings[Booking Name],[1]!Bookings[Discount Amount])</f>
        <v>166280</v>
      </c>
      <c r="R70">
        <f>XLOOKUP(E70,[1]!Bookings[Booking Name],[1]!Bookings[Discount Percentage])</f>
        <v>0.06696737817156666</v>
      </c>
      <c r="S70">
        <f>XLOOKUP(E70,[1]!Bookings[Booking Name],[1]!Bookings[Final Sale Value After Discount])</f>
        <v>2316720</v>
      </c>
      <c r="T70">
        <f>XLOOKUP(E70,[1]!Bookings[Booking Name],[1]!Bookings[Inv Final Sale Value])</f>
        <v>2483000</v>
      </c>
      <c r="U70" t="str">
        <f>XLOOKUP(E70,[1]!Bookings[Booking Name],[1]!Bookings[Sales])</f>
        <v>Rihab Zayani</v>
      </c>
      <c r="V70" t="str">
        <f>XLOOKUP(E70,[1]!Bookings[Booking Name],[1]!Bookings[Agency Name])</f>
        <v>Marrfa Discovery Real Estate L.L.C</v>
      </c>
      <c r="W70" t="str">
        <f>XLOOKUP(E70,[1]!Bookings[Booking Name],[1]!Bookings[Booking ID])</f>
        <v>a03NM00000Mjg07</v>
      </c>
      <c r="X70" t="str">
        <f>XLOOKUP(E70,[1]!Bookings[Booking Name],[1]!Bookings[Oracle Id])</f>
        <v>-</v>
      </c>
      <c r="Y70" t="str">
        <v>Not Available on Finance Tracker</v>
      </c>
      <c r="Z70" t="str">
        <v>No Payment</v>
      </c>
      <c r="AA70">
        <v>0</v>
      </c>
      <c r="AB70" t="str">
        <v>N/A</v>
      </c>
      <c r="AC70" t="str">
        <v>Cancelled due to Non Payment</v>
      </c>
      <c r="AD70" t="str">
        <v>https://onedevelopmentuae-my.sharepoint.com/personal/n_araujo_oneuae_com/Documents/Desktop/Norton-Local/Requests/Rejected%20Bookings/Booking-1165%20-%20Booking%20Rejection%20Request.msg</v>
      </c>
      <c r="AE70" t="str">
        <v>Cancelled due to Non Payment</v>
      </c>
      <c r="AF70" t="str">
        <v>Cancellation Request raised by Collections Team</v>
      </c>
    </row>
    <row r="71">
      <c r="B71" t="str">
        <v>November</v>
      </c>
      <c r="C71">
        <v>45986</v>
      </c>
      <c r="D71">
        <f>XLOOKUP(E71,[1]!Bookings[Booking Name],[1]!Bookings[Rejected Date])</f>
        <v>45987</v>
      </c>
      <c r="E71" t="str">
        <v>Booking-1212</v>
      </c>
      <c r="F71" t="str">
        <f>XLOOKUP(E71,[1]!Bookings[Booking Name],[1]!Bookings[Booking Status])</f>
        <v>Rejected</v>
      </c>
      <c r="G71">
        <f>XLOOKUP(E71,[1]!Bookings[Booking Name],[1]!Bookings[Booking Date])</f>
        <v>45976</v>
      </c>
      <c r="H71">
        <f>XLOOKUP(E71,[1]!Bookings[Booking Name],[1]!Bookings[Booking Aging])</f>
        <v>83</v>
      </c>
      <c r="I71" t="str">
        <f>XLOOKUP(E71,[1]!Bookings[Booking Name],[1]!Bookings[Project Name])</f>
        <v>Do Dubai Island</v>
      </c>
      <c r="J71" t="str">
        <f>XLOOKUP(E71,[1]!Bookings[Booking Name],[1]!Bookings[Building])</f>
        <v>Tower 1</v>
      </c>
      <c r="K71" t="str">
        <f>XLOOKUP(E71,[1]!Bookings[Booking Name],[1]!Bookings[Bedrooms])</f>
        <v>1 Bedroom</v>
      </c>
      <c r="L71" t="str">
        <f>XLOOKUP(E71,[1]!Bookings[Booking Name],[1]!Bookings[Unit No.])</f>
        <v>409</v>
      </c>
      <c r="M71" t="str">
        <f>XLOOKUP(E71,[1]!Bookings[Booking Name],[1]!Bookings[Inventory Unit Status])</f>
        <v>Blocked</v>
      </c>
      <c r="N71" t="str">
        <f>XLOOKUP(E71,[1]!Bookings[Booking Name],[1]!Bookings[Booking Status])</f>
        <v>Rejected</v>
      </c>
      <c r="O71" t="str">
        <f>XLOOKUP(E71,[1]!Bookings[Booking Name],[1]!Bookings[Customer Name])</f>
        <v>Ali Lafhel</v>
      </c>
      <c r="P71" t="str">
        <f>XLOOKUP(E71,[1]!Bookings[Booking Name],[1]!Bookings[Nationality])</f>
        <v>Morocco</v>
      </c>
      <c r="Q71">
        <f>XLOOKUP(E71,[1]!Bookings[Booking Name],[1]!Bookings[Discount Amount])</f>
        <v>46580</v>
      </c>
      <c r="R71">
        <f>XLOOKUP(E71,[1]!Bookings[Booking Name],[1]!Bookings[Discount Percentage])</f>
        <v>0.02</v>
      </c>
      <c r="S71">
        <f>XLOOKUP(E71,[1]!Bookings[Booking Name],[1]!Bookings[Final Sale Value After Discount])</f>
        <v>2282420</v>
      </c>
      <c r="T71">
        <f>XLOOKUP(E71,[1]!Bookings[Booking Name],[1]!Bookings[Inv Final Sale Value])</f>
        <v>2329000</v>
      </c>
      <c r="U71" t="str">
        <f>XLOOKUP(E71,[1]!Bookings[Booking Name],[1]!Bookings[Sales])</f>
        <v>Rihab Zayani</v>
      </c>
      <c r="V71" t="str">
        <f>XLOOKUP(E71,[1]!Bookings[Booking Name],[1]!Bookings[Agency Name])</f>
        <v>Marrfa Discovery Real Estate L.L.C</v>
      </c>
      <c r="W71" t="str">
        <f>XLOOKUP(E71,[1]!Bookings[Booking Name],[1]!Bookings[Booking ID])</f>
        <v>a03NM00000N5lih</v>
      </c>
      <c r="X71" t="str">
        <f>XLOOKUP(E71,[1]!Bookings[Booking Name],[1]!Bookings[Oracle Id])</f>
        <v>-</v>
      </c>
      <c r="Y71" t="str">
        <v>Not Available on Finance Tracker</v>
      </c>
      <c r="Z71" t="str">
        <v>No Payment</v>
      </c>
      <c r="AA71">
        <v>0</v>
      </c>
      <c r="AB71" t="str">
        <v>N/A</v>
      </c>
      <c r="AC71" t="str">
        <v>Cancelled due to Non Payment</v>
      </c>
      <c r="AD71" t="str">
        <v>https://onedevelopmentuae-my.sharepoint.com/personal/n_araujo_oneuae_com/Documents/Desktop/Norton-Local/Requests/Rejected%20Bookings/Booking-1212%20-%20Booking%20Rejection%20Request.msg</v>
      </c>
      <c r="AE71" t="str">
        <v>Cancelled due to Non Payment</v>
      </c>
      <c r="AF71" t="str">
        <v>Cancellation Request raised by Collections Team</v>
      </c>
    </row>
    <row r="72">
      <c r="B72" t="str">
        <v>November</v>
      </c>
      <c r="C72">
        <v>45985</v>
      </c>
      <c r="D72">
        <f>XLOOKUP(E72,[1]!Bookings[Booking Name],[1]!Bookings[Rejected Date])</f>
        <v>45996</v>
      </c>
      <c r="E72" t="str">
        <v>Booking-443</v>
      </c>
      <c r="F72" t="str">
        <f>XLOOKUP(E72,[1]!Bookings[Booking Name],[1]!Bookings[Booking Status])</f>
        <v>Rejected</v>
      </c>
      <c r="G72">
        <f>XLOOKUP(E72,[1]!Bookings[Booking Name],[1]!Bookings[Booking Date])</f>
        <v>45693</v>
      </c>
      <c r="H72">
        <f>XLOOKUP(E72,[1]!Bookings[Booking Name],[1]!Bookings[Booking Aging])</f>
        <v>366</v>
      </c>
      <c r="I72" t="str">
        <f>XLOOKUP(E72,[1]!Bookings[Booking Name],[1]!Bookings[Project Name])</f>
        <v>Laguna Residence</v>
      </c>
      <c r="J72" t="str">
        <f>XLOOKUP(E72,[1]!Bookings[Booking Name],[1]!Bookings[Building])</f>
        <v>Tower A</v>
      </c>
      <c r="K72" t="str">
        <f>XLOOKUP(E72,[1]!Bookings[Booking Name],[1]!Bookings[Bedrooms])</f>
        <v>Studio</v>
      </c>
      <c r="L72" t="str">
        <f>XLOOKUP(E72,[1]!Bookings[Booking Name],[1]!Bookings[Unit No.])</f>
        <v>A1914</v>
      </c>
      <c r="M72" t="str">
        <f>XLOOKUP(E72,[1]!Bookings[Booking Name],[1]!Bookings[Inventory Unit Status])</f>
        <v>Booked</v>
      </c>
      <c r="N72" t="str">
        <f>XLOOKUP(E72,[1]!Bookings[Booking Name],[1]!Bookings[Booking Status])</f>
        <v>Rejected</v>
      </c>
      <c r="O72" t="str">
        <f>XLOOKUP(E72,[1]!Bookings[Booking Name],[1]!Bookings[Customer Name])</f>
        <v>Nageswara Rao Gupta Manepalli</v>
      </c>
      <c r="P72" t="str">
        <f>XLOOKUP(E72,[1]!Bookings[Booking Name],[1]!Bookings[Nationality])</f>
        <v>India</v>
      </c>
      <c r="Q72">
        <f>XLOOKUP(E72,[1]!Bookings[Booking Name],[1]!Bookings[Discount Amount])</f>
        <v>98930</v>
      </c>
      <c r="R72">
        <f>XLOOKUP(E72,[1]!Bookings[Booking Name],[1]!Bookings[Discount Percentage])</f>
        <v>0.12602547770700637</v>
      </c>
      <c r="S72">
        <f>XLOOKUP(E72,[1]!Bookings[Booking Name],[1]!Bookings[Final Sale Value After Discount])</f>
        <v>686070</v>
      </c>
      <c r="T72">
        <f>XLOOKUP(E72,[1]!Bookings[Booking Name],[1]!Bookings[Inv Final Sale Value])</f>
        <v>785000</v>
      </c>
      <c r="U72" t="str">
        <f>XLOOKUP(E72,[1]!Bookings[Booking Name],[1]!Bookings[Sales])</f>
        <v>Khamid Marzaganov</v>
      </c>
      <c r="V72" t="str">
        <f>XLOOKUP(E72,[1]!Bookings[Booking Name],[1]!Bookings[Agency Name])</f>
        <v>CHALET INTERNATIONAL REAL ESTATE L.L.C</v>
      </c>
      <c r="W72" t="str">
        <f>XLOOKUP(E72,[1]!Bookings[Booking Name],[1]!Bookings[Booking ID])</f>
        <v>a03J60000060Aow</v>
      </c>
      <c r="X72" t="str">
        <f>XLOOKUP(E72,[1]!Bookings[Booking Name],[1]!Bookings[Oracle Id])</f>
        <v>19102</v>
      </c>
      <c r="Y72" t="str">
        <v>Not Available on Finance Tracker</v>
      </c>
      <c r="Z72">
        <v>202634.84999999998</v>
      </c>
      <c r="AA72">
        <v>0.2953559403559403</v>
      </c>
      <c r="AB72" t="str">
        <v>N/A</v>
      </c>
      <c r="AC72" t="str">
        <v>Customer requested to Change Ownership</v>
      </c>
      <c r="AD72" t="str">
        <v>https://onedevelopmentuae-my.sharepoint.com/personal/n_araujo_oneuae_com/Documents/Desktop/Norton-Local/Requests/Rejected%20Bookings/Booking-443%20-%20Booking%20Rejection%20Request.msg</v>
      </c>
      <c r="AE72" t="str">
        <v>Customer requested for Change of Ownership</v>
      </c>
      <c r="AF72" t="str">
        <v>From Nageswara Rao to Srinivasa Ganta</v>
      </c>
    </row>
    <row r="73">
      <c r="B73" t="str">
        <v>November</v>
      </c>
      <c r="C73">
        <v>45985</v>
      </c>
      <c r="D73">
        <f>XLOOKUP(E73,[1]!Bookings[Booking Name],[1]!Bookings[Rejected Date])</f>
        <v>45987</v>
      </c>
      <c r="E73" t="str">
        <v>Booking-1153</v>
      </c>
      <c r="F73" t="str">
        <f>XLOOKUP(E73,[1]!Bookings[Booking Name],[1]!Bookings[Booking Status])</f>
        <v>Rejected</v>
      </c>
      <c r="G73">
        <f>XLOOKUP(E73,[1]!Bookings[Booking Name],[1]!Bookings[Booking Date])</f>
        <v>45968</v>
      </c>
      <c r="H73">
        <f>XLOOKUP(E73,[1]!Bookings[Booking Name],[1]!Bookings[Booking Aging])</f>
        <v>91</v>
      </c>
      <c r="I73" t="str">
        <f>XLOOKUP(E73,[1]!Bookings[Booking Name],[1]!Bookings[Project Name])</f>
        <v>Do Dubai Island</v>
      </c>
      <c r="J73" t="str">
        <f>XLOOKUP(E73,[1]!Bookings[Booking Name],[1]!Bookings[Building])</f>
        <v>Tower 1</v>
      </c>
      <c r="K73" t="str">
        <f>XLOOKUP(E73,[1]!Bookings[Booking Name],[1]!Bookings[Bedrooms])</f>
        <v>1 Bedroom</v>
      </c>
      <c r="L73" t="str">
        <f>XLOOKUP(E73,[1]!Bookings[Booking Name],[1]!Bookings[Unit No.])</f>
        <v>404</v>
      </c>
      <c r="M73" t="str">
        <f>XLOOKUP(E73,[1]!Bookings[Booking Name],[1]!Bookings[Inventory Unit Status])</f>
        <v>Booked</v>
      </c>
      <c r="N73" t="str">
        <f>XLOOKUP(E73,[1]!Bookings[Booking Name],[1]!Bookings[Booking Status])</f>
        <v>Rejected</v>
      </c>
      <c r="O73" t="str">
        <f>XLOOKUP(E73,[1]!Bookings[Booking Name],[1]!Bookings[Customer Name])</f>
        <v>Lady Johanna Morales Torres</v>
      </c>
      <c r="P73" t="str">
        <f>XLOOKUP(E73,[1]!Bookings[Booking Name],[1]!Bookings[Nationality])</f>
        <v>Colombia</v>
      </c>
      <c r="Q73">
        <f>XLOOKUP(E73,[1]!Bookings[Booking Name],[1]!Bookings[Discount Amount])</f>
        <v>0</v>
      </c>
      <c r="R73">
        <f>XLOOKUP(E73,[1]!Bookings[Booking Name],[1]!Bookings[Discount Percentage])</f>
        <v>0</v>
      </c>
      <c r="S73">
        <f>XLOOKUP(E73,[1]!Bookings[Booking Name],[1]!Bookings[Final Sale Value After Discount])</f>
        <v>2664000</v>
      </c>
      <c r="T73">
        <f>XLOOKUP(E73,[1]!Bookings[Booking Name],[1]!Bookings[Inv Final Sale Value])</f>
        <v>2664000</v>
      </c>
      <c r="U73" t="str">
        <f>XLOOKUP(E73,[1]!Bookings[Booking Name],[1]!Bookings[Sales])</f>
        <v>Alona Lurdes</v>
      </c>
      <c r="V73" t="str">
        <f>XLOOKUP(E73,[1]!Bookings[Booking Name],[1]!Bookings[Agency Name])</f>
        <v>PROVIDENT REAL ESTATE BROKER L.L.C</v>
      </c>
      <c r="W73" t="str">
        <f>XLOOKUP(E73,[1]!Bookings[Booking Name],[1]!Bookings[Booking ID])</f>
        <v>a03NM00000MRfSF</v>
      </c>
      <c r="X73" t="str">
        <f>XLOOKUP(E73,[1]!Bookings[Booking Name],[1]!Bookings[Oracle Id])</f>
        <v>-</v>
      </c>
      <c r="Y73" t="str">
        <v>Not Available on Finance Tracker</v>
      </c>
      <c r="Z73" t="str">
        <v>No Payment</v>
      </c>
      <c r="AA73">
        <v>0</v>
      </c>
      <c r="AB73" t="str">
        <v>N/A</v>
      </c>
      <c r="AC73" t="str">
        <v>Cancelled due to Non Payment</v>
      </c>
      <c r="AD73" t="str">
        <v>https://onedevelopmentuae-my.sharepoint.com/personal/n_araujo_oneuae_com/Documents/Desktop/Norton-Local/Requests/Rejected%20Bookings/Booking-1153%20-%20Booking%20Rejection%20Request.msg</v>
      </c>
      <c r="AE73" t="str">
        <v>Cancelled due to Non Payment</v>
      </c>
      <c r="AF73" t="str">
        <v>Cancellation Request raised by Collections Team</v>
      </c>
    </row>
    <row r="74">
      <c r="B74" t="str">
        <v>November</v>
      </c>
      <c r="C74">
        <v>45980</v>
      </c>
      <c r="D74">
        <f>XLOOKUP(E74,[1]!Bookings[Booking Name],[1]!Bookings[Rejected Date])</f>
        <v>45981</v>
      </c>
      <c r="E74" t="str">
        <v>Booking-1014</v>
      </c>
      <c r="F74" t="str">
        <f>XLOOKUP(E74,[1]!Bookings[Booking Name],[1]!Bookings[Booking Status])</f>
        <v>Rejected</v>
      </c>
      <c r="G74">
        <f>XLOOKUP(E74,[1]!Bookings[Booking Name],[1]!Bookings[Booking Date])</f>
        <v>45925</v>
      </c>
      <c r="H74">
        <f>XLOOKUP(E74,[1]!Bookings[Booking Name],[1]!Bookings[Booking Aging])</f>
        <v>134</v>
      </c>
      <c r="I74" t="str">
        <f>XLOOKUP(E74,[1]!Bookings[Booking Name],[1]!Bookings[Project Name])</f>
        <v>Laguna Residence</v>
      </c>
      <c r="J74" t="str">
        <f>XLOOKUP(E74,[1]!Bookings[Booking Name],[1]!Bookings[Building])</f>
        <v>Tower A</v>
      </c>
      <c r="K74" t="str">
        <f>XLOOKUP(E74,[1]!Bookings[Booking Name],[1]!Bookings[Bedrooms])</f>
        <v>2 Bedroom</v>
      </c>
      <c r="L74" t="str">
        <f>XLOOKUP(E74,[1]!Bookings[Booking Name],[1]!Bookings[Unit No.])</f>
        <v>A4205</v>
      </c>
      <c r="M74" t="str">
        <f>XLOOKUP(E74,[1]!Bookings[Booking Name],[1]!Bookings[Inventory Unit Status])</f>
        <v>Blocked</v>
      </c>
      <c r="N74" t="str">
        <f>XLOOKUP(E74,[1]!Bookings[Booking Name],[1]!Bookings[Booking Status])</f>
        <v>Rejected</v>
      </c>
      <c r="O74" t="str">
        <f>XLOOKUP(E74,[1]!Bookings[Booking Name],[1]!Bookings[Customer Name])</f>
        <v>Amer Darweesh Ali Almoseimi</v>
      </c>
      <c r="P74" t="str">
        <f>XLOOKUP(E74,[1]!Bookings[Booking Name],[1]!Bookings[Nationality])</f>
        <v>Jordan</v>
      </c>
      <c r="Q74">
        <f>XLOOKUP(E74,[1]!Bookings[Booking Name],[1]!Bookings[Discount Amount])</f>
        <v>98600</v>
      </c>
      <c r="R74">
        <f>XLOOKUP(E74,[1]!Bookings[Booking Name],[1]!Bookings[Discount Percentage])</f>
        <v>0.03821705426356589</v>
      </c>
      <c r="S74">
        <f>XLOOKUP(E74,[1]!Bookings[Booking Name],[1]!Bookings[Final Sale Value After Discount])</f>
        <v>2481400</v>
      </c>
      <c r="T74">
        <f>XLOOKUP(E74,[1]!Bookings[Booking Name],[1]!Bookings[Inv Final Sale Value])</f>
        <v>2580000</v>
      </c>
      <c r="U74" t="str">
        <f>XLOOKUP(E74,[1]!Bookings[Booking Name],[1]!Bookings[Sales])</f>
        <v>Mohamed El Shimy</v>
      </c>
      <c r="V74" t="str">
        <f>XLOOKUP(E74,[1]!Bookings[Booking Name],[1]!Bookings[Agency Name])</f>
        <v>CHALET INTERNATIONAL REAL ESTATE L.L.C</v>
      </c>
      <c r="W74" t="str">
        <f>XLOOKUP(E74,[1]!Bookings[Booking Name],[1]!Bookings[Booking ID])</f>
        <v>a03J600000BtSUB</v>
      </c>
      <c r="X74" t="str">
        <f>XLOOKUP(E74,[1]!Bookings[Booking Name],[1]!Bookings[Oracle Id])</f>
        <v>-</v>
      </c>
      <c r="Y74" t="str">
        <v>Not Available on Finance Tracker</v>
      </c>
      <c r="Z74">
        <v>25000</v>
      </c>
      <c r="AA74">
        <v>0.010074957685177723</v>
      </c>
      <c r="AB74" t="str">
        <v>No</v>
      </c>
      <c r="AC74" t="str">
        <v>Cancelled due to Non Payment</v>
      </c>
      <c r="AD74" t="str">
        <v>https://onedevelopmentuae-my.sharepoint.com/personal/n_araujo_oneuae_com/Documents/Desktop/Norton-Local/Requests/Rejected%20Bookings/Booking-1014%20-%20Booking%20Rejection%20Request.msg</v>
      </c>
      <c r="AE74" t="str">
        <v>Cancelled due to Non Payment</v>
      </c>
      <c r="AF74" t="str">
        <v>Cancellation Request raised by Collections Team</v>
      </c>
    </row>
    <row r="75">
      <c r="B75" t="str">
        <v>November</v>
      </c>
      <c r="C75">
        <v>45980</v>
      </c>
      <c r="D75">
        <f>XLOOKUP(E75,[1]!Bookings[Booking Name],[1]!Bookings[Rejected Date])</f>
        <v>45981</v>
      </c>
      <c r="E75" t="str">
        <v>Booking-1010</v>
      </c>
      <c r="F75" t="str">
        <f>XLOOKUP(E75,[1]!Bookings[Booking Name],[1]!Bookings[Booking Status])</f>
        <v>Rejected</v>
      </c>
      <c r="G75">
        <f>XLOOKUP(E75,[1]!Bookings[Booking Name],[1]!Bookings[Booking Date])</f>
        <v>45924</v>
      </c>
      <c r="H75">
        <f>XLOOKUP(E75,[1]!Bookings[Booking Name],[1]!Bookings[Booking Aging])</f>
        <v>135</v>
      </c>
      <c r="I75" t="str">
        <f>XLOOKUP(E75,[1]!Bookings[Booking Name],[1]!Bookings[Project Name])</f>
        <v>Laguna Residence</v>
      </c>
      <c r="J75" t="str">
        <f>XLOOKUP(E75,[1]!Bookings[Booking Name],[1]!Bookings[Building])</f>
        <v>Tower A</v>
      </c>
      <c r="K75" t="str">
        <f>XLOOKUP(E75,[1]!Bookings[Booking Name],[1]!Bookings[Bedrooms])</f>
        <v>Studio</v>
      </c>
      <c r="L75" t="str">
        <f>XLOOKUP(E75,[1]!Bookings[Booking Name],[1]!Bookings[Unit No.])</f>
        <v>A1014</v>
      </c>
      <c r="M75" t="str">
        <f>XLOOKUP(E75,[1]!Bookings[Booking Name],[1]!Bookings[Inventory Unit Status])</f>
        <v>Blocked</v>
      </c>
      <c r="N75" t="str">
        <f>XLOOKUP(E75,[1]!Bookings[Booking Name],[1]!Bookings[Booking Status])</f>
        <v>Rejected</v>
      </c>
      <c r="O75" t="str">
        <f>XLOOKUP(E75,[1]!Bookings[Booking Name],[1]!Bookings[Customer Name])</f>
        <v>Ayesha Ibrahim Obaid Ismail Alhamsha</v>
      </c>
      <c r="P75" t="str">
        <f>XLOOKUP(E75,[1]!Bookings[Booking Name],[1]!Bookings[Nationality])</f>
        <v>United Arab Emirates</v>
      </c>
      <c r="Q75">
        <f>XLOOKUP(E75,[1]!Bookings[Booking Name],[1]!Bookings[Discount Amount])</f>
        <v>26000</v>
      </c>
      <c r="R75">
        <f>XLOOKUP(E75,[1]!Bookings[Booking Name],[1]!Bookings[Discount Percentage])</f>
        <v>0.03245942571785269</v>
      </c>
      <c r="S75">
        <f>XLOOKUP(E75,[1]!Bookings[Booking Name],[1]!Bookings[Final Sale Value After Discount])</f>
        <v>774999.999774</v>
      </c>
      <c r="T75">
        <f>XLOOKUP(E75,[1]!Bookings[Booking Name],[1]!Bookings[Inv Final Sale Value])</f>
        <v>801000</v>
      </c>
      <c r="U75" t="str">
        <f>XLOOKUP(E75,[1]!Bookings[Booking Name],[1]!Bookings[Sales])</f>
        <v>Mohamed El Shimy</v>
      </c>
      <c r="V75" t="str">
        <f>XLOOKUP(E75,[1]!Bookings[Booking Name],[1]!Bookings[Agency Name])</f>
        <v>CHALET INTERNATIONAL REAL ESTATE L.L.C</v>
      </c>
      <c r="W75" t="str">
        <f>XLOOKUP(E75,[1]!Bookings[Booking Name],[1]!Bookings[Booking ID])</f>
        <v>a03J600000BtKfI</v>
      </c>
      <c r="X75" t="str">
        <f>XLOOKUP(E75,[1]!Bookings[Booking Name],[1]!Bookings[Oracle Id])</f>
        <v>-</v>
      </c>
      <c r="Y75" t="str">
        <v>Not Available on Finance Tracker</v>
      </c>
      <c r="Z75">
        <v>20000</v>
      </c>
      <c r="AA75">
        <v>0.02580645162042872</v>
      </c>
      <c r="AB75" t="str">
        <v>No</v>
      </c>
      <c r="AC75" t="str">
        <v>Cancelled due to Non Payment</v>
      </c>
      <c r="AD75" t="str">
        <v>https://onedevelopmentuae-my.sharepoint.com/personal/n_araujo_oneuae_com/Documents/Desktop/Norton-Local/Requests/Rejected%20Bookings/Booking-1010%20-%20Booking%20Rejection%20Request.msg</v>
      </c>
      <c r="AE75" t="str">
        <v>Cancelled due to Non Payment</v>
      </c>
      <c r="AF75" t="str">
        <v>Cancellation Request raised by Collections Team</v>
      </c>
    </row>
    <row r="76">
      <c r="B76" t="str">
        <v>November</v>
      </c>
      <c r="C76">
        <v>45980</v>
      </c>
      <c r="D76">
        <f>XLOOKUP(E76,[1]!Bookings[Booking Name],[1]!Bookings[Rejected Date])</f>
        <v>45981</v>
      </c>
      <c r="E76" t="str">
        <v>Booking-987</v>
      </c>
      <c r="F76" t="str">
        <f>XLOOKUP(E76,[1]!Bookings[Booking Name],[1]!Bookings[Booking Status])</f>
        <v>Rejected</v>
      </c>
      <c r="G76">
        <f>XLOOKUP(E76,[1]!Bookings[Booking Name],[1]!Bookings[Booking Date])</f>
        <v>45912</v>
      </c>
      <c r="H76">
        <f>XLOOKUP(E76,[1]!Bookings[Booking Name],[1]!Bookings[Booking Aging])</f>
        <v>147</v>
      </c>
      <c r="I76" t="str">
        <f>XLOOKUP(E76,[1]!Bookings[Booking Name],[1]!Bookings[Project Name])</f>
        <v>Laguna Residence</v>
      </c>
      <c r="J76" t="str">
        <f>XLOOKUP(E76,[1]!Bookings[Booking Name],[1]!Bookings[Building])</f>
        <v>Tower B</v>
      </c>
      <c r="K76" t="str">
        <f>XLOOKUP(E76,[1]!Bookings[Booking Name],[1]!Bookings[Bedrooms])</f>
        <v>Studio</v>
      </c>
      <c r="L76" t="str">
        <f>XLOOKUP(E76,[1]!Bookings[Booking Name],[1]!Bookings[Unit No.])</f>
        <v>B2812</v>
      </c>
      <c r="M76" t="str">
        <f>XLOOKUP(E76,[1]!Bookings[Booking Name],[1]!Bookings[Inventory Unit Status])</f>
        <v>Available</v>
      </c>
      <c r="N76" t="str">
        <f>XLOOKUP(E76,[1]!Bookings[Booking Name],[1]!Bookings[Booking Status])</f>
        <v>Rejected</v>
      </c>
      <c r="O76" t="str">
        <f>XLOOKUP(E76,[1]!Bookings[Booking Name],[1]!Bookings[Customer Name])</f>
        <v>Michael Adom Adomako</v>
      </c>
      <c r="P76" t="str">
        <f>XLOOKUP(E76,[1]!Bookings[Booking Name],[1]!Bookings[Nationality])</f>
        <v>Ghana</v>
      </c>
      <c r="Q76">
        <f>XLOOKUP(E76,[1]!Bookings[Booking Name],[1]!Bookings[Discount Amount])</f>
        <v>17520</v>
      </c>
      <c r="R76">
        <f>XLOOKUP(E76,[1]!Bookings[Booking Name],[1]!Bookings[Discount Percentage])</f>
        <v>0.02</v>
      </c>
      <c r="S76">
        <f>XLOOKUP(E76,[1]!Bookings[Booking Name],[1]!Bookings[Final Sale Value After Discount])</f>
        <v>858480</v>
      </c>
      <c r="T76">
        <f>XLOOKUP(E76,[1]!Bookings[Booking Name],[1]!Bookings[Inv Final Sale Value])</f>
        <v>876000</v>
      </c>
      <c r="U76" t="str">
        <f>XLOOKUP(E76,[1]!Bookings[Booking Name],[1]!Bookings[Sales])</f>
        <v>Mohamed El Shimy</v>
      </c>
      <c r="V76" t="str">
        <f>XLOOKUP(E76,[1]!Bookings[Booking Name],[1]!Bookings[Agency Name])</f>
        <v>PREMIA LIVINGS REAL ESTATE L.L.C</v>
      </c>
      <c r="W76" t="str">
        <f>XLOOKUP(E76,[1]!Bookings[Booking Name],[1]!Bookings[Booking ID])</f>
        <v>a03J600000BsZtT</v>
      </c>
      <c r="X76" t="str">
        <f>XLOOKUP(E76,[1]!Bookings[Booking Name],[1]!Bookings[Oracle Id])</f>
        <v>-</v>
      </c>
      <c r="Y76" t="str">
        <v>Not Available on Finance Tracker</v>
      </c>
      <c r="Z76">
        <v>1500</v>
      </c>
      <c r="AA76">
        <v>0.00174727425216662</v>
      </c>
      <c r="AB76" t="str">
        <v>No</v>
      </c>
      <c r="AC76" t="str">
        <v>Cancelled due to Non Payment</v>
      </c>
      <c r="AD76" t="str">
        <v>https://onedevelopmentuae-my.sharepoint.com/personal/n_araujo_oneuae_com/Documents/Desktop/Norton-Local/Requests/Rejected%20Bookings/Booking-987%20-%20Booking%20Rejection%20Request.msg</v>
      </c>
      <c r="AE76" t="str">
        <v>Cancelled due to Non Payment</v>
      </c>
      <c r="AF76" t="str">
        <v>Cancellation Request raised by Collections Team</v>
      </c>
    </row>
    <row r="77">
      <c r="B77" t="str">
        <v>November</v>
      </c>
      <c r="C77">
        <v>45980</v>
      </c>
      <c r="D77">
        <f>XLOOKUP(E77,[1]!Bookings[Booking Name],[1]!Bookings[Rejected Date])</f>
        <v>45981</v>
      </c>
      <c r="E77" t="str">
        <v>Booking-1020</v>
      </c>
      <c r="F77" t="str">
        <f>XLOOKUP(E77,[1]!Bookings[Booking Name],[1]!Bookings[Booking Status])</f>
        <v>Rejected</v>
      </c>
      <c r="G77">
        <f>XLOOKUP(E77,[1]!Bookings[Booking Name],[1]!Bookings[Booking Date])</f>
        <v>45930</v>
      </c>
      <c r="H77">
        <f>XLOOKUP(E77,[1]!Bookings[Booking Name],[1]!Bookings[Booking Aging])</f>
        <v>129</v>
      </c>
      <c r="I77" t="str">
        <f>XLOOKUP(E77,[1]!Bookings[Booking Name],[1]!Bookings[Project Name])</f>
        <v>Laguna Residence</v>
      </c>
      <c r="J77" t="str">
        <f>XLOOKUP(E77,[1]!Bookings[Booking Name],[1]!Bookings[Building])</f>
        <v>Tower A</v>
      </c>
      <c r="K77" t="str">
        <f>XLOOKUP(E77,[1]!Bookings[Booking Name],[1]!Bookings[Bedrooms])</f>
        <v>1 Bedroom</v>
      </c>
      <c r="L77" t="str">
        <f>XLOOKUP(E77,[1]!Bookings[Booking Name],[1]!Bookings[Unit No.])</f>
        <v>A2807</v>
      </c>
      <c r="M77" t="str">
        <f>XLOOKUP(E77,[1]!Bookings[Booking Name],[1]!Bookings[Inventory Unit Status])</f>
        <v>Blocked</v>
      </c>
      <c r="N77" t="str">
        <f>XLOOKUP(E77,[1]!Bookings[Booking Name],[1]!Bookings[Booking Status])</f>
        <v>Rejected</v>
      </c>
      <c r="O77" t="str">
        <f>XLOOKUP(E77,[1]!Bookings[Booking Name],[1]!Bookings[Customer Name])</f>
        <v>Chapol Molla Ali Ahamed Molla</v>
      </c>
      <c r="P77" t="str">
        <f>XLOOKUP(E77,[1]!Bookings[Booking Name],[1]!Bookings[Nationality])</f>
        <v>Bangladesh</v>
      </c>
      <c r="Q77">
        <f>XLOOKUP(E77,[1]!Bookings[Booking Name],[1]!Bookings[Discount Amount])</f>
        <v>48283.2</v>
      </c>
      <c r="R77">
        <f>XLOOKUP(E77,[1]!Bookings[Booking Name],[1]!Bookings[Discount Percentage])</f>
        <v>0.0336</v>
      </c>
      <c r="S77">
        <f>XLOOKUP(E77,[1]!Bookings[Booking Name],[1]!Bookings[Final Sale Value After Discount])</f>
        <v>1388716.8</v>
      </c>
      <c r="T77">
        <f>XLOOKUP(E77,[1]!Bookings[Booking Name],[1]!Bookings[Inv Final Sale Value])</f>
        <v>1437000</v>
      </c>
      <c r="U77" t="str">
        <f>XLOOKUP(E77,[1]!Bookings[Booking Name],[1]!Bookings[Sales])</f>
        <v>Mohamed El Shimy</v>
      </c>
      <c r="V77" t="str">
        <f>XLOOKUP(E77,[1]!Bookings[Booking Name],[1]!Bookings[Agency Name])</f>
        <v>PREMIA LIVINGS REAL ESTATE L.L.C</v>
      </c>
      <c r="W77" t="str">
        <f>XLOOKUP(E77,[1]!Bookings[Booking Name],[1]!Bookings[Booking ID])</f>
        <v>a03J600000BteaL</v>
      </c>
      <c r="X77" t="str">
        <f>XLOOKUP(E77,[1]!Bookings[Booking Name],[1]!Bookings[Oracle Id])</f>
        <v>-</v>
      </c>
      <c r="Y77" t="str">
        <v>Not Available on Finance Tracker</v>
      </c>
      <c r="Z77">
        <v>5000</v>
      </c>
      <c r="AA77">
        <v>0.003600446109674773</v>
      </c>
      <c r="AB77" t="str">
        <v>No</v>
      </c>
      <c r="AC77" t="str">
        <v>Cancelled due to Non Payment</v>
      </c>
      <c r="AD77" t="str">
        <v>https://onedevelopmentuae-my.sharepoint.com/personal/n_araujo_oneuae_com/Documents/Desktop/Norton-Local/Requests/Rejected%20Bookings/Booking-1020%20-%20Booking%20Rejection%20Request.msg</v>
      </c>
      <c r="AE77" t="str">
        <v>Cancelled due to Non Payment</v>
      </c>
      <c r="AF77" t="str">
        <v>Cancellation Request raised by Collections Team</v>
      </c>
    </row>
    <row r="78">
      <c r="B78" t="str">
        <v>November</v>
      </c>
      <c r="C78">
        <v>45980</v>
      </c>
      <c r="D78">
        <f>XLOOKUP(E78,[1]!Bookings[Booking Name],[1]!Bookings[Rejected Date])</f>
        <v>45981</v>
      </c>
      <c r="E78" t="str">
        <v>Booking-1044</v>
      </c>
      <c r="F78" t="str">
        <f>XLOOKUP(E78,[1]!Bookings[Booking Name],[1]!Bookings[Booking Status])</f>
        <v>Rejected</v>
      </c>
      <c r="G78">
        <f>XLOOKUP(E78,[1]!Bookings[Booking Name],[1]!Bookings[Booking Date])</f>
        <v>45936</v>
      </c>
      <c r="H78">
        <f>XLOOKUP(E78,[1]!Bookings[Booking Name],[1]!Bookings[Booking Aging])</f>
        <v>123</v>
      </c>
      <c r="I78" t="str">
        <f>XLOOKUP(E78,[1]!Bookings[Booking Name],[1]!Bookings[Project Name])</f>
        <v>Laguna Residence</v>
      </c>
      <c r="J78" t="str">
        <f>XLOOKUP(E78,[1]!Bookings[Booking Name],[1]!Bookings[Building])</f>
        <v>Tower B</v>
      </c>
      <c r="K78" t="str">
        <f>XLOOKUP(E78,[1]!Bookings[Booking Name],[1]!Bookings[Bedrooms])</f>
        <v>Studio</v>
      </c>
      <c r="L78" t="str">
        <f>XLOOKUP(E78,[1]!Bookings[Booking Name],[1]!Bookings[Unit No.])</f>
        <v>B1219</v>
      </c>
      <c r="M78" t="str">
        <f>XLOOKUP(E78,[1]!Bookings[Booking Name],[1]!Bookings[Inventory Unit Status])</f>
        <v>Booked</v>
      </c>
      <c r="N78" t="str">
        <f>XLOOKUP(E78,[1]!Bookings[Booking Name],[1]!Bookings[Booking Status])</f>
        <v>Rejected</v>
      </c>
      <c r="O78" t="str">
        <f>XLOOKUP(E78,[1]!Bookings[Booking Name],[1]!Bookings[Customer Name])</f>
        <v>Ansam Adnan Sadiq</v>
      </c>
      <c r="P78" t="str">
        <f>XLOOKUP(E78,[1]!Bookings[Booking Name],[1]!Bookings[Nationality])</f>
        <v>Iraq</v>
      </c>
      <c r="Q78">
        <f>XLOOKUP(E78,[1]!Bookings[Booking Name],[1]!Bookings[Discount Amount])</f>
        <v>32000</v>
      </c>
      <c r="R78">
        <f>XLOOKUP(E78,[1]!Bookings[Booking Name],[1]!Bookings[Discount Percentage])</f>
        <v>0.039119804400977995</v>
      </c>
      <c r="S78">
        <f>XLOOKUP(E78,[1]!Bookings[Booking Name],[1]!Bookings[Final Sale Value After Discount])</f>
        <v>786000</v>
      </c>
      <c r="T78">
        <f>XLOOKUP(E78,[1]!Bookings[Booking Name],[1]!Bookings[Inv Final Sale Value])</f>
        <v>818000</v>
      </c>
      <c r="U78" t="str">
        <f>XLOOKUP(E78,[1]!Bookings[Booking Name],[1]!Bookings[Sales])</f>
        <v>Mohamed El Shimy</v>
      </c>
      <c r="V78" t="str">
        <f>XLOOKUP(E78,[1]!Bookings[Booking Name],[1]!Bookings[Agency Name])</f>
        <v>Eleva Properties LLC</v>
      </c>
      <c r="W78" t="str">
        <f>XLOOKUP(E78,[1]!Bookings[Booking Name],[1]!Bookings[Booking ID])</f>
        <v>a03J600000BtyRL</v>
      </c>
      <c r="X78" t="str">
        <f>XLOOKUP(E78,[1]!Bookings[Booking Name],[1]!Bookings[Oracle Id])</f>
        <v>-</v>
      </c>
      <c r="Y78" t="str">
        <v>Not Available on Finance Tracker</v>
      </c>
      <c r="Z78">
        <v>20000</v>
      </c>
      <c r="AA78">
        <v>0.02544529262086514</v>
      </c>
      <c r="AB78" t="str">
        <v>No</v>
      </c>
      <c r="AC78" t="str">
        <v>Cancelled due to Non Payment</v>
      </c>
      <c r="AD78" t="str">
        <v>https://onedevelopmentuae-my.sharepoint.com/personal/n_araujo_oneuae_com/Documents/Desktop/Norton-Local/Requests/Rejected%20Bookings/Booking-1044%20-%20Booking%20Rejection%20Request.msg</v>
      </c>
      <c r="AE78" t="str">
        <v>Cancelled due to Non Payment</v>
      </c>
      <c r="AF78" t="str">
        <v>Cancellation Request raised by Collections Team</v>
      </c>
    </row>
    <row r="79">
      <c r="B79" t="str">
        <v>November</v>
      </c>
      <c r="C79">
        <v>45980</v>
      </c>
      <c r="D79">
        <f>XLOOKUP(E79,[1]!Bookings[Booking Name],[1]!Bookings[Rejected Date])</f>
        <v>45982</v>
      </c>
      <c r="E79" t="str">
        <v>Booking-594</v>
      </c>
      <c r="F79" t="str">
        <f>XLOOKUP(E79,[1]!Bookings[Booking Name],[1]!Bookings[Booking Status])</f>
        <v>Rejected</v>
      </c>
      <c r="G79">
        <f>XLOOKUP(E79,[1]!Bookings[Booking Name],[1]!Bookings[Booking Date])</f>
        <v>45762</v>
      </c>
      <c r="H79">
        <f>XLOOKUP(E79,[1]!Bookings[Booking Name],[1]!Bookings[Booking Aging])</f>
        <v>297</v>
      </c>
      <c r="I79" t="str">
        <f>XLOOKUP(E79,[1]!Bookings[Booking Name],[1]!Bookings[Project Name])</f>
        <v>Laguna Residence</v>
      </c>
      <c r="J79" t="str">
        <f>XLOOKUP(E79,[1]!Bookings[Booking Name],[1]!Bookings[Building])</f>
        <v>Tower B</v>
      </c>
      <c r="K79" t="str">
        <f>XLOOKUP(E79,[1]!Bookings[Booking Name],[1]!Bookings[Bedrooms])</f>
        <v>1 Bedroom</v>
      </c>
      <c r="L79" t="str">
        <f>XLOOKUP(E79,[1]!Bookings[Booking Name],[1]!Bookings[Unit No.])</f>
        <v>B402</v>
      </c>
      <c r="M79" t="str">
        <f>XLOOKUP(E79,[1]!Bookings[Booking Name],[1]!Bookings[Inventory Unit Status])</f>
        <v>Blocked</v>
      </c>
      <c r="N79" t="str">
        <f>XLOOKUP(E79,[1]!Bookings[Booking Name],[1]!Bookings[Booking Status])</f>
        <v>Rejected</v>
      </c>
      <c r="O79" t="str">
        <f>XLOOKUP(E79,[1]!Bookings[Booking Name],[1]!Bookings[Customer Name])</f>
        <v>Madyan Maher Jameel Rishan</v>
      </c>
      <c r="P79" t="str">
        <f>XLOOKUP(E79,[1]!Bookings[Booking Name],[1]!Bookings[Nationality])</f>
        <v>Iraq</v>
      </c>
      <c r="Q79">
        <f>XLOOKUP(E79,[1]!Bookings[Booking Name],[1]!Bookings[Discount Amount])</f>
        <v>82750</v>
      </c>
      <c r="R79">
        <f>XLOOKUP(E79,[1]!Bookings[Booking Name],[1]!Bookings[Discount Percentage])</f>
        <v>0.06588375796178345</v>
      </c>
      <c r="S79">
        <f>XLOOKUP(E79,[1]!Bookings[Booking Name],[1]!Bookings[Final Sale Value After Discount])</f>
        <v>1173250</v>
      </c>
      <c r="T79">
        <f>XLOOKUP(E79,[1]!Bookings[Booking Name],[1]!Bookings[Inv Final Sale Value])</f>
        <v>1256000</v>
      </c>
      <c r="U79" t="str">
        <f>XLOOKUP(E79,[1]!Bookings[Booking Name],[1]!Bookings[Sales])</f>
        <v>Midia Sedighi</v>
      </c>
      <c r="V79" t="str">
        <f>XLOOKUP(E79,[1]!Bookings[Booking Name],[1]!Bookings[Agency Name])</f>
        <v>NESTSEEKERS REAL ESTATE L.L.C</v>
      </c>
      <c r="W79" t="str">
        <f>XLOOKUP(E79,[1]!Bookings[Booking Name],[1]!Bookings[Booking ID])</f>
        <v>a03J60000081ULp</v>
      </c>
      <c r="X79" t="str">
        <f>XLOOKUP(E79,[1]!Bookings[Booking Name],[1]!Bookings[Oracle Id])</f>
        <v>-</v>
      </c>
      <c r="Y79">
        <v>6000</v>
      </c>
      <c r="Z79">
        <v>154120</v>
      </c>
      <c r="AA79">
        <v>0.13136160238653313</v>
      </c>
      <c r="AB79" t="str">
        <v>No</v>
      </c>
      <c r="AC79" t="str">
        <v>Cancelled due to Non Payment</v>
      </c>
      <c r="AD79" t="str">
        <v>https://onedevelopmentuae-my.sharepoint.com/personal/n_araujo_oneuae_com/Documents/Desktop/Norton-Local/Requests/Rejected%20Bookings/Booking-594%20-%20Booking%20Rejection%20Request.msg</v>
      </c>
      <c r="AE79" t="str">
        <v>Cancelled due to Non Payment</v>
      </c>
      <c r="AF79" t="str">
        <v>Cancellation Request raised by Collections Team</v>
      </c>
    </row>
    <row r="80">
      <c r="B80" t="str">
        <v>November</v>
      </c>
      <c r="C80">
        <v>45980</v>
      </c>
      <c r="D80">
        <f>XLOOKUP(E80,[1]!Bookings[Booking Name],[1]!Bookings[Rejected Date])</f>
        <v>45981</v>
      </c>
      <c r="E80" t="str">
        <v>Booking-1000</v>
      </c>
      <c r="F80" t="str">
        <f>XLOOKUP(E80,[1]!Bookings[Booking Name],[1]!Bookings[Booking Status])</f>
        <v>Rejected</v>
      </c>
      <c r="G80">
        <f>XLOOKUP(E80,[1]!Bookings[Booking Name],[1]!Bookings[Booking Date])</f>
        <v>45919</v>
      </c>
      <c r="H80">
        <f>XLOOKUP(E80,[1]!Bookings[Booking Name],[1]!Bookings[Booking Aging])</f>
        <v>140</v>
      </c>
      <c r="I80" t="str">
        <f>XLOOKUP(E80,[1]!Bookings[Booking Name],[1]!Bookings[Project Name])</f>
        <v>Laguna Residence</v>
      </c>
      <c r="J80" t="str">
        <f>XLOOKUP(E80,[1]!Bookings[Booking Name],[1]!Bookings[Building])</f>
        <v>Tower A</v>
      </c>
      <c r="K80" t="str">
        <f>XLOOKUP(E80,[1]!Bookings[Booking Name],[1]!Bookings[Bedrooms])</f>
        <v>Studio</v>
      </c>
      <c r="L80" t="str">
        <f>XLOOKUP(E80,[1]!Bookings[Booking Name],[1]!Bookings[Unit No.])</f>
        <v>A2014</v>
      </c>
      <c r="M80" t="str">
        <f>XLOOKUP(E80,[1]!Bookings[Booking Name],[1]!Bookings[Inventory Unit Status])</f>
        <v>SPA Executed</v>
      </c>
      <c r="N80" t="str">
        <f>XLOOKUP(E80,[1]!Bookings[Booking Name],[1]!Bookings[Booking Status])</f>
        <v>Rejected</v>
      </c>
      <c r="O80" t="str">
        <f>XLOOKUP(E80,[1]!Bookings[Booking Name],[1]!Bookings[Customer Name])</f>
        <v>Zainab Mohammed Saif Obaid</v>
      </c>
      <c r="P80" t="str">
        <f>XLOOKUP(E80,[1]!Bookings[Booking Name],[1]!Bookings[Nationality])</f>
        <v>United Arab Emirates</v>
      </c>
      <c r="Q80">
        <f>XLOOKUP(E80,[1]!Bookings[Booking Name],[1]!Bookings[Discount Amount])</f>
        <v>31960</v>
      </c>
      <c r="R80">
        <f>XLOOKUP(E80,[1]!Bookings[Booking Name],[1]!Bookings[Discount Percentage])</f>
        <v>0.04</v>
      </c>
      <c r="S80">
        <f>XLOOKUP(E80,[1]!Bookings[Booking Name],[1]!Bookings[Final Sale Value After Discount])</f>
        <v>767040.0002871606</v>
      </c>
      <c r="T80">
        <f>XLOOKUP(E80,[1]!Bookings[Booking Name],[1]!Bookings[Inv Final Sale Value])</f>
        <v>799000</v>
      </c>
      <c r="U80" t="str">
        <f>XLOOKUP(E80,[1]!Bookings[Booking Name],[1]!Bookings[Sales])</f>
        <v>Mohamed El Shimy</v>
      </c>
      <c r="V80" t="str">
        <f>XLOOKUP(E80,[1]!Bookings[Booking Name],[1]!Bookings[Agency Name])</f>
        <v>PREMIA LIVINGS REAL ESTATE L.L.C</v>
      </c>
      <c r="W80" t="str">
        <f>XLOOKUP(E80,[1]!Bookings[Booking Name],[1]!Bookings[Booking ID])</f>
        <v>a03J600000Bswpp</v>
      </c>
      <c r="X80" t="str">
        <f>XLOOKUP(E80,[1]!Bookings[Booking Name],[1]!Bookings[Oracle Id])</f>
        <v>-</v>
      </c>
      <c r="Y80" t="str">
        <v>Not Available on Finance Tracker</v>
      </c>
      <c r="Z80">
        <v>25000</v>
      </c>
      <c r="AA80">
        <v>0.03259282435158613</v>
      </c>
      <c r="AB80" t="str">
        <v>No</v>
      </c>
      <c r="AC80" t="str">
        <v>Cancelled due to Non Payment</v>
      </c>
      <c r="AD80" t="str">
        <v>https://onedevelopmentuae-my.sharepoint.com/personal/n_araujo_oneuae_com/Documents/Desktop/Norton-Local/Requests/Rejected%20Bookings/Booking-1000%20-%20Booking%20Rejection%20Request.msg</v>
      </c>
      <c r="AE80" t="str">
        <v>Cancelled due to Non Payment</v>
      </c>
      <c r="AF80" t="str">
        <v>Cancellation Request raised by Collections Team</v>
      </c>
    </row>
    <row r="81">
      <c r="B81" t="str">
        <v>November</v>
      </c>
      <c r="C81">
        <v>45980</v>
      </c>
      <c r="D81">
        <f>XLOOKUP(E81,[1]!Bookings[Booking Name],[1]!Bookings[Rejected Date])</f>
        <v>45981</v>
      </c>
      <c r="E81" t="str">
        <v>Booking-988</v>
      </c>
      <c r="F81" t="str">
        <f>XLOOKUP(E81,[1]!Bookings[Booking Name],[1]!Bookings[Booking Status])</f>
        <v>Rejected</v>
      </c>
      <c r="G81">
        <f>XLOOKUP(E81,[1]!Bookings[Booking Name],[1]!Bookings[Booking Date])</f>
        <v>45912</v>
      </c>
      <c r="H81">
        <f>XLOOKUP(E81,[1]!Bookings[Booking Name],[1]!Bookings[Booking Aging])</f>
        <v>147</v>
      </c>
      <c r="I81" t="str">
        <f>XLOOKUP(E81,[1]!Bookings[Booking Name],[1]!Bookings[Project Name])</f>
        <v>Laguna Residence</v>
      </c>
      <c r="J81" t="str">
        <f>XLOOKUP(E81,[1]!Bookings[Booking Name],[1]!Bookings[Building])</f>
        <v>Tower A</v>
      </c>
      <c r="K81" t="str">
        <f>XLOOKUP(E81,[1]!Bookings[Booking Name],[1]!Bookings[Bedrooms])</f>
        <v>Studio</v>
      </c>
      <c r="L81" t="str">
        <f>XLOOKUP(E81,[1]!Bookings[Booking Name],[1]!Bookings[Unit No.])</f>
        <v>A2712</v>
      </c>
      <c r="M81" t="str">
        <f>XLOOKUP(E81,[1]!Bookings[Booking Name],[1]!Bookings[Inventory Unit Status])</f>
        <v>Blocked</v>
      </c>
      <c r="N81" t="str">
        <f>XLOOKUP(E81,[1]!Bookings[Booking Name],[1]!Bookings[Booking Status])</f>
        <v>Rejected</v>
      </c>
      <c r="O81" t="str">
        <f>XLOOKUP(E81,[1]!Bookings[Booking Name],[1]!Bookings[Customer Name])</f>
        <v>Michael Adom Adomako</v>
      </c>
      <c r="P81" t="str">
        <f>XLOOKUP(E81,[1]!Bookings[Booking Name],[1]!Bookings[Nationality])</f>
        <v>Ghana</v>
      </c>
      <c r="Q81">
        <f>XLOOKUP(E81,[1]!Bookings[Booking Name],[1]!Bookings[Discount Amount])</f>
        <v>16380</v>
      </c>
      <c r="R81">
        <f>XLOOKUP(E81,[1]!Bookings[Booking Name],[1]!Bookings[Discount Percentage])</f>
        <v>0.02</v>
      </c>
      <c r="S81">
        <f>XLOOKUP(E81,[1]!Bookings[Booking Name],[1]!Bookings[Final Sale Value After Discount])</f>
        <v>802620</v>
      </c>
      <c r="T81">
        <f>XLOOKUP(E81,[1]!Bookings[Booking Name],[1]!Bookings[Inv Final Sale Value])</f>
        <v>819000</v>
      </c>
      <c r="U81" t="str">
        <f>XLOOKUP(E81,[1]!Bookings[Booking Name],[1]!Bookings[Sales])</f>
        <v>Mohamed El Shimy</v>
      </c>
      <c r="V81" t="str">
        <f>XLOOKUP(E81,[1]!Bookings[Booking Name],[1]!Bookings[Agency Name])</f>
        <v>PREMIA LIVINGS REAL ESTATE L.L.C</v>
      </c>
      <c r="W81" t="str">
        <f>XLOOKUP(E81,[1]!Bookings[Booking Name],[1]!Bookings[Booking ID])</f>
        <v>a03J600000BsZxQ</v>
      </c>
      <c r="X81" t="str">
        <f>XLOOKUP(E81,[1]!Bookings[Booking Name],[1]!Bookings[Oracle Id])</f>
        <v>-</v>
      </c>
      <c r="Y81" t="str">
        <v>Not Available on Finance Tracker</v>
      </c>
      <c r="Z81">
        <v>1500</v>
      </c>
      <c r="AA81">
        <v>0.001868879419899828</v>
      </c>
      <c r="AB81" t="str">
        <v>No</v>
      </c>
      <c r="AC81" t="str">
        <v>Cancelled due to Non Payment</v>
      </c>
      <c r="AD81" t="str">
        <v>https://onedevelopmentuae-my.sharepoint.com/personal/n_araujo_oneuae_com/Documents/Desktop/Norton-Local/Requests/Rejected%20Bookings/Booking-988%20-%20Booking%20Rejection%20Request.msg</v>
      </c>
      <c r="AE81" t="str">
        <v>Cancelled due to Non Payment</v>
      </c>
      <c r="AF81" t="str">
        <v>Cancellation Request raised by Collections Team</v>
      </c>
    </row>
    <row r="82">
      <c r="B82" t="str">
        <v>November</v>
      </c>
      <c r="C82">
        <v>45980</v>
      </c>
      <c r="D82">
        <f>XLOOKUP(E82,[1]!Bookings[Booking Name],[1]!Bookings[Rejected Date])</f>
        <v>45981</v>
      </c>
      <c r="E82" t="str">
        <v>Booking-970</v>
      </c>
      <c r="F82" t="str">
        <f>XLOOKUP(E82,[1]!Bookings[Booking Name],[1]!Bookings[Booking Status])</f>
        <v>Rejected</v>
      </c>
      <c r="G82">
        <f>XLOOKUP(E82,[1]!Bookings[Booking Name],[1]!Bookings[Booking Date])</f>
        <v>45904</v>
      </c>
      <c r="H82">
        <f>XLOOKUP(E82,[1]!Bookings[Booking Name],[1]!Bookings[Booking Aging])</f>
        <v>155</v>
      </c>
      <c r="I82" t="str">
        <f>XLOOKUP(E82,[1]!Bookings[Booking Name],[1]!Bookings[Project Name])</f>
        <v>Laguna Residence</v>
      </c>
      <c r="J82" t="str">
        <f>XLOOKUP(E82,[1]!Bookings[Booking Name],[1]!Bookings[Building])</f>
        <v>Tower A</v>
      </c>
      <c r="K82" t="str">
        <f>XLOOKUP(E82,[1]!Bookings[Booking Name],[1]!Bookings[Bedrooms])</f>
        <v>Studio</v>
      </c>
      <c r="L82" t="str">
        <f>XLOOKUP(E82,[1]!Bookings[Booking Name],[1]!Bookings[Unit No.])</f>
        <v>A1716</v>
      </c>
      <c r="M82" t="str">
        <f>XLOOKUP(E82,[1]!Bookings[Booking Name],[1]!Bookings[Inventory Unit Status])</f>
        <v>Blocked</v>
      </c>
      <c r="N82" t="str">
        <f>XLOOKUP(E82,[1]!Bookings[Booking Name],[1]!Bookings[Booking Status])</f>
        <v>Rejected</v>
      </c>
      <c r="O82" t="str">
        <f>XLOOKUP(E82,[1]!Bookings[Booking Name],[1]!Bookings[Customer Name])</f>
        <v>Farah Ahmad Saeed Khalifa Almarri</v>
      </c>
      <c r="P82" t="str">
        <f>XLOOKUP(E82,[1]!Bookings[Booking Name],[1]!Bookings[Nationality])</f>
        <v>United Arab Emirates</v>
      </c>
      <c r="Q82">
        <f>XLOOKUP(E82,[1]!Bookings[Booking Name],[1]!Bookings[Discount Amount])</f>
        <v>39600</v>
      </c>
      <c r="R82">
        <f>XLOOKUP(E82,[1]!Bookings[Booking Name],[1]!Bookings[Discount Percentage])</f>
        <v>0.05</v>
      </c>
      <c r="S82">
        <f>XLOOKUP(E82,[1]!Bookings[Booking Name],[1]!Bookings[Final Sale Value After Discount])</f>
        <v>752400</v>
      </c>
      <c r="T82">
        <f>XLOOKUP(E82,[1]!Bookings[Booking Name],[1]!Bookings[Inv Final Sale Value])</f>
        <v>792000</v>
      </c>
      <c r="U82" t="str">
        <f>XLOOKUP(E82,[1]!Bookings[Booking Name],[1]!Bookings[Sales])</f>
        <v>Mohamed El Shimy</v>
      </c>
      <c r="V82" t="str">
        <f>XLOOKUP(E82,[1]!Bookings[Booking Name],[1]!Bookings[Agency Name])</f>
        <v>Eleva Properties LLC</v>
      </c>
      <c r="W82" t="str">
        <f>XLOOKUP(E82,[1]!Bookings[Booking Name],[1]!Bookings[Booking ID])</f>
        <v>a03J600000Bs5Df</v>
      </c>
      <c r="X82" t="str">
        <f>XLOOKUP(E82,[1]!Bookings[Booking Name],[1]!Bookings[Oracle Id])</f>
        <v>-</v>
      </c>
      <c r="Y82" t="str">
        <v>Not Available on Finance Tracker</v>
      </c>
      <c r="Z82">
        <v>5400</v>
      </c>
      <c r="AA82">
        <v>0.007177033492822967</v>
      </c>
      <c r="AB82" t="str">
        <v>No</v>
      </c>
      <c r="AC82" t="str">
        <v>Cancelled due to Non Payment</v>
      </c>
      <c r="AD82" t="str">
        <v>https://onedevelopmentuae-my.sharepoint.com/personal/n_araujo_oneuae_com/Documents/Desktop/Norton-Local/Requests/Rejected%20Bookings/Booking-970%20-%20Booking%20Rejection%20Request.msg</v>
      </c>
      <c r="AE82" t="str">
        <v>Cancelled due to Non Payment</v>
      </c>
      <c r="AF82" t="str">
        <v>Cancellation Request raised by Collections Team</v>
      </c>
    </row>
    <row r="83">
      <c r="B83" t="str">
        <v>November</v>
      </c>
      <c r="C83">
        <v>45980</v>
      </c>
      <c r="D83">
        <f>XLOOKUP(E83,[1]!Bookings[Booking Name],[1]!Bookings[Rejected Date])</f>
        <v>45981</v>
      </c>
      <c r="E83" t="str">
        <v>Booking-1166</v>
      </c>
      <c r="F83" t="str">
        <f>XLOOKUP(E83,[1]!Bookings[Booking Name],[1]!Bookings[Booking Status])</f>
        <v>Rejected</v>
      </c>
      <c r="G83">
        <f>XLOOKUP(E83,[1]!Bookings[Booking Name],[1]!Bookings[Booking Date])</f>
        <v>45972</v>
      </c>
      <c r="H83">
        <f>XLOOKUP(E83,[1]!Bookings[Booking Name],[1]!Bookings[Booking Aging])</f>
        <v>87</v>
      </c>
      <c r="I83" t="str">
        <f>XLOOKUP(E83,[1]!Bookings[Booking Name],[1]!Bookings[Project Name])</f>
        <v>Do Dubai Island</v>
      </c>
      <c r="J83" t="str">
        <f>XLOOKUP(E83,[1]!Bookings[Booking Name],[1]!Bookings[Building])</f>
        <v>Tower 1</v>
      </c>
      <c r="K83" t="str">
        <f>XLOOKUP(E83,[1]!Bookings[Booking Name],[1]!Bookings[Bedrooms])</f>
        <v>1 Bedroom</v>
      </c>
      <c r="L83" t="str">
        <f>XLOOKUP(E83,[1]!Bookings[Booking Name],[1]!Bookings[Unit No.])</f>
        <v>516</v>
      </c>
      <c r="M83" t="str">
        <f>XLOOKUP(E83,[1]!Bookings[Booking Name],[1]!Bookings[Inventory Unit Status])</f>
        <v>Blocked</v>
      </c>
      <c r="N83" t="str">
        <f>XLOOKUP(E83,[1]!Bookings[Booking Name],[1]!Bookings[Booking Status])</f>
        <v>Rejected</v>
      </c>
      <c r="O83" t="str">
        <f>XLOOKUP(E83,[1]!Bookings[Booking Name],[1]!Bookings[Customer Name])</f>
        <v>Ali Lafhel</v>
      </c>
      <c r="P83" t="str">
        <f>XLOOKUP(E83,[1]!Bookings[Booking Name],[1]!Bookings[Nationality])</f>
        <v>Morocco</v>
      </c>
      <c r="Q83">
        <f>XLOOKUP(E83,[1]!Bookings[Booking Name],[1]!Bookings[Discount Amount])</f>
        <v>0</v>
      </c>
      <c r="R83">
        <f>XLOOKUP(E83,[1]!Bookings[Booking Name],[1]!Bookings[Discount Percentage])</f>
        <v>0</v>
      </c>
      <c r="S83">
        <f>XLOOKUP(E83,[1]!Bookings[Booking Name],[1]!Bookings[Final Sale Value After Discount])</f>
        <v>2252000</v>
      </c>
      <c r="T83">
        <f>XLOOKUP(E83,[1]!Bookings[Booking Name],[1]!Bookings[Inv Final Sale Value])</f>
        <v>2252000</v>
      </c>
      <c r="U83" t="str">
        <f>XLOOKUP(E83,[1]!Bookings[Booking Name],[1]!Bookings[Sales])</f>
        <v>Rihab Zayani</v>
      </c>
      <c r="V83" t="str">
        <f>XLOOKUP(E83,[1]!Bookings[Booking Name],[1]!Bookings[Agency Name])</f>
        <v>Marrfa Discovery Real Estate L.L.C</v>
      </c>
      <c r="W83" t="str">
        <f>XLOOKUP(E83,[1]!Bookings[Booking Name],[1]!Bookings[Booking ID])</f>
        <v>a03NM00000MjL2C</v>
      </c>
      <c r="X83" t="str">
        <f>XLOOKUP(E83,[1]!Bookings[Booking Name],[1]!Bookings[Oracle Id])</f>
        <v>-</v>
      </c>
      <c r="Y83" t="str">
        <v>Not Available on Finance Tracker</v>
      </c>
      <c r="Z83" t="str">
        <v>No Payment</v>
      </c>
      <c r="AA83">
        <v>0</v>
      </c>
      <c r="AB83" t="str">
        <v>N/A</v>
      </c>
      <c r="AC83" t="str">
        <v>Unit Swapped with DO 409 as approved by Management</v>
      </c>
      <c r="AD83" t="str">
        <v>https://onedevelopmentuae-my.sharepoint.com/personal/n_araujo_oneuae_com/Documents/Desktop/Norton-Local/Requests/Rejected%20Bookings/Booking-1166%20-%20Booking%20Rejection%20Request.pdf</v>
      </c>
      <c r="AE83" t="str">
        <v>Unit Swap - Approved by Management</v>
      </c>
      <c r="AF83" t="str">
        <v>Swapped from DO 516 to DO 409</v>
      </c>
    </row>
    <row r="84">
      <c r="B84" t="str">
        <v>November</v>
      </c>
      <c r="C84">
        <v>45980</v>
      </c>
      <c r="D84">
        <f>XLOOKUP(E84,[1]!Bookings[Booking Name],[1]!Bookings[Rejected Date])</f>
        <v>45981</v>
      </c>
      <c r="E84" t="str">
        <v>Booking-1127</v>
      </c>
      <c r="F84" t="str">
        <f>XLOOKUP(E84,[1]!Bookings[Booking Name],[1]!Bookings[Booking Status])</f>
        <v>Rejected</v>
      </c>
      <c r="G84">
        <f>XLOOKUP(E84,[1]!Bookings[Booking Name],[1]!Bookings[Booking Date])</f>
        <v>45961</v>
      </c>
      <c r="H84">
        <f>XLOOKUP(E84,[1]!Bookings[Booking Name],[1]!Bookings[Booking Aging])</f>
        <v>98</v>
      </c>
      <c r="I84" t="str">
        <f>XLOOKUP(E84,[1]!Bookings[Booking Name],[1]!Bookings[Project Name])</f>
        <v>Laguna Residence</v>
      </c>
      <c r="J84" t="str">
        <f>XLOOKUP(E84,[1]!Bookings[Booking Name],[1]!Bookings[Building])</f>
        <v>Tower B</v>
      </c>
      <c r="K84" t="str">
        <f>XLOOKUP(E84,[1]!Bookings[Booking Name],[1]!Bookings[Bedrooms])</f>
        <v>Studio</v>
      </c>
      <c r="L84" t="str">
        <f>XLOOKUP(E84,[1]!Bookings[Booking Name],[1]!Bookings[Unit No.])</f>
        <v>B614</v>
      </c>
      <c r="M84" t="str">
        <f>XLOOKUP(E84,[1]!Bookings[Booking Name],[1]!Bookings[Inventory Unit Status])</f>
        <v>Blocked</v>
      </c>
      <c r="N84" t="str">
        <f>XLOOKUP(E84,[1]!Bookings[Booking Name],[1]!Bookings[Booking Status])</f>
        <v>Rejected</v>
      </c>
      <c r="O84" t="str">
        <f>XLOOKUP(E84,[1]!Bookings[Booking Name],[1]!Bookings[Customer Name])</f>
        <v>Argishti Darbinyan</v>
      </c>
      <c r="P84" t="str">
        <f>XLOOKUP(E84,[1]!Bookings[Booking Name],[1]!Bookings[Nationality])</f>
        <v>Armenia</v>
      </c>
      <c r="Q84">
        <f>XLOOKUP(E84,[1]!Bookings[Booking Name],[1]!Bookings[Discount Amount])</f>
        <v>0</v>
      </c>
      <c r="R84">
        <f>XLOOKUP(E84,[1]!Bookings[Booking Name],[1]!Bookings[Discount Percentage])</f>
        <v>0</v>
      </c>
      <c r="S84">
        <f>XLOOKUP(E84,[1]!Bookings[Booking Name],[1]!Bookings[Final Sale Value After Discount])</f>
        <v>838000</v>
      </c>
      <c r="T84">
        <f>XLOOKUP(E84,[1]!Bookings[Booking Name],[1]!Bookings[Inv Final Sale Value])</f>
        <v>838000</v>
      </c>
      <c r="U84" t="str">
        <f>XLOOKUP(E84,[1]!Bookings[Booking Name],[1]!Bookings[Sales])</f>
        <v>Zarina Avdalian</v>
      </c>
      <c r="V84" t="str">
        <f>XLOOKUP(E84,[1]!Bookings[Booking Name],[1]!Bookings[Agency Name])</f>
        <v>ALBINA MKRTCHYAN REAL ESTATE</v>
      </c>
      <c r="W84" t="str">
        <f>XLOOKUP(E84,[1]!Bookings[Booking Name],[1]!Bookings[Booking ID])</f>
        <v>a03J600000FmbmR</v>
      </c>
      <c r="X84" t="str">
        <f>XLOOKUP(E84,[1]!Bookings[Booking Name],[1]!Bookings[Oracle Id])</f>
        <v>-</v>
      </c>
      <c r="Y84" t="str">
        <v>Not Available on Finance Tracker</v>
      </c>
      <c r="Z84" t="str">
        <v>No Payment</v>
      </c>
      <c r="AA84">
        <v>0</v>
      </c>
      <c r="AB84" t="str">
        <v>No</v>
      </c>
      <c r="AC84" t="str">
        <v>Customer requested to cancel</v>
      </c>
      <c r="AD84" t="str">
        <v>https://onedevelopmentuae-my.sharepoint.com/personal/n_araujo_oneuae_com/Documents/Desktop/Norton-Local/Requests/Rejected%20Bookings/Booking-1127%20-%20Booking%20Rejection%20Request.pdf</v>
      </c>
      <c r="AE84" t="str">
        <v>Customer requested to cancel</v>
      </c>
      <c r="AF84" t="str">
        <v>Customer purchased 2 units and will now proceed with only Unit B1010. No Refund</v>
      </c>
    </row>
    <row r="85">
      <c r="B85" t="str">
        <v>November</v>
      </c>
      <c r="C85">
        <v>45978</v>
      </c>
      <c r="D85">
        <f>XLOOKUP(E85,[1]!Bookings[Booking Name],[1]!Bookings[Rejected Date])</f>
        <v>45978</v>
      </c>
      <c r="E85" t="str">
        <v>Booking-1174</v>
      </c>
      <c r="F85" t="str">
        <f>XLOOKUP(E85,[1]!Bookings[Booking Name],[1]!Bookings[Booking Status])</f>
        <v>Rejected</v>
      </c>
      <c r="G85">
        <f>XLOOKUP(E85,[1]!Bookings[Booking Name],[1]!Bookings[Booking Date])</f>
        <v>45973</v>
      </c>
      <c r="H85">
        <f>XLOOKUP(E85,[1]!Bookings[Booking Name],[1]!Bookings[Booking Aging])</f>
        <v>86</v>
      </c>
      <c r="I85" t="str">
        <f>XLOOKUP(E85,[1]!Bookings[Booking Name],[1]!Bookings[Project Name])</f>
        <v>Do New Cairo</v>
      </c>
      <c r="J85" t="str">
        <f>XLOOKUP(E85,[1]!Bookings[Booking Name],[1]!Bookings[Building])</f>
        <v>Hotel Apartments</v>
      </c>
      <c r="K85" t="str">
        <f>XLOOKUP(E85,[1]!Bookings[Booking Name],[1]!Bookings[Bedrooms])</f>
        <v>1 BR</v>
      </c>
      <c r="L85" t="str">
        <f>XLOOKUP(E85,[1]!Bookings[Booking Name],[1]!Bookings[Unit No.])</f>
        <v>DNC-HA-401</v>
      </c>
      <c r="M85" t="str">
        <f>XLOOKUP(E85,[1]!Bookings[Booking Name],[1]!Bookings[Inventory Unit Status])</f>
        <v>Booked</v>
      </c>
      <c r="N85" t="str">
        <f>XLOOKUP(E85,[1]!Bookings[Booking Name],[1]!Bookings[Booking Status])</f>
        <v>Rejected</v>
      </c>
      <c r="O85" t="str">
        <f>XLOOKUP(E85,[1]!Bookings[Booking Name],[1]!Bookings[Customer Name])</f>
        <v>hossam saeed abdel fattah</v>
      </c>
      <c r="P85" t="str">
        <f>XLOOKUP(E85,[1]!Bookings[Booking Name],[1]!Bookings[Nationality])</f>
        <v>-</v>
      </c>
      <c r="Q85">
        <f>XLOOKUP(E85,[1]!Bookings[Booking Name],[1]!Bookings[Discount Amount])</f>
        <v>0</v>
      </c>
      <c r="R85">
        <f>XLOOKUP(E85,[1]!Bookings[Booking Name],[1]!Bookings[Discount Percentage])</f>
        <v>0</v>
      </c>
      <c r="S85">
        <f>XLOOKUP(E85,[1]!Bookings[Booking Name],[1]!Bookings[Final Sale Value After Discount])</f>
        <v>25416300</v>
      </c>
      <c r="T85">
        <f>XLOOKUP(E85,[1]!Bookings[Booking Name],[1]!Bookings[Inv Final Sale Value])</f>
        <v>25416300</v>
      </c>
      <c r="U85" t="str">
        <f>XLOOKUP(E85,[1]!Bookings[Booking Name],[1]!Bookings[Sales])</f>
        <v>Ahmed Arafat</v>
      </c>
      <c r="V85" t="str">
        <f>XLOOKUP(E85,[1]!Bookings[Booking Name],[1]!Bookings[Agency Name])</f>
        <v/>
      </c>
      <c r="W85" t="str">
        <f>XLOOKUP(E85,[1]!Bookings[Booking Name],[1]!Bookings[Booking ID])</f>
        <v>a03NM00000MpNh3</v>
      </c>
      <c r="X85" t="str">
        <f>XLOOKUP(E85,[1]!Bookings[Booking Name],[1]!Bookings[Oracle Id])</f>
        <v>-</v>
      </c>
      <c r="Y85" t="str">
        <v>Not Available on Finance Tracker</v>
      </c>
      <c r="Z85" t="str">
        <v>No Payment</v>
      </c>
      <c r="AA85">
        <v>0</v>
      </c>
      <c r="AB85" t="str">
        <v>N/A</v>
      </c>
      <c r="AC85" t="str">
        <v>Cancelled due to Repricing</v>
      </c>
      <c r="AD85" t="str">
        <v>https://onedevelopmentuae-my.sharepoint.com/personal/n_araujo_oneuae_com/Documents/Desktop/Norton-Local/Requests/Rejected%20Bookings/Booking-1174%20-%20Booking%20Rejection%20Request.msg</v>
      </c>
      <c r="AE85" t="str">
        <v>Cancelled due to Repricing (Increase In Price)</v>
      </c>
      <c r="AF85" t="str">
        <v xml:space="preserve">Increase in Price requested by Hussien </v>
      </c>
    </row>
    <row r="86">
      <c r="B86" t="str">
        <v>November</v>
      </c>
      <c r="C86">
        <v>45978</v>
      </c>
      <c r="D86">
        <f>XLOOKUP(E86,[1]!Bookings[Booking Name],[1]!Bookings[Rejected Date])</f>
        <v>45978</v>
      </c>
      <c r="E86" t="str">
        <v>Booking-1173</v>
      </c>
      <c r="F86" t="str">
        <f>XLOOKUP(E86,[1]!Bookings[Booking Name],[1]!Bookings[Booking Status])</f>
        <v>Rejected</v>
      </c>
      <c r="G86">
        <f>XLOOKUP(E86,[1]!Bookings[Booking Name],[1]!Bookings[Booking Date])</f>
        <v>45973</v>
      </c>
      <c r="H86">
        <f>XLOOKUP(E86,[1]!Bookings[Booking Name],[1]!Bookings[Booking Aging])</f>
        <v>86</v>
      </c>
      <c r="I86" t="str">
        <f>XLOOKUP(E86,[1]!Bookings[Booking Name],[1]!Bookings[Project Name])</f>
        <v>Do New Cairo</v>
      </c>
      <c r="J86" t="str">
        <f>XLOOKUP(E86,[1]!Bookings[Booking Name],[1]!Bookings[Building])</f>
        <v>Offices</v>
      </c>
      <c r="K86" t="str">
        <f>XLOOKUP(E86,[1]!Bookings[Booking Name],[1]!Bookings[Bedrooms])</f>
        <v>-</v>
      </c>
      <c r="L86" t="str">
        <f>XLOOKUP(E86,[1]!Bookings[Booking Name],[1]!Bookings[Unit No.])</f>
        <v>DNC-O3-312</v>
      </c>
      <c r="M86" t="str">
        <f>XLOOKUP(E86,[1]!Bookings[Booking Name],[1]!Bookings[Inventory Unit Status])</f>
        <v>Booked</v>
      </c>
      <c r="N86" t="str">
        <f>XLOOKUP(E86,[1]!Bookings[Booking Name],[1]!Bookings[Booking Status])</f>
        <v>Rejected</v>
      </c>
      <c r="O86" t="str">
        <f>XLOOKUP(E86,[1]!Bookings[Booking Name],[1]!Bookings[Customer Name])</f>
        <v>hossam saeed abdel fattah</v>
      </c>
      <c r="P86" t="str">
        <f>XLOOKUP(E86,[1]!Bookings[Booking Name],[1]!Bookings[Nationality])</f>
        <v>-</v>
      </c>
      <c r="Q86">
        <f>XLOOKUP(E86,[1]!Bookings[Booking Name],[1]!Bookings[Discount Amount])</f>
        <v>-2736565.44</v>
      </c>
      <c r="R86">
        <f>XLOOKUP(E86,[1]!Bookings[Booking Name],[1]!Bookings[Discount Percentage])</f>
        <v>-0.041666666666666664</v>
      </c>
      <c r="S86">
        <f>XLOOKUP(E86,[1]!Bookings[Booking Name],[1]!Bookings[Final Sale Value After Discount])</f>
        <v>68414136</v>
      </c>
      <c r="T86">
        <f>XLOOKUP(E86,[1]!Bookings[Booking Name],[1]!Bookings[Inv Final Sale Value])</f>
        <v>65677570.56</v>
      </c>
      <c r="U86" t="str">
        <f>XLOOKUP(E86,[1]!Bookings[Booking Name],[1]!Bookings[Sales])</f>
        <v>Ahmed Arafat</v>
      </c>
      <c r="V86" t="str">
        <f>XLOOKUP(E86,[1]!Bookings[Booking Name],[1]!Bookings[Agency Name])</f>
        <v/>
      </c>
      <c r="W86" t="str">
        <f>XLOOKUP(E86,[1]!Bookings[Booking Name],[1]!Bookings[Booking ID])</f>
        <v>a03NM00000MpL49</v>
      </c>
      <c r="X86" t="str">
        <f>XLOOKUP(E86,[1]!Bookings[Booking Name],[1]!Bookings[Oracle Id])</f>
        <v>-</v>
      </c>
      <c r="Y86" t="str">
        <v>Not Available on Finance Tracker</v>
      </c>
      <c r="Z86" t="str">
        <v>No Payment</v>
      </c>
      <c r="AA86">
        <v>0</v>
      </c>
      <c r="AB86" t="str">
        <v>N/A</v>
      </c>
      <c r="AC86" t="str">
        <v>Cancelled due to Repricing</v>
      </c>
      <c r="AD86" t="str">
        <v>https://onedevelopmentuae-my.sharepoint.com/personal/n_araujo_oneuae_com/Documents/Desktop/Norton-Local/Requests/Rejected%20Bookings/Booking-1173%20-%20Booking%20Rejection%20Request.msg</v>
      </c>
      <c r="AE86" t="str">
        <v>Cancelled due to Repricing (Increase In Price)</v>
      </c>
      <c r="AF86" t="str">
        <v xml:space="preserve">Increase in Price requested by Hussien </v>
      </c>
    </row>
    <row r="87">
      <c r="B87" t="str">
        <v>November</v>
      </c>
      <c r="C87">
        <v>45975</v>
      </c>
      <c r="D87">
        <f>XLOOKUP(E87,[1]!Bookings[Booking Name],[1]!Bookings[Rejected Date])</f>
        <v>45981</v>
      </c>
      <c r="E87" t="str">
        <v>Booking-1167</v>
      </c>
      <c r="F87" t="str">
        <f>XLOOKUP(E87,[1]!Bookings[Booking Name],[1]!Bookings[Booking Status])</f>
        <v>Rejected</v>
      </c>
      <c r="G87">
        <f>XLOOKUP(E87,[1]!Bookings[Booking Name],[1]!Bookings[Booking Date])</f>
        <v>45972</v>
      </c>
      <c r="H87">
        <f>XLOOKUP(E87,[1]!Bookings[Booking Name],[1]!Bookings[Booking Aging])</f>
        <v>87</v>
      </c>
      <c r="I87" t="str">
        <f>XLOOKUP(E87,[1]!Bookings[Booking Name],[1]!Bookings[Project Name])</f>
        <v>Laguna Residence</v>
      </c>
      <c r="J87" t="str">
        <f>XLOOKUP(E87,[1]!Bookings[Booking Name],[1]!Bookings[Building])</f>
        <v>Tower A</v>
      </c>
      <c r="K87" t="str">
        <f>XLOOKUP(E87,[1]!Bookings[Booking Name],[1]!Bookings[Bedrooms])</f>
        <v>Studio</v>
      </c>
      <c r="L87" t="str">
        <f>XLOOKUP(E87,[1]!Bookings[Booking Name],[1]!Bookings[Unit No.])</f>
        <v>A2108</v>
      </c>
      <c r="M87" t="str">
        <f>XLOOKUP(E87,[1]!Bookings[Booking Name],[1]!Bookings[Inventory Unit Status])</f>
        <v>Blocked</v>
      </c>
      <c r="N87" t="str">
        <f>XLOOKUP(E87,[1]!Bookings[Booking Name],[1]!Bookings[Booking Status])</f>
        <v>Rejected</v>
      </c>
      <c r="O87" t="str">
        <f>XLOOKUP(E87,[1]!Bookings[Booking Name],[1]!Bookings[Customer Name])</f>
        <v>Mohamed Abdelhakim Elsayed Mahmoud Amer</v>
      </c>
      <c r="P87" t="str">
        <f>XLOOKUP(E87,[1]!Bookings[Booking Name],[1]!Bookings[Nationality])</f>
        <v>Egypt</v>
      </c>
      <c r="Q87">
        <f>XLOOKUP(E87,[1]!Bookings[Booking Name],[1]!Bookings[Discount Amount])</f>
        <v>39950</v>
      </c>
      <c r="R87">
        <f>XLOOKUP(E87,[1]!Bookings[Booking Name],[1]!Bookings[Discount Percentage])</f>
        <v>0.05</v>
      </c>
      <c r="S87">
        <f>XLOOKUP(E87,[1]!Bookings[Booking Name],[1]!Bookings[Final Sale Value After Discount])</f>
        <v>759050</v>
      </c>
      <c r="T87">
        <f>XLOOKUP(E87,[1]!Bookings[Booking Name],[1]!Bookings[Inv Final Sale Value])</f>
        <v>799000</v>
      </c>
      <c r="U87" t="str">
        <f>XLOOKUP(E87,[1]!Bookings[Booking Name],[1]!Bookings[Sales])</f>
        <v>Osama Elsharkasy</v>
      </c>
      <c r="V87" t="str">
        <f>XLOOKUP(E87,[1]!Bookings[Booking Name],[1]!Bookings[Agency Name])</f>
        <v/>
      </c>
      <c r="W87" t="str">
        <f>XLOOKUP(E87,[1]!Bookings[Booking Name],[1]!Bookings[Booking ID])</f>
        <v>a03NM00000Mk4gg</v>
      </c>
      <c r="X87" t="str">
        <f>XLOOKUP(E87,[1]!Bookings[Booking Name],[1]!Bookings[Oracle Id])</f>
        <v>-</v>
      </c>
      <c r="Y87" t="str">
        <v>Not Available on Finance Tracker</v>
      </c>
      <c r="Z87">
        <v>81900</v>
      </c>
      <c r="AA87">
        <v>0.10789803043277782</v>
      </c>
      <c r="AB87" t="str">
        <v>N/A</v>
      </c>
      <c r="AC87" t="str">
        <v>Unit Swapped with B518</v>
      </c>
      <c r="AD87" t="str">
        <v>https://onedevelopmentuae-my.sharepoint.com/personal/n_araujo_oneuae_com/Documents/Desktop/Norton-Local/Requests/Rejected%20Bookings/Booking-1167%20-%20Booking%20Rejection%20Request.pdf</v>
      </c>
      <c r="AE87" t="str">
        <v>Unit Swap - Approved by Management</v>
      </c>
      <c r="AF87" t="str">
        <v>Swapped from A2108 to B518</v>
      </c>
    </row>
    <row r="88">
      <c r="B88" t="str">
        <v>November</v>
      </c>
      <c r="C88">
        <v>45971</v>
      </c>
      <c r="D88">
        <f>XLOOKUP(E88,[1]!Bookings[Booking Name],[1]!Bookings[Rejected Date])</f>
        <v>45972</v>
      </c>
      <c r="E88" t="str">
        <v>Booking-1025</v>
      </c>
      <c r="F88" t="str">
        <f>XLOOKUP(E88,[1]!Bookings[Booking Name],[1]!Bookings[Booking Status])</f>
        <v>Rejected</v>
      </c>
      <c r="G88">
        <f>XLOOKUP(E88,[1]!Bookings[Booking Name],[1]!Bookings[Booking Date])</f>
        <v>45930</v>
      </c>
      <c r="H88">
        <f>XLOOKUP(E88,[1]!Bookings[Booking Name],[1]!Bookings[Booking Aging])</f>
        <v>129</v>
      </c>
      <c r="I88" t="str">
        <f>XLOOKUP(E88,[1]!Bookings[Booking Name],[1]!Bookings[Project Name])</f>
        <v>Do Dubai Island</v>
      </c>
      <c r="J88" t="str">
        <f>XLOOKUP(E88,[1]!Bookings[Booking Name],[1]!Bookings[Building])</f>
        <v>Tower 1</v>
      </c>
      <c r="K88" t="str">
        <f>XLOOKUP(E88,[1]!Bookings[Booking Name],[1]!Bookings[Bedrooms])</f>
        <v>Studio</v>
      </c>
      <c r="L88" t="str">
        <f>XLOOKUP(E88,[1]!Bookings[Booking Name],[1]!Bookings[Unit No.])</f>
        <v>110</v>
      </c>
      <c r="M88" t="str">
        <f>XLOOKUP(E88,[1]!Bookings[Booking Name],[1]!Bookings[Inventory Unit Status])</f>
        <v>SPA Executed</v>
      </c>
      <c r="N88" t="str">
        <f>XLOOKUP(E88,[1]!Bookings[Booking Name],[1]!Bookings[Booking Status])</f>
        <v>Rejected</v>
      </c>
      <c r="O88" t="str">
        <f>XLOOKUP(E88,[1]!Bookings[Booking Name],[1]!Bookings[Customer Name])</f>
        <v>Ekaterina Shipova</v>
      </c>
      <c r="P88" t="str">
        <f>XLOOKUP(E88,[1]!Bookings[Booking Name],[1]!Bookings[Nationality])</f>
        <v>Russia</v>
      </c>
      <c r="Q88">
        <f>XLOOKUP(E88,[1]!Bookings[Booking Name],[1]!Bookings[Discount Amount])</f>
        <v>0</v>
      </c>
      <c r="R88">
        <f>XLOOKUP(E88,[1]!Bookings[Booking Name],[1]!Bookings[Discount Percentage])</f>
        <v>0</v>
      </c>
      <c r="S88">
        <f>XLOOKUP(E88,[1]!Bookings[Booking Name],[1]!Bookings[Final Sale Value After Discount])</f>
        <v>1250000</v>
      </c>
      <c r="T88">
        <f>XLOOKUP(E88,[1]!Bookings[Booking Name],[1]!Bookings[Inv Final Sale Value])</f>
        <v>1250000</v>
      </c>
      <c r="U88" t="str">
        <f>XLOOKUP(E88,[1]!Bookings[Booking Name],[1]!Bookings[Sales])</f>
        <v>Gulnoz Khodjayeva</v>
      </c>
      <c r="V88" t="str">
        <f>XLOOKUP(E88,[1]!Bookings[Booking Name],[1]!Bookings[Agency Name])</f>
        <v>Home Liga Real Estate</v>
      </c>
      <c r="W88" t="str">
        <f>XLOOKUP(E88,[1]!Bookings[Booking Name],[1]!Bookings[Booking ID])</f>
        <v>a03J600000Bth7k</v>
      </c>
      <c r="X88" t="str">
        <f>XLOOKUP(E88,[1]!Bookings[Booking Name],[1]!Bookings[Oracle Id])</f>
        <v>-</v>
      </c>
      <c r="Y88" t="str">
        <v>Not Available on Finance Tracker</v>
      </c>
      <c r="Z88" t="str">
        <v>No Payment</v>
      </c>
      <c r="AA88">
        <v>0</v>
      </c>
      <c r="AB88" t="str">
        <v>N/A</v>
      </c>
      <c r="AC88" t="str">
        <v>Cancellation raised by Sales Director and approved by CCO</v>
      </c>
      <c r="AD88" t="str">
        <v>https://onedevelopmentuae-my.sharepoint.com/personal/n_araujo_oneuae_com/Documents/Desktop/Norton-Local/Requests/Rejected%20Bookings/Booking-1025%20-%20Booking%20Rejection%20Request.pdf</v>
      </c>
      <c r="AE88" t="str">
        <v>Cancellation raised by Sales Director</v>
      </c>
      <c r="AF88" t="str">
        <v>Amal El Gendy</v>
      </c>
    </row>
    <row r="89">
      <c r="B89" t="str">
        <v>November</v>
      </c>
      <c r="C89">
        <v>45971</v>
      </c>
      <c r="D89">
        <f>XLOOKUP(E89,[1]!Bookings[Booking Name],[1]!Bookings[Rejected Date])</f>
        <v>45972</v>
      </c>
      <c r="E89" t="str">
        <v>Booking-1114</v>
      </c>
      <c r="F89" t="str">
        <f>XLOOKUP(E89,[1]!Bookings[Booking Name],[1]!Bookings[Booking Status])</f>
        <v>Rejected</v>
      </c>
      <c r="G89">
        <f>XLOOKUP(E89,[1]!Bookings[Booking Name],[1]!Bookings[Booking Date])</f>
        <v>45961</v>
      </c>
      <c r="H89">
        <f>XLOOKUP(E89,[1]!Bookings[Booking Name],[1]!Bookings[Booking Aging])</f>
        <v>98</v>
      </c>
      <c r="I89" t="str">
        <f>XLOOKUP(E89,[1]!Bookings[Booking Name],[1]!Bookings[Project Name])</f>
        <v>Laguna Residence</v>
      </c>
      <c r="J89" t="str">
        <f>XLOOKUP(E89,[1]!Bookings[Booking Name],[1]!Bookings[Building])</f>
        <v>Tower B</v>
      </c>
      <c r="K89" t="str">
        <f>XLOOKUP(E89,[1]!Bookings[Booking Name],[1]!Bookings[Bedrooms])</f>
        <v>Studio</v>
      </c>
      <c r="L89" t="str">
        <f>XLOOKUP(E89,[1]!Bookings[Booking Name],[1]!Bookings[Unit No.])</f>
        <v>B714</v>
      </c>
      <c r="M89" t="str">
        <f>XLOOKUP(E89,[1]!Bookings[Booking Name],[1]!Bookings[Inventory Unit Status])</f>
        <v>Blocked</v>
      </c>
      <c r="N89" t="str">
        <f>XLOOKUP(E89,[1]!Bookings[Booking Name],[1]!Bookings[Booking Status])</f>
        <v>Rejected</v>
      </c>
      <c r="O89" t="str">
        <f>XLOOKUP(E89,[1]!Bookings[Booking Name],[1]!Bookings[Customer Name])</f>
        <v>Albina Mkrtchyan</v>
      </c>
      <c r="P89" t="str">
        <f>XLOOKUP(E89,[1]!Bookings[Booking Name],[1]!Bookings[Nationality])</f>
        <v>Armenia</v>
      </c>
      <c r="Q89">
        <f>XLOOKUP(E89,[1]!Bookings[Booking Name],[1]!Bookings[Discount Amount])</f>
        <v>0</v>
      </c>
      <c r="R89">
        <f>XLOOKUP(E89,[1]!Bookings[Booking Name],[1]!Bookings[Discount Percentage])</f>
        <v>0</v>
      </c>
      <c r="S89">
        <f>XLOOKUP(E89,[1]!Bookings[Booking Name],[1]!Bookings[Final Sale Value After Discount])</f>
        <v>832000</v>
      </c>
      <c r="T89">
        <f>XLOOKUP(E89,[1]!Bookings[Booking Name],[1]!Bookings[Inv Final Sale Value])</f>
        <v>832000</v>
      </c>
      <c r="U89" t="str">
        <f>XLOOKUP(E89,[1]!Bookings[Booking Name],[1]!Bookings[Sales])</f>
        <v>Zarina Avdalian</v>
      </c>
      <c r="V89" t="str">
        <f>XLOOKUP(E89,[1]!Bookings[Booking Name],[1]!Bookings[Agency Name])</f>
        <v>ALBINA MKRTCHYAN REAL ESTATE</v>
      </c>
      <c r="W89" t="str">
        <f>XLOOKUP(E89,[1]!Bookings[Booking Name],[1]!Bookings[Booking ID])</f>
        <v>a03J600000FmbGz</v>
      </c>
      <c r="X89" t="str">
        <f>XLOOKUP(E89,[1]!Bookings[Booking Name],[1]!Bookings[Oracle Id])</f>
        <v>-</v>
      </c>
      <c r="Y89" t="str">
        <v>Not Available on Finance Tracker</v>
      </c>
      <c r="Z89" t="str">
        <v>No Payment</v>
      </c>
      <c r="AA89">
        <v>0</v>
      </c>
      <c r="AB89" t="str">
        <v>N/A</v>
      </c>
      <c r="AC89" t="str">
        <v>Customer requested to cancel</v>
      </c>
      <c r="AD89" t="str">
        <v>https://onedevelopmentuae-my.sharepoint.com/personal/n_araujo_oneuae_com/Documents/Desktop/Norton-Local/Requests/Rejected%20Bookings/Booking-1114%20-Booking%20Rejection%20Request.pdf</v>
      </c>
      <c r="AE89" t="str">
        <v>Customer requested to cancel</v>
      </c>
      <c r="AF89" t="str">
        <v>Customer is unable to continue with the Purchase</v>
      </c>
    </row>
    <row r="90">
      <c r="B90" t="str">
        <v>November</v>
      </c>
      <c r="C90">
        <v>45971</v>
      </c>
      <c r="D90">
        <f>XLOOKUP(E90,[1]!Bookings[Booking Name],[1]!Bookings[Rejected Date])</f>
        <v>45972</v>
      </c>
      <c r="E90" t="str">
        <v>Booking-1110</v>
      </c>
      <c r="F90" t="str">
        <f>XLOOKUP(E90,[1]!Bookings[Booking Name],[1]!Bookings[Booking Status])</f>
        <v>Rejected</v>
      </c>
      <c r="G90">
        <f>XLOOKUP(E90,[1]!Bookings[Booking Name],[1]!Bookings[Booking Date])</f>
        <v>45961</v>
      </c>
      <c r="H90">
        <f>XLOOKUP(E90,[1]!Bookings[Booking Name],[1]!Bookings[Booking Aging])</f>
        <v>98</v>
      </c>
      <c r="I90" t="str">
        <f>XLOOKUP(E90,[1]!Bookings[Booking Name],[1]!Bookings[Project Name])</f>
        <v>Laguna Residence</v>
      </c>
      <c r="J90" t="str">
        <f>XLOOKUP(E90,[1]!Bookings[Booking Name],[1]!Bookings[Building])</f>
        <v>Tower B</v>
      </c>
      <c r="K90" t="str">
        <f>XLOOKUP(E90,[1]!Bookings[Booking Name],[1]!Bookings[Bedrooms])</f>
        <v>Studio</v>
      </c>
      <c r="L90" t="str">
        <f>XLOOKUP(E90,[1]!Bookings[Booking Name],[1]!Bookings[Unit No.])</f>
        <v>B911</v>
      </c>
      <c r="M90" t="str">
        <f>XLOOKUP(E90,[1]!Bookings[Booking Name],[1]!Bookings[Inventory Unit Status])</f>
        <v>Blocked</v>
      </c>
      <c r="N90" t="str">
        <f>XLOOKUP(E90,[1]!Bookings[Booking Name],[1]!Bookings[Booking Status])</f>
        <v>Rejected</v>
      </c>
      <c r="O90" t="str">
        <f>XLOOKUP(E90,[1]!Bookings[Booking Name],[1]!Bookings[Customer Name])</f>
        <v>Gor Keshishoghlyan</v>
      </c>
      <c r="P90" t="str">
        <f>XLOOKUP(E90,[1]!Bookings[Booking Name],[1]!Bookings[Nationality])</f>
        <v>Armenia</v>
      </c>
      <c r="Q90">
        <f>XLOOKUP(E90,[1]!Bookings[Booking Name],[1]!Bookings[Discount Amount])</f>
        <v>0</v>
      </c>
      <c r="R90">
        <f>XLOOKUP(E90,[1]!Bookings[Booking Name],[1]!Bookings[Discount Percentage])</f>
        <v>0</v>
      </c>
      <c r="S90">
        <f>XLOOKUP(E90,[1]!Bookings[Booking Name],[1]!Bookings[Final Sale Value After Discount])</f>
        <v>832000</v>
      </c>
      <c r="T90">
        <f>XLOOKUP(E90,[1]!Bookings[Booking Name],[1]!Bookings[Inv Final Sale Value])</f>
        <v>832000</v>
      </c>
      <c r="U90" t="str">
        <f>XLOOKUP(E90,[1]!Bookings[Booking Name],[1]!Bookings[Sales])</f>
        <v>Zarina Avdalian</v>
      </c>
      <c r="V90" t="str">
        <f>XLOOKUP(E90,[1]!Bookings[Booking Name],[1]!Bookings[Agency Name])</f>
        <v>ALBINA MKRTCHYAN REAL ESTATE</v>
      </c>
      <c r="W90" t="str">
        <f>XLOOKUP(E90,[1]!Bookings[Booking Name],[1]!Bookings[Booking ID])</f>
        <v>a03J600000Fmam0</v>
      </c>
      <c r="X90" t="str">
        <f>XLOOKUP(E90,[1]!Bookings[Booking Name],[1]!Bookings[Oracle Id])</f>
        <v>-</v>
      </c>
      <c r="Y90" t="str">
        <v>Not Available on Finance Tracker</v>
      </c>
      <c r="Z90">
        <v>9000</v>
      </c>
      <c r="AA90">
        <v>0.010817307692307692</v>
      </c>
      <c r="AB90" t="str">
        <v>No</v>
      </c>
      <c r="AC90" t="str">
        <v>Customer requested to cancel</v>
      </c>
      <c r="AD90" t="str">
        <v>https://onedevelopmentuae-my.sharepoint.com/personal/n_araujo_oneuae_com/Documents/Desktop/Norton-Local/Requests/Rejected%20Bookings/Booking-1110%20-%20Booking%20Rejection%20Request.pdf</v>
      </c>
      <c r="AE90" t="str">
        <v>Customer requested to cancel</v>
      </c>
      <c r="AF90" t="str">
        <v>Customer is unable to continue with the Purchase</v>
      </c>
    </row>
    <row r="91">
      <c r="B91" t="str">
        <v>November</v>
      </c>
      <c r="C91">
        <v>45966</v>
      </c>
      <c r="D91">
        <f>XLOOKUP(E91,[1]!Bookings[Booking Name],[1]!Bookings[Rejected Date])</f>
        <v>45968</v>
      </c>
      <c r="E91" t="str">
        <v>Booking-1133</v>
      </c>
      <c r="F91" t="str">
        <f>XLOOKUP(E91,[1]!Bookings[Booking Name],[1]!Bookings[Booking Status])</f>
        <v>Rejected</v>
      </c>
      <c r="G91">
        <f>XLOOKUP(E91,[1]!Bookings[Booking Name],[1]!Bookings[Booking Date])</f>
        <v>45961</v>
      </c>
      <c r="H91">
        <f>XLOOKUP(E91,[1]!Bookings[Booking Name],[1]!Bookings[Booking Aging])</f>
        <v>98</v>
      </c>
      <c r="I91" t="str">
        <f>XLOOKUP(E91,[1]!Bookings[Booking Name],[1]!Bookings[Project Name])</f>
        <v>Laguna Residence</v>
      </c>
      <c r="J91" t="str">
        <f>XLOOKUP(E91,[1]!Bookings[Booking Name],[1]!Bookings[Building])</f>
        <v>Tower B</v>
      </c>
      <c r="K91" t="str">
        <f>XLOOKUP(E91,[1]!Bookings[Booking Name],[1]!Bookings[Bedrooms])</f>
        <v>Studio</v>
      </c>
      <c r="L91" t="str">
        <f>XLOOKUP(E91,[1]!Bookings[Booking Name],[1]!Bookings[Unit No.])</f>
        <v>B412</v>
      </c>
      <c r="M91" t="str">
        <f>XLOOKUP(E91,[1]!Bookings[Booking Name],[1]!Bookings[Inventory Unit Status])</f>
        <v>Blocked</v>
      </c>
      <c r="N91" t="str">
        <f>XLOOKUP(E91,[1]!Bookings[Booking Name],[1]!Bookings[Booking Status])</f>
        <v>Rejected</v>
      </c>
      <c r="O91" t="str">
        <f>XLOOKUP(E91,[1]!Bookings[Booking Name],[1]!Bookings[Customer Name])</f>
        <v>Omar Mohamed Mohamed  Ibrahim</v>
      </c>
      <c r="P91" t="str">
        <f>XLOOKUP(E91,[1]!Bookings[Booking Name],[1]!Bookings[Nationality])</f>
        <v>Egypt</v>
      </c>
      <c r="Q91">
        <f>XLOOKUP(E91,[1]!Bookings[Booking Name],[1]!Bookings[Discount Amount])</f>
        <v>0</v>
      </c>
      <c r="R91">
        <f>XLOOKUP(E91,[1]!Bookings[Booking Name],[1]!Bookings[Discount Percentage])</f>
        <v>0</v>
      </c>
      <c r="S91">
        <f>XLOOKUP(E91,[1]!Bookings[Booking Name],[1]!Bookings[Final Sale Value After Discount])</f>
        <v>848000</v>
      </c>
      <c r="T91">
        <f>XLOOKUP(E91,[1]!Bookings[Booking Name],[1]!Bookings[Inv Final Sale Value])</f>
        <v>848000</v>
      </c>
      <c r="U91" t="str">
        <f>XLOOKUP(E91,[1]!Bookings[Booking Name],[1]!Bookings[Sales])</f>
        <v>Shady Amin</v>
      </c>
      <c r="V91" t="str">
        <f>XLOOKUP(E91,[1]!Bookings[Booking Name],[1]!Bookings[Agency Name])</f>
        <v/>
      </c>
      <c r="W91" t="str">
        <f>XLOOKUP(E91,[1]!Bookings[Booking Name],[1]!Bookings[Booking ID])</f>
        <v>a03J600000Fmbe8</v>
      </c>
      <c r="X91" t="str">
        <f>XLOOKUP(E91,[1]!Bookings[Booking Name],[1]!Bookings[Oracle Id])</f>
        <v>-</v>
      </c>
      <c r="Y91" t="str">
        <v>Not Available on Finance Tracker</v>
      </c>
      <c r="Z91">
        <v>3675</v>
      </c>
      <c r="AA91">
        <v>0.0043337264150943395</v>
      </c>
      <c r="AB91" t="str">
        <v>Yes</v>
      </c>
      <c r="AC91" t="str">
        <v>Customer requested to cancel as it is out of his budget</v>
      </c>
      <c r="AD91" t="str">
        <v>https://onedevelopmentuae-my.sharepoint.com/personal/n_araujo_oneuae_com/Documents/Desktop/Norton-Local/Requests/Rejected%20Bookings/Booking-1133%20-%20Booking%20Rejection%20Request.pdf</v>
      </c>
      <c r="AE91" t="str">
        <v>Customer requested to cancel</v>
      </c>
      <c r="AF91" t="str">
        <v>Customer is unable to continue with the Purchase</v>
      </c>
    </row>
    <row r="92">
      <c r="B92" t="str">
        <v>Novemeber</v>
      </c>
      <c r="C92">
        <v>45965</v>
      </c>
      <c r="D92">
        <f>XLOOKUP(E92,[1]!Bookings[Booking Name],[1]!Bookings[Rejected Date])</f>
        <v>45968</v>
      </c>
      <c r="E92" t="str">
        <v>Booking-1129</v>
      </c>
      <c r="F92" t="str">
        <f>XLOOKUP(E92,[1]!Bookings[Booking Name],[1]!Bookings[Booking Status])</f>
        <v>Rejected</v>
      </c>
      <c r="G92">
        <f>XLOOKUP(E92,[1]!Bookings[Booking Name],[1]!Bookings[Booking Date])</f>
        <v>45961</v>
      </c>
      <c r="H92">
        <f>XLOOKUP(E92,[1]!Bookings[Booking Name],[1]!Bookings[Booking Aging])</f>
        <v>98</v>
      </c>
      <c r="I92" t="str">
        <f>XLOOKUP(E92,[1]!Bookings[Booking Name],[1]!Bookings[Project Name])</f>
        <v>Laguna Residence</v>
      </c>
      <c r="J92" t="str">
        <f>XLOOKUP(E92,[1]!Bookings[Booking Name],[1]!Bookings[Building])</f>
        <v>Tower A</v>
      </c>
      <c r="K92" t="str">
        <f>XLOOKUP(E92,[1]!Bookings[Booking Name],[1]!Bookings[Bedrooms])</f>
        <v>Studio</v>
      </c>
      <c r="L92" t="str">
        <f>XLOOKUP(E92,[1]!Bookings[Booking Name],[1]!Bookings[Unit No.])</f>
        <v>A1619</v>
      </c>
      <c r="M92" t="str">
        <f>XLOOKUP(E92,[1]!Bookings[Booking Name],[1]!Bookings[Inventory Unit Status])</f>
        <v>Blocked</v>
      </c>
      <c r="N92" t="str">
        <f>XLOOKUP(E92,[1]!Bookings[Booking Name],[1]!Bookings[Booking Status])</f>
        <v>Rejected</v>
      </c>
      <c r="O92" t="str">
        <f>XLOOKUP(E92,[1]!Bookings[Booking Name],[1]!Bookings[Customer Name])</f>
        <v>Roman Alexandrovich Grichanchenko</v>
      </c>
      <c r="P92" t="str">
        <f>XLOOKUP(E92,[1]!Bookings[Booking Name],[1]!Bookings[Nationality])</f>
        <v>Russia</v>
      </c>
      <c r="Q92">
        <f>XLOOKUP(E92,[1]!Bookings[Booking Name],[1]!Bookings[Discount Amount])</f>
        <v>0</v>
      </c>
      <c r="R92">
        <f>XLOOKUP(E92,[1]!Bookings[Booking Name],[1]!Bookings[Discount Percentage])</f>
        <v>0</v>
      </c>
      <c r="S92">
        <f>XLOOKUP(E92,[1]!Bookings[Booking Name],[1]!Bookings[Final Sale Value After Discount])</f>
        <v>857000</v>
      </c>
      <c r="T92">
        <f>XLOOKUP(E92,[1]!Bookings[Booking Name],[1]!Bookings[Inv Final Sale Value])</f>
        <v>857000</v>
      </c>
      <c r="U92" t="str">
        <f>XLOOKUP(E92,[1]!Bookings[Booking Name],[1]!Bookings[Sales])</f>
        <v>Ahmed Eissa</v>
      </c>
      <c r="V92" t="str">
        <f>XLOOKUP(E92,[1]!Bookings[Booking Name],[1]!Bookings[Agency Name])</f>
        <v>FIDU PROPERTY REAL ESTATE BROKERAGE</v>
      </c>
      <c r="W92" t="str">
        <f>XLOOKUP(E92,[1]!Bookings[Booking Name],[1]!Bookings[Booking ID])</f>
        <v>a03J600000Fmbp1</v>
      </c>
      <c r="X92" t="str">
        <f>XLOOKUP(E92,[1]!Bookings[Booking Name],[1]!Bookings[Oracle Id])</f>
        <v>-</v>
      </c>
      <c r="Y92" t="str">
        <v>Not Available on Finance Tracker</v>
      </c>
      <c r="Z92" t="str">
        <v>No Payment</v>
      </c>
      <c r="AA92">
        <v>0</v>
      </c>
      <c r="AB92" t="str">
        <v>No</v>
      </c>
      <c r="AC92" t="str">
        <v>Booking was created under wrong unit A1619 during Booking process</v>
      </c>
      <c r="AD92" t="str">
        <v>https://onedevelopmentuae-my.sharepoint.com/personal/n_araujo_oneuae_com/Documents/Desktop/Norton-Local/Requests/Rejected%20Bookings/Booking-1129%20-%20Booking%20Rejection%20Request.msg</v>
      </c>
      <c r="AE92" t="str">
        <v>Cancelled due to Duplicate Booking</v>
      </c>
      <c r="AF92" t="str">
        <v>Duplicate Booking</v>
      </c>
    </row>
    <row r="93">
      <c r="B93" t="str">
        <v>November</v>
      </c>
      <c r="C93">
        <v>45964</v>
      </c>
      <c r="D93">
        <f>XLOOKUP(E93,[1]!Bookings[Booking Name],[1]!Bookings[Rejected Date])</f>
        <v>45966</v>
      </c>
      <c r="E93" t="str">
        <v>Booking-1147</v>
      </c>
      <c r="F93" t="str">
        <f>XLOOKUP(E93,[1]!Bookings[Booking Name],[1]!Bookings[Booking Status])</f>
        <v>Rejected</v>
      </c>
      <c r="G93">
        <f>XLOOKUP(E93,[1]!Bookings[Booking Name],[1]!Bookings[Booking Date])</f>
        <v>45964</v>
      </c>
      <c r="H93">
        <f>XLOOKUP(E93,[1]!Bookings[Booking Name],[1]!Bookings[Booking Aging])</f>
        <v>95</v>
      </c>
      <c r="I93" t="str">
        <f>XLOOKUP(E93,[1]!Bookings[Booking Name],[1]!Bookings[Project Name])</f>
        <v>Laguna Residence</v>
      </c>
      <c r="J93" t="str">
        <f>XLOOKUP(E93,[1]!Bookings[Booking Name],[1]!Bookings[Building])</f>
        <v>Tower B</v>
      </c>
      <c r="K93" t="str">
        <f>XLOOKUP(E93,[1]!Bookings[Booking Name],[1]!Bookings[Bedrooms])</f>
        <v>Studio</v>
      </c>
      <c r="L93" t="str">
        <f>XLOOKUP(E93,[1]!Bookings[Booking Name],[1]!Bookings[Unit No.])</f>
        <v>B1312</v>
      </c>
      <c r="M93" t="str">
        <f>XLOOKUP(E93,[1]!Bookings[Booking Name],[1]!Bookings[Inventory Unit Status])</f>
        <v>Booked</v>
      </c>
      <c r="N93" t="str">
        <f>XLOOKUP(E93,[1]!Bookings[Booking Name],[1]!Bookings[Booking Status])</f>
        <v>Rejected</v>
      </c>
      <c r="O93" t="str">
        <f>XLOOKUP(E93,[1]!Bookings[Booking Name],[1]!Bookings[Customer Name])</f>
        <v>Hagop Karapetjan</v>
      </c>
      <c r="P93" t="str">
        <f>XLOOKUP(E93,[1]!Bookings[Booking Name],[1]!Bookings[Nationality])</f>
        <v>Netherlands</v>
      </c>
      <c r="Q93">
        <f>XLOOKUP(E93,[1]!Bookings[Booking Name],[1]!Bookings[Discount Amount])</f>
        <v>0</v>
      </c>
      <c r="R93">
        <f>XLOOKUP(E93,[1]!Bookings[Booking Name],[1]!Bookings[Discount Percentage])</f>
        <v>0</v>
      </c>
      <c r="S93">
        <f>XLOOKUP(E93,[1]!Bookings[Booking Name],[1]!Bookings[Final Sale Value After Discount])</f>
        <v>813000</v>
      </c>
      <c r="T93">
        <f>XLOOKUP(E93,[1]!Bookings[Booking Name],[1]!Bookings[Inv Final Sale Value])</f>
        <v>813000</v>
      </c>
      <c r="U93" t="str">
        <f>XLOOKUP(E93,[1]!Bookings[Booking Name],[1]!Bookings[Sales])</f>
        <v>Jude Kwakye</v>
      </c>
      <c r="V93" t="str">
        <f>XLOOKUP(E93,[1]!Bookings[Booking Name],[1]!Bookings[Agency Name])</f>
        <v>EMIRALD REAL ESTATE</v>
      </c>
      <c r="W93" t="str">
        <f>XLOOKUP(E93,[1]!Bookings[Booking Name],[1]!Bookings[Booking ID])</f>
        <v>a03NM00000M57D1</v>
      </c>
      <c r="X93" t="str">
        <f>XLOOKUP(E93,[1]!Bookings[Booking Name],[1]!Bookings[Oracle Id])</f>
        <v>-</v>
      </c>
      <c r="Y93" t="str">
        <v>Not Available on Finance Tracker</v>
      </c>
      <c r="Z93">
        <v>8948</v>
      </c>
      <c r="AA93">
        <v>0.011006150061500615</v>
      </c>
      <c r="AB93" t="str">
        <v>Yes</v>
      </c>
      <c r="AC93" t="str">
        <v>Cancelled as unit is not part of promotional offer list - Refund Approved by Management</v>
      </c>
      <c r="AD93" t="str">
        <v>https://onedevelopmentuae-my.sharepoint.com/personal/n_araujo_oneuae_com/Documents/Desktop/Norton-Local/Requests/Rejected%20Bookings/Booking-1147%20-%20Booking%20Rejection%20Request.msg</v>
      </c>
      <c r="AE93" t="str">
        <v>Unit Not Part of Promotional List - Refund Approved by Management</v>
      </c>
      <c r="AF93" t="str">
        <v>Refund approved by Management</v>
      </c>
    </row>
    <row r="94">
      <c r="B94" t="str">
        <v>November</v>
      </c>
      <c r="C94">
        <v>45964</v>
      </c>
      <c r="D94">
        <f>XLOOKUP(E94,[1]!Bookings[Booking Name],[1]!Bookings[Rejected Date])</f>
        <v>45968</v>
      </c>
      <c r="E94" t="str">
        <v>Booking-1112</v>
      </c>
      <c r="F94" t="str">
        <f>XLOOKUP(E94,[1]!Bookings[Booking Name],[1]!Bookings[Booking Status])</f>
        <v>Rejected</v>
      </c>
      <c r="G94">
        <f>XLOOKUP(E94,[1]!Bookings[Booking Name],[1]!Bookings[Booking Date])</f>
        <v>45961</v>
      </c>
      <c r="H94">
        <f>XLOOKUP(E94,[1]!Bookings[Booking Name],[1]!Bookings[Booking Aging])</f>
        <v>98</v>
      </c>
      <c r="I94" t="str">
        <f>XLOOKUP(E94,[1]!Bookings[Booking Name],[1]!Bookings[Project Name])</f>
        <v>Laguna Residence</v>
      </c>
      <c r="J94" t="str">
        <f>XLOOKUP(E94,[1]!Bookings[Booking Name],[1]!Bookings[Building])</f>
        <v>Tower B</v>
      </c>
      <c r="K94" t="str">
        <f>XLOOKUP(E94,[1]!Bookings[Booking Name],[1]!Bookings[Bedrooms])</f>
        <v>Studio</v>
      </c>
      <c r="L94" t="str">
        <f>XLOOKUP(E94,[1]!Bookings[Booking Name],[1]!Bookings[Unit No.])</f>
        <v>B1912</v>
      </c>
      <c r="M94" t="str">
        <f>XLOOKUP(E94,[1]!Bookings[Booking Name],[1]!Bookings[Inventory Unit Status])</f>
        <v>Blocked</v>
      </c>
      <c r="N94" t="str">
        <f>XLOOKUP(E94,[1]!Bookings[Booking Name],[1]!Bookings[Booking Status])</f>
        <v>Rejected</v>
      </c>
      <c r="O94" t="str">
        <f>XLOOKUP(E94,[1]!Bookings[Booking Name],[1]!Bookings[Customer Name])</f>
        <v>Hagop Karapetjan</v>
      </c>
      <c r="P94" t="str">
        <f>XLOOKUP(E94,[1]!Bookings[Booking Name],[1]!Bookings[Nationality])</f>
        <v>Netherlands</v>
      </c>
      <c r="Q94">
        <f>XLOOKUP(E94,[1]!Bookings[Booking Name],[1]!Bookings[Discount Amount])</f>
        <v>0</v>
      </c>
      <c r="R94">
        <f>XLOOKUP(E94,[1]!Bookings[Booking Name],[1]!Bookings[Discount Percentage])</f>
        <v>0</v>
      </c>
      <c r="S94">
        <f>XLOOKUP(E94,[1]!Bookings[Booking Name],[1]!Bookings[Final Sale Value After Discount])</f>
        <v>873000</v>
      </c>
      <c r="T94">
        <f>XLOOKUP(E94,[1]!Bookings[Booking Name],[1]!Bookings[Inv Final Sale Value])</f>
        <v>873000</v>
      </c>
      <c r="U94" t="str">
        <f>XLOOKUP(E94,[1]!Bookings[Booking Name],[1]!Bookings[Sales])</f>
        <v>Jude Kwakye</v>
      </c>
      <c r="V94" t="str">
        <f>XLOOKUP(E94,[1]!Bookings[Booking Name],[1]!Bookings[Agency Name])</f>
        <v>EMIRALD REAL ESTATE</v>
      </c>
      <c r="W94" t="str">
        <f>XLOOKUP(E94,[1]!Bookings[Booking Name],[1]!Bookings[Booking ID])</f>
        <v>a03J600000FmbAw</v>
      </c>
      <c r="X94" t="str">
        <f>XLOOKUP(E94,[1]!Bookings[Booking Name],[1]!Bookings[Oracle Id])</f>
        <v>-</v>
      </c>
      <c r="Y94" t="str">
        <v>Not Available on Finance Tracker</v>
      </c>
      <c r="Z94" t="str">
        <v>No Payment</v>
      </c>
      <c r="AA94">
        <v>0</v>
      </c>
      <c r="AB94" t="str">
        <v>No</v>
      </c>
      <c r="AC94" t="str">
        <v>Unit Swapped with B1312 as approved by Management</v>
      </c>
      <c r="AD94" t="str">
        <v>https://onedevelopmentuae-my.sharepoint.com/personal/n_araujo_oneuae_com/Documents/Desktop/Norton-Local/Requests/Rejected%20Bookings/Booking-1112%20-%20Booking%20Rejection%20Request.msg</v>
      </c>
      <c r="AE94" t="str">
        <v>Unit Swap - Approved by Management</v>
      </c>
      <c r="AF94" t="str">
        <v>Swapped from B1912 to B1312</v>
      </c>
    </row>
    <row r="95" xml:space="preserve">
      <c r="B95" t="str">
        <v>November</v>
      </c>
      <c r="C95">
        <v>45962</v>
      </c>
      <c r="D95">
        <f>XLOOKUP(E95,[1]!Bookings[Booking Name],[1]!Bookings[Rejected Date])</f>
        <v>45964</v>
      </c>
      <c r="E95" t="str">
        <v>Booking-1028</v>
      </c>
      <c r="F95" t="str">
        <f>XLOOKUP(E95,[1]!Bookings[Booking Name],[1]!Bookings[Booking Status])</f>
        <v>Rejected</v>
      </c>
      <c r="G95">
        <f>XLOOKUP(E95,[1]!Bookings[Booking Name],[1]!Bookings[Booking Date])</f>
        <v>45931</v>
      </c>
      <c r="H95">
        <f>XLOOKUP(E95,[1]!Bookings[Booking Name],[1]!Bookings[Booking Aging])</f>
        <v>128</v>
      </c>
      <c r="I95" t="str">
        <f>XLOOKUP(E95,[1]!Bookings[Booking Name],[1]!Bookings[Project Name])</f>
        <v>Laguna Residence</v>
      </c>
      <c r="J95" t="str">
        <f>XLOOKUP(E95,[1]!Bookings[Booking Name],[1]!Bookings[Building])</f>
        <v>Tower A</v>
      </c>
      <c r="K95" t="str">
        <f>XLOOKUP(E95,[1]!Bookings[Booking Name],[1]!Bookings[Bedrooms])</f>
        <v>Studio</v>
      </c>
      <c r="L95" t="str">
        <f>XLOOKUP(E95,[1]!Bookings[Booking Name],[1]!Bookings[Unit No.])</f>
        <v>A418</v>
      </c>
      <c r="M95" t="str">
        <f>XLOOKUP(E95,[1]!Bookings[Booking Name],[1]!Bookings[Inventory Unit Status])</f>
        <v>SPA Executed</v>
      </c>
      <c r="N95" t="str">
        <f>XLOOKUP(E95,[1]!Bookings[Booking Name],[1]!Bookings[Booking Status])</f>
        <v>Rejected</v>
      </c>
      <c r="O95" t="str">
        <f>XLOOKUP(E95,[1]!Bookings[Booking Name],[1]!Bookings[Customer Name])</f>
        <v>Yara Mohammad Alloush</v>
      </c>
      <c r="P95" t="str">
        <f>XLOOKUP(E95,[1]!Bookings[Booking Name],[1]!Bookings[Nationality])</f>
        <v>Syria</v>
      </c>
      <c r="Q95">
        <f>XLOOKUP(E95,[1]!Bookings[Booking Name],[1]!Bookings[Discount Amount])</f>
        <v>23310</v>
      </c>
      <c r="R95">
        <f>XLOOKUP(E95,[1]!Bookings[Booking Name],[1]!Bookings[Discount Percentage])</f>
        <v>0.03</v>
      </c>
      <c r="S95">
        <f>XLOOKUP(E95,[1]!Bookings[Booking Name],[1]!Bookings[Final Sale Value After Discount])</f>
        <v>753690</v>
      </c>
      <c r="T95">
        <f>XLOOKUP(E95,[1]!Bookings[Booking Name],[1]!Bookings[Inv Final Sale Value])</f>
        <v>777000</v>
      </c>
      <c r="U95" t="str">
        <f>XLOOKUP(E95,[1]!Bookings[Booking Name],[1]!Bookings[Sales])</f>
        <v>Yara Haddad</v>
      </c>
      <c r="V95" t="str">
        <f>XLOOKUP(E95,[1]!Bookings[Booking Name],[1]!Bookings[Agency Name])</f>
        <v>STARS AND SANDS PROPERTIES L.L.C</v>
      </c>
      <c r="W95" t="str">
        <f>XLOOKUP(E95,[1]!Bookings[Booking Name],[1]!Bookings[Booking ID])</f>
        <v>a03J600000Btkky</v>
      </c>
      <c r="X95" t="str">
        <f>XLOOKUP(E95,[1]!Bookings[Booking Name],[1]!Bookings[Oracle Id])</f>
        <v>-</v>
      </c>
      <c r="Y95" t="str">
        <v>Not Available on Finance Tracker</v>
      </c>
      <c r="Z95">
        <v>10000</v>
      </c>
      <c r="AA95">
        <v>0.013268054505167907</v>
      </c>
      <c r="AB95" t="str">
        <v>Yes</v>
      </c>
      <c r="AC95" t="str" xml:space="preserve">
        <v xml:space="preserve">Customer requested to cancel Booking and for the paid amount to be refunded._x000d_
Refund approved by Management</v>
      </c>
      <c r="AD95" t="str">
        <v>https://onedevelopmentuae-my.sharepoint.com/personal/n_araujo_oneuae_com/Documents/Desktop/Norton-Local/Requests/Rejected%20Bookings/Booking-1028%20-%20Booking%20Rejection%20Request.msg</v>
      </c>
      <c r="AE95" t="str">
        <v>Customer requested to cancel</v>
      </c>
      <c r="AF95" t="str">
        <v>Customer is unable to continue with the Purchase - Refund Requested</v>
      </c>
    </row>
    <row r="96">
      <c r="B96" t="str">
        <v>October</v>
      </c>
      <c r="C96">
        <v>45961</v>
      </c>
      <c r="D96">
        <f>XLOOKUP(E96,[1]!Bookings[Booking Name],[1]!Bookings[Rejected Date])</f>
        <v>45968</v>
      </c>
      <c r="E96" t="str">
        <v>Booking-1108</v>
      </c>
      <c r="F96" t="str">
        <f>XLOOKUP(E96,[1]!Bookings[Booking Name],[1]!Bookings[Booking Status])</f>
        <v>Rejected</v>
      </c>
      <c r="G96">
        <f>XLOOKUP(E96,[1]!Bookings[Booking Name],[1]!Bookings[Booking Date])</f>
        <v>45961</v>
      </c>
      <c r="H96">
        <f>XLOOKUP(E96,[1]!Bookings[Booking Name],[1]!Bookings[Booking Aging])</f>
        <v>98</v>
      </c>
      <c r="I96" t="str">
        <f>XLOOKUP(E96,[1]!Bookings[Booking Name],[1]!Bookings[Project Name])</f>
        <v>Laguna Residence</v>
      </c>
      <c r="J96" t="str">
        <f>XLOOKUP(E96,[1]!Bookings[Booking Name],[1]!Bookings[Building])</f>
        <v>Tower B</v>
      </c>
      <c r="K96" t="str">
        <f>XLOOKUP(E96,[1]!Bookings[Booking Name],[1]!Bookings[Bedrooms])</f>
        <v>Studio</v>
      </c>
      <c r="L96" t="str">
        <f>XLOOKUP(E96,[1]!Bookings[Booking Name],[1]!Bookings[Unit No.])</f>
        <v>B2714</v>
      </c>
      <c r="M96" t="str">
        <f>XLOOKUP(E96,[1]!Bookings[Booking Name],[1]!Bookings[Inventory Unit Status])</f>
        <v>Blocked</v>
      </c>
      <c r="N96" t="str">
        <f>XLOOKUP(E96,[1]!Bookings[Booking Name],[1]!Bookings[Booking Status])</f>
        <v>Rejected</v>
      </c>
      <c r="O96" t="str">
        <f>XLOOKUP(E96,[1]!Bookings[Booking Name],[1]!Bookings[Customer Name])</f>
        <v>Hagop Karapetjan</v>
      </c>
      <c r="P96" t="str">
        <f>XLOOKUP(E96,[1]!Bookings[Booking Name],[1]!Bookings[Nationality])</f>
        <v>Netherlands</v>
      </c>
      <c r="Q96">
        <f>XLOOKUP(E96,[1]!Bookings[Booking Name],[1]!Bookings[Discount Amount])</f>
        <v>0</v>
      </c>
      <c r="R96">
        <f>XLOOKUP(E96,[1]!Bookings[Booking Name],[1]!Bookings[Discount Percentage])</f>
        <v>0</v>
      </c>
      <c r="S96">
        <f>XLOOKUP(E96,[1]!Bookings[Booking Name],[1]!Bookings[Final Sale Value After Discount])</f>
        <v>894800</v>
      </c>
      <c r="T96">
        <f>XLOOKUP(E96,[1]!Bookings[Booking Name],[1]!Bookings[Inv Final Sale Value])</f>
        <v>894800</v>
      </c>
      <c r="U96" t="str">
        <f>XLOOKUP(E96,[1]!Bookings[Booking Name],[1]!Bookings[Sales])</f>
        <v>Jude Kwakye</v>
      </c>
      <c r="V96" t="str">
        <f>XLOOKUP(E96,[1]!Bookings[Booking Name],[1]!Bookings[Agency Name])</f>
        <v/>
      </c>
      <c r="W96" t="str">
        <f>XLOOKUP(E96,[1]!Bookings[Booking Name],[1]!Bookings[Booking ID])</f>
        <v>a03J600000FmaPA</v>
      </c>
      <c r="X96" t="str">
        <f>XLOOKUP(E96,[1]!Bookings[Booking Name],[1]!Bookings[Oracle Id])</f>
        <v>-</v>
      </c>
      <c r="Y96" t="str">
        <v>Not Available on Finance Tracker</v>
      </c>
      <c r="Z96" t="str">
        <v>No Payment</v>
      </c>
      <c r="AA96">
        <v>0</v>
      </c>
      <c r="AB96" t="str">
        <v>No</v>
      </c>
      <c r="AC96" t="str">
        <v>Cancelled as unit is not part of promotional offer list</v>
      </c>
      <c r="AD96" t="str">
        <v>https://onedevelopmentuae-my.sharepoint.com/personal/n_araujo_oneuae_com/Documents/Desktop/Norton-Local/Requests/Rejected%20Bookings/Booking-1108%20-%20Booking%20Rejection%20Request.msg</v>
      </c>
      <c r="AE96" t="str">
        <v>Unit Not Part of Promotional List</v>
      </c>
      <c r="AF96" t="str">
        <v>Unit Not Part of Promotional List</v>
      </c>
    </row>
    <row r="97">
      <c r="B97" t="str">
        <v>October</v>
      </c>
      <c r="C97">
        <v>45960</v>
      </c>
      <c r="D97">
        <f>XLOOKUP(E97,[1]!Bookings[Booking Name],[1]!Bookings[Rejected Date])</f>
        <v>45961</v>
      </c>
      <c r="E97" t="str">
        <v>Booking-1078</v>
      </c>
      <c r="F97" t="str">
        <f>XLOOKUP(E97,[1]!Bookings[Booking Name],[1]!Bookings[Booking Status])</f>
        <v>Rejected</v>
      </c>
      <c r="G97">
        <f>XLOOKUP(E97,[1]!Bookings[Booking Name],[1]!Bookings[Booking Date])</f>
        <v>45954</v>
      </c>
      <c r="H97">
        <f>XLOOKUP(E97,[1]!Bookings[Booking Name],[1]!Bookings[Booking Aging])</f>
        <v>105</v>
      </c>
      <c r="I97" t="str">
        <f>XLOOKUP(E97,[1]!Bookings[Booking Name],[1]!Bookings[Project Name])</f>
        <v>Laguna Residence</v>
      </c>
      <c r="J97" t="str">
        <f>XLOOKUP(E97,[1]!Bookings[Booking Name],[1]!Bookings[Building])</f>
        <v>Tower B</v>
      </c>
      <c r="K97" t="str">
        <f>XLOOKUP(E97,[1]!Bookings[Booking Name],[1]!Bookings[Bedrooms])</f>
        <v>Studio</v>
      </c>
      <c r="L97" t="str">
        <f>XLOOKUP(E97,[1]!Bookings[Booking Name],[1]!Bookings[Unit No.])</f>
        <v>B1311</v>
      </c>
      <c r="M97" t="str">
        <f>XLOOKUP(E97,[1]!Bookings[Booking Name],[1]!Bookings[Inventory Unit Status])</f>
        <v>Blocked</v>
      </c>
      <c r="N97" t="str">
        <f>XLOOKUP(E97,[1]!Bookings[Booking Name],[1]!Bookings[Booking Status])</f>
        <v>Rejected</v>
      </c>
      <c r="O97" t="str">
        <f>XLOOKUP(E97,[1]!Bookings[Booking Name],[1]!Bookings[Customer Name])</f>
        <v>Poorva Avinash Rupawate</v>
      </c>
      <c r="P97" t="str">
        <f>XLOOKUP(E97,[1]!Bookings[Booking Name],[1]!Bookings[Nationality])</f>
        <v>India</v>
      </c>
      <c r="Q97">
        <f>XLOOKUP(E97,[1]!Bookings[Booking Name],[1]!Bookings[Discount Amount])</f>
        <v>0</v>
      </c>
      <c r="R97">
        <f>XLOOKUP(E97,[1]!Bookings[Booking Name],[1]!Bookings[Discount Percentage])</f>
        <v>0</v>
      </c>
      <c r="S97">
        <f>XLOOKUP(E97,[1]!Bookings[Booking Name],[1]!Bookings[Final Sale Value After Discount])</f>
        <v>835000</v>
      </c>
      <c r="T97">
        <f>XLOOKUP(E97,[1]!Bookings[Booking Name],[1]!Bookings[Inv Final Sale Value])</f>
        <v>835000</v>
      </c>
      <c r="U97" t="str">
        <f>XLOOKUP(E97,[1]!Bookings[Booking Name],[1]!Bookings[Sales])</f>
        <v>Jamil Ibrahim</v>
      </c>
      <c r="V97" t="str">
        <f>XLOOKUP(E97,[1]!Bookings[Booking Name],[1]!Bookings[Agency Name])</f>
        <v>BANKE INTERNATIONAL PROPERTIES L.L.C</v>
      </c>
      <c r="W97" t="str">
        <f>XLOOKUP(E97,[1]!Bookings[Booking Name],[1]!Bookings[Booking ID])</f>
        <v>a03J600000Fm7go</v>
      </c>
      <c r="X97" t="str">
        <f>XLOOKUP(E97,[1]!Bookings[Booking Name],[1]!Bookings[Oracle Id])</f>
        <v>-</v>
      </c>
      <c r="Y97" t="str">
        <v>Not Available on Finance Tracker</v>
      </c>
      <c r="Z97">
        <v>16320</v>
      </c>
      <c r="AA97">
        <v>0.019544910179640718</v>
      </c>
      <c r="AB97" t="str">
        <v>No</v>
      </c>
      <c r="AC97" t="str">
        <v>Customer requested to Swap to unit B1513. Unit Swapp Approved by Management</v>
      </c>
      <c r="AD97" t="str">
        <v>https://onedevelopmentuae-my.sharepoint.com/personal/n_araujo_oneuae_com/Documents/Desktop/Norton-Local/Requests/Rejected%20Bookings/Booking-1078%20-%20Booking%20Rejection%20Request.pdf</v>
      </c>
      <c r="AE97" t="str">
        <v>Unit Swap - Approved by Management</v>
      </c>
      <c r="AF97" t="str">
        <v>Swapped from B1311 to B1513</v>
      </c>
    </row>
    <row r="98">
      <c r="B98" t="str">
        <v>October</v>
      </c>
      <c r="C98">
        <v>45958</v>
      </c>
      <c r="D98">
        <f>XLOOKUP(E98,[1]!Bookings[Booking Name],[1]!Bookings[Rejected Date])</f>
        <v>45959</v>
      </c>
      <c r="E98" t="str">
        <v>Booking-1084</v>
      </c>
      <c r="F98" t="str">
        <f>XLOOKUP(E98,[1]!Bookings[Booking Name],[1]!Bookings[Booking Status])</f>
        <v>Rejected</v>
      </c>
      <c r="G98">
        <f>XLOOKUP(E98,[1]!Bookings[Booking Name],[1]!Bookings[Booking Date])</f>
        <v>45957</v>
      </c>
      <c r="H98">
        <f>XLOOKUP(E98,[1]!Bookings[Booking Name],[1]!Bookings[Booking Aging])</f>
        <v>102</v>
      </c>
      <c r="I98" t="str">
        <f>XLOOKUP(E98,[1]!Bookings[Booking Name],[1]!Bookings[Project Name])</f>
        <v>Laguna Residence</v>
      </c>
      <c r="J98" t="str">
        <f>XLOOKUP(E98,[1]!Bookings[Booking Name],[1]!Bookings[Building])</f>
        <v>Tower A</v>
      </c>
      <c r="K98" t="str">
        <f>XLOOKUP(E98,[1]!Bookings[Booking Name],[1]!Bookings[Bedrooms])</f>
        <v>Studio</v>
      </c>
      <c r="L98" t="str">
        <f>XLOOKUP(E98,[1]!Bookings[Booking Name],[1]!Bookings[Unit No.])</f>
        <v>A1812</v>
      </c>
      <c r="M98" t="str">
        <f>XLOOKUP(E98,[1]!Bookings[Booking Name],[1]!Bookings[Inventory Unit Status])</f>
        <v>Booked</v>
      </c>
      <c r="N98" t="str">
        <f>XLOOKUP(E98,[1]!Bookings[Booking Name],[1]!Bookings[Booking Status])</f>
        <v>Rejected</v>
      </c>
      <c r="O98" t="str">
        <f>XLOOKUP(E98,[1]!Bookings[Booking Name],[1]!Bookings[Customer Name])</f>
        <v>Syeda Sadiya</v>
      </c>
      <c r="P98" t="str">
        <f>XLOOKUP(E98,[1]!Bookings[Booking Name],[1]!Bookings[Nationality])</f>
        <v>India</v>
      </c>
      <c r="Q98">
        <f>XLOOKUP(E98,[1]!Bookings[Booking Name],[1]!Bookings[Discount Amount])</f>
        <v>42000</v>
      </c>
      <c r="R98">
        <f>XLOOKUP(E98,[1]!Bookings[Booking Name],[1]!Bookings[Discount Percentage])</f>
        <v>0.048</v>
      </c>
      <c r="S98">
        <f>XLOOKUP(E98,[1]!Bookings[Booking Name],[1]!Bookings[Final Sale Value After Discount])</f>
        <v>833000</v>
      </c>
      <c r="T98">
        <f>XLOOKUP(E98,[1]!Bookings[Booking Name],[1]!Bookings[Inv Final Sale Value])</f>
        <v>875000</v>
      </c>
      <c r="U98" t="str">
        <f>XLOOKUP(E98,[1]!Bookings[Booking Name],[1]!Bookings[Sales])</f>
        <v>Aqsa Bhatti</v>
      </c>
      <c r="V98" t="str">
        <f>XLOOKUP(E98,[1]!Bookings[Booking Name],[1]!Bookings[Agency Name])</f>
        <v>MUHAMMAD SAEEDI REAL ESTATE MANAGEMENT SUPERVISION SERVICES L.L.C</v>
      </c>
      <c r="W98" t="str">
        <f>XLOOKUP(E98,[1]!Bookings[Booking Name],[1]!Bookings[Booking ID])</f>
        <v>a03J600000FmEA4</v>
      </c>
      <c r="X98" t="str">
        <f>XLOOKUP(E98,[1]!Bookings[Booking Name],[1]!Bookings[Oracle Id])</f>
        <v>-</v>
      </c>
      <c r="Y98" t="str">
        <v>Not Available on Finance Tracker</v>
      </c>
      <c r="Z98" t="str">
        <v>No Payment</v>
      </c>
      <c r="AA98">
        <v>0</v>
      </c>
      <c r="AB98" t="str">
        <v>N/A</v>
      </c>
      <c r="AC98" t="str">
        <v>Customer requested to Swap to unit B914. Unit Swapp Approved by Management</v>
      </c>
      <c r="AD98" t="str">
        <v>https://onedevelopmentuae-my.sharepoint.com/personal/n_araujo_oneuae_com/Documents/Desktop/Norton-Local/Requests/Rejected%20Bookings/Booking-1084%20-%20Booking%20Rejection%20Request.msg</v>
      </c>
      <c r="AE98" t="str">
        <v>Unit Swap - Approved by Management</v>
      </c>
      <c r="AF98" t="str">
        <v>Swapped from A1812 to B914</v>
      </c>
    </row>
    <row r="99" xml:space="preserve">
      <c r="B99" t="str">
        <v>October</v>
      </c>
      <c r="C99">
        <v>45957</v>
      </c>
      <c r="D99">
        <f>XLOOKUP(E99,[1]!Bookings[Booking Name],[1]!Bookings[Rejected Date])</f>
        <v>45958</v>
      </c>
      <c r="E99" t="str">
        <v>Booking-776</v>
      </c>
      <c r="F99" t="str">
        <f>XLOOKUP(E99,[1]!Bookings[Booking Name],[1]!Bookings[Booking Status])</f>
        <v>Rejected</v>
      </c>
      <c r="G99">
        <f>XLOOKUP(E99,[1]!Bookings[Booking Name],[1]!Bookings[Booking Date])</f>
        <v>45825</v>
      </c>
      <c r="H99">
        <f>XLOOKUP(E99,[1]!Bookings[Booking Name],[1]!Bookings[Booking Aging])</f>
        <v>234</v>
      </c>
      <c r="I99" t="str">
        <f>XLOOKUP(E99,[1]!Bookings[Booking Name],[1]!Bookings[Project Name])</f>
        <v>Laguna Residence</v>
      </c>
      <c r="J99" t="str">
        <f>XLOOKUP(E99,[1]!Bookings[Booking Name],[1]!Bookings[Building])</f>
        <v>Tower B</v>
      </c>
      <c r="K99" t="str">
        <f>XLOOKUP(E99,[1]!Bookings[Booking Name],[1]!Bookings[Bedrooms])</f>
        <v>1 Bedroom</v>
      </c>
      <c r="L99" t="str">
        <f>XLOOKUP(E99,[1]!Bookings[Booking Name],[1]!Bookings[Unit No.])</f>
        <v>B403</v>
      </c>
      <c r="M99" t="str">
        <f>XLOOKUP(E99,[1]!Bookings[Booking Name],[1]!Bookings[Inventory Unit Status])</f>
        <v>Booked</v>
      </c>
      <c r="N99" t="str">
        <f>XLOOKUP(E99,[1]!Bookings[Booking Name],[1]!Bookings[Booking Status])</f>
        <v>Rejected</v>
      </c>
      <c r="O99" t="str">
        <f>XLOOKUP(E99,[1]!Bookings[Booking Name],[1]!Bookings[Customer Name])</f>
        <v>Yousef Saeed Hamad Dalwan Alketbi</v>
      </c>
      <c r="P99" t="str">
        <f>XLOOKUP(E99,[1]!Bookings[Booking Name],[1]!Bookings[Nationality])</f>
        <v>United Arab Emirates</v>
      </c>
      <c r="Q99">
        <f>XLOOKUP(E99,[1]!Bookings[Booking Name],[1]!Bookings[Discount Amount])</f>
        <v>85000</v>
      </c>
      <c r="R99">
        <f>XLOOKUP(E99,[1]!Bookings[Booking Name],[1]!Bookings[Discount Percentage])</f>
        <v>0.06548536209553159</v>
      </c>
      <c r="S99">
        <f>XLOOKUP(E99,[1]!Bookings[Booking Name],[1]!Bookings[Final Sale Value After Discount])</f>
        <v>1213000</v>
      </c>
      <c r="T99">
        <f>XLOOKUP(E99,[1]!Bookings[Booking Name],[1]!Bookings[Inv Final Sale Value])</f>
        <v>1298000</v>
      </c>
      <c r="U99" t="str">
        <f>XLOOKUP(E99,[1]!Bookings[Booking Name],[1]!Bookings[Sales])</f>
        <v>Feriel Dridi</v>
      </c>
      <c r="V99" t="str">
        <f>XLOOKUP(E99,[1]!Bookings[Booking Name],[1]!Bookings[Agency Name])</f>
        <v>Eleva Properties LLC</v>
      </c>
      <c r="W99" t="str">
        <f>XLOOKUP(E99,[1]!Bookings[Booking Name],[1]!Bookings[Booking ID])</f>
        <v>a03J6000009lyri</v>
      </c>
      <c r="X99" t="str">
        <f>XLOOKUP(E99,[1]!Bookings[Booking Name],[1]!Bookings[Oracle Id])</f>
        <v>-</v>
      </c>
      <c r="Y99" t="str">
        <v>Not Available on Finance Tracker</v>
      </c>
      <c r="Z99">
        <v>50000</v>
      </c>
      <c r="AA99">
        <v>0.041220115416323165</v>
      </c>
      <c r="AB99" t="str">
        <v>Yes</v>
      </c>
      <c r="AC99" t="str" xml:space="preserve">
        <v xml:space="preserve">Customer requested to cancel Booking and for the paid amount to be refunded._x000d_
Refund approved by Management</v>
      </c>
      <c r="AD99" t="str">
        <v>https://onedevelopmentuae-my.sharepoint.com/personal/n_araujo_oneuae_com/Documents/Desktop/Norton-Local/Requests/Rejected%20Bookings/Booking-776%20-%20Booking%20Rejection%20Request.msg</v>
      </c>
      <c r="AE99" t="str">
        <v>Customer requested to cancel</v>
      </c>
      <c r="AF99" t="str">
        <v>Customer is unable to continue with the Purchase - Refund Requested</v>
      </c>
    </row>
    <row r="100">
      <c r="B100" t="str">
        <v>October</v>
      </c>
      <c r="C100">
        <v>45951</v>
      </c>
      <c r="D100">
        <f>XLOOKUP(E100,[1]!Bookings[Booking Name],[1]!Bookings[Rejected Date])</f>
        <v>45951</v>
      </c>
      <c r="E100" t="str">
        <v>Booking-1023</v>
      </c>
      <c r="F100" t="str">
        <f>XLOOKUP(E100,[1]!Bookings[Booking Name],[1]!Bookings[Booking Status])</f>
        <v>Rejected</v>
      </c>
      <c r="G100">
        <f>XLOOKUP(E100,[1]!Bookings[Booking Name],[1]!Bookings[Booking Date])</f>
        <v>45930</v>
      </c>
      <c r="H100">
        <f>XLOOKUP(E100,[1]!Bookings[Booking Name],[1]!Bookings[Booking Aging])</f>
        <v>129</v>
      </c>
      <c r="I100" t="str">
        <f>XLOOKUP(E100,[1]!Bookings[Booking Name],[1]!Bookings[Project Name])</f>
        <v>Laguna Residence</v>
      </c>
      <c r="J100" t="str">
        <f>XLOOKUP(E100,[1]!Bookings[Booking Name],[1]!Bookings[Building])</f>
        <v>Tower B</v>
      </c>
      <c r="K100" t="str">
        <f>XLOOKUP(E100,[1]!Bookings[Booking Name],[1]!Bookings[Bedrooms])</f>
        <v>2 Bedroom</v>
      </c>
      <c r="L100" t="str">
        <f>XLOOKUP(E100,[1]!Bookings[Booking Name],[1]!Bookings[Unit No.])</f>
        <v>B1208</v>
      </c>
      <c r="M100" t="str">
        <f>XLOOKUP(E100,[1]!Bookings[Booking Name],[1]!Bookings[Inventory Unit Status])</f>
        <v>Booked</v>
      </c>
      <c r="N100" t="str">
        <f>XLOOKUP(E100,[1]!Bookings[Booking Name],[1]!Bookings[Booking Status])</f>
        <v>Rejected</v>
      </c>
      <c r="O100" t="str">
        <f>XLOOKUP(E100,[1]!Bookings[Booking Name],[1]!Bookings[Customer Name])</f>
        <v>Aashish Bindra</v>
      </c>
      <c r="P100" t="str">
        <f>XLOOKUP(E100,[1]!Bookings[Booking Name],[1]!Bookings[Nationality])</f>
        <v>India</v>
      </c>
      <c r="Q100">
        <f>XLOOKUP(E100,[1]!Bookings[Booking Name],[1]!Bookings[Discount Amount])</f>
        <v>0</v>
      </c>
      <c r="R100">
        <f>XLOOKUP(E100,[1]!Bookings[Booking Name],[1]!Bookings[Discount Percentage])</f>
        <v>0</v>
      </c>
      <c r="S100">
        <f>XLOOKUP(E100,[1]!Bookings[Booking Name],[1]!Bookings[Final Sale Value After Discount])</f>
        <v>1770000</v>
      </c>
      <c r="T100">
        <f>XLOOKUP(E100,[1]!Bookings[Booking Name],[1]!Bookings[Inv Final Sale Value])</f>
        <v>1770000</v>
      </c>
      <c r="U100" t="str">
        <f>XLOOKUP(E100,[1]!Bookings[Booking Name],[1]!Bookings[Sales])</f>
        <v>Sumeet Mehta</v>
      </c>
      <c r="V100" t="str">
        <f>XLOOKUP(E100,[1]!Bookings[Booking Name],[1]!Bookings[Agency Name])</f>
        <v>ANCHORMAN REAL ESTATE L.L.C</v>
      </c>
      <c r="W100" t="str">
        <f>XLOOKUP(E100,[1]!Bookings[Booking Name],[1]!Bookings[Booking ID])</f>
        <v>a03J600000Bth5b</v>
      </c>
      <c r="X100" t="str">
        <f>XLOOKUP(E100,[1]!Bookings[Booking Name],[1]!Bookings[Oracle Id])</f>
        <v>-</v>
      </c>
      <c r="Y100" t="str">
        <v>Not Available on Finance Tracker</v>
      </c>
      <c r="Z100" t="str">
        <v>No Payment</v>
      </c>
      <c r="AA100">
        <v>0</v>
      </c>
      <c r="AB100" t="str">
        <v>N/A</v>
      </c>
      <c r="AC100" t="str">
        <v>Cancelled due to Non Payment</v>
      </c>
      <c r="AD100" t="str">
        <v>https://onedevelopmentuae-my.sharepoint.com/personal/n_araujo_oneuae_com/Documents/Desktop/Norton-Local/Requests/Rejected%20Bookings/Booking-1023%20-%20Booking%20Rejection%20Request.msg</v>
      </c>
      <c r="AE100" t="str">
        <v>Cancelled due to Non Payment</v>
      </c>
      <c r="AF100" t="str">
        <v>Cancellation Request raised by Collections Team</v>
      </c>
    </row>
    <row r="101">
      <c r="B101" t="str">
        <v>October</v>
      </c>
      <c r="C101">
        <v>45951</v>
      </c>
      <c r="D101">
        <f>XLOOKUP(E101,[1]!Bookings[Booking Name],[1]!Bookings[Rejected Date])</f>
        <v>45951</v>
      </c>
      <c r="E101" t="str">
        <v>Booking-1019</v>
      </c>
      <c r="F101" t="str">
        <f>XLOOKUP(E101,[1]!Bookings[Booking Name],[1]!Bookings[Booking Status])</f>
        <v>Rejected</v>
      </c>
      <c r="G101">
        <f>XLOOKUP(E101,[1]!Bookings[Booking Name],[1]!Bookings[Booking Date])</f>
        <v>45929</v>
      </c>
      <c r="H101">
        <f>XLOOKUP(E101,[1]!Bookings[Booking Name],[1]!Bookings[Booking Aging])</f>
        <v>130</v>
      </c>
      <c r="I101" t="str">
        <f>XLOOKUP(E101,[1]!Bookings[Booking Name],[1]!Bookings[Project Name])</f>
        <v>Laguna Residence</v>
      </c>
      <c r="J101" t="str">
        <f>XLOOKUP(E101,[1]!Bookings[Booking Name],[1]!Bookings[Building])</f>
        <v>Tower B</v>
      </c>
      <c r="K101" t="str">
        <f>XLOOKUP(E101,[1]!Bookings[Booking Name],[1]!Bookings[Bedrooms])</f>
        <v>Studio</v>
      </c>
      <c r="L101" t="str">
        <f>XLOOKUP(E101,[1]!Bookings[Booking Name],[1]!Bookings[Unit No.])</f>
        <v>B2503</v>
      </c>
      <c r="M101" t="str">
        <f>XLOOKUP(E101,[1]!Bookings[Booking Name],[1]!Bookings[Inventory Unit Status])</f>
        <v>SPA Executed</v>
      </c>
      <c r="N101" t="str">
        <f>XLOOKUP(E101,[1]!Bookings[Booking Name],[1]!Bookings[Booking Status])</f>
        <v>Rejected</v>
      </c>
      <c r="O101" t="str">
        <f>XLOOKUP(E101,[1]!Bookings[Booking Name],[1]!Bookings[Customer Name])</f>
        <v>Achal Gupta</v>
      </c>
      <c r="P101" t="str">
        <f>XLOOKUP(E101,[1]!Bookings[Booking Name],[1]!Bookings[Nationality])</f>
        <v>India</v>
      </c>
      <c r="Q101">
        <f>XLOOKUP(E101,[1]!Bookings[Booking Name],[1]!Bookings[Discount Amount])</f>
        <v>44300</v>
      </c>
      <c r="R101">
        <f>XLOOKUP(E101,[1]!Bookings[Booking Name],[1]!Bookings[Discount Percentage])</f>
        <v>0.05</v>
      </c>
      <c r="S101">
        <f>XLOOKUP(E101,[1]!Bookings[Booking Name],[1]!Bookings[Final Sale Value After Discount])</f>
        <v>841700</v>
      </c>
      <c r="T101">
        <f>XLOOKUP(E101,[1]!Bookings[Booking Name],[1]!Bookings[Inv Final Sale Value])</f>
        <v>886000</v>
      </c>
      <c r="U101" t="str">
        <f>XLOOKUP(E101,[1]!Bookings[Booking Name],[1]!Bookings[Sales])</f>
        <v>Sumeet Mehta</v>
      </c>
      <c r="V101" t="str">
        <f>XLOOKUP(E101,[1]!Bookings[Booking Name],[1]!Bookings[Agency Name])</f>
        <v>ANCHORMAN REAL ESTATE L.L.C</v>
      </c>
      <c r="W101" t="str">
        <f>XLOOKUP(E101,[1]!Bookings[Booking Name],[1]!Bookings[Booking ID])</f>
        <v>a03J600000Btbev</v>
      </c>
      <c r="X101" t="str">
        <f>XLOOKUP(E101,[1]!Bookings[Booking Name],[1]!Bookings[Oracle Id])</f>
        <v>-</v>
      </c>
      <c r="Y101" t="str">
        <v>Not Available on Finance Tracker</v>
      </c>
      <c r="Z101" t="str">
        <v>No Payment</v>
      </c>
      <c r="AA101">
        <v>0</v>
      </c>
      <c r="AB101" t="str">
        <v>N/A</v>
      </c>
      <c r="AC101" t="str">
        <v>Cancelled due to Non Payment</v>
      </c>
      <c r="AD101" t="str">
        <v>https://onedevelopmentuae-my.sharepoint.com/personal/n_araujo_oneuae_com/Documents/Desktop/Norton-Local/Requests/Rejected%20Bookings/Booking-1019%20-%20Booking%20Rejection%20Request.msg</v>
      </c>
      <c r="AE101" t="str">
        <v>Cancelled due to Non Payment</v>
      </c>
      <c r="AF101" t="str">
        <v>Cancellation Request raised by Collections Team</v>
      </c>
    </row>
    <row r="102">
      <c r="B102" t="str">
        <v>October</v>
      </c>
      <c r="C102">
        <v>45951</v>
      </c>
      <c r="D102">
        <f>XLOOKUP(E102,[1]!Bookings[Booking Name],[1]!Bookings[Rejected Date])</f>
        <v>45951</v>
      </c>
      <c r="E102" t="str">
        <v>Booking-989</v>
      </c>
      <c r="F102" t="str">
        <f>XLOOKUP(E102,[1]!Bookings[Booking Name],[1]!Bookings[Booking Status])</f>
        <v>Rejected</v>
      </c>
      <c r="G102">
        <f>XLOOKUP(E102,[1]!Bookings[Booking Name],[1]!Bookings[Booking Date])</f>
        <v>45912</v>
      </c>
      <c r="H102">
        <f>XLOOKUP(E102,[1]!Bookings[Booking Name],[1]!Bookings[Booking Aging])</f>
        <v>147</v>
      </c>
      <c r="I102" t="str">
        <f>XLOOKUP(E102,[1]!Bookings[Booking Name],[1]!Bookings[Project Name])</f>
        <v>Laguna Residence</v>
      </c>
      <c r="J102" t="str">
        <f>XLOOKUP(E102,[1]!Bookings[Booking Name],[1]!Bookings[Building])</f>
        <v>Tower A</v>
      </c>
      <c r="K102" t="str">
        <f>XLOOKUP(E102,[1]!Bookings[Booking Name],[1]!Bookings[Bedrooms])</f>
        <v>3 Bedroom</v>
      </c>
      <c r="L102" t="str">
        <f>XLOOKUP(E102,[1]!Bookings[Booking Name],[1]!Bookings[Unit No.])</f>
        <v>A107</v>
      </c>
      <c r="M102" t="str">
        <f>XLOOKUP(E102,[1]!Bookings[Booking Name],[1]!Bookings[Inventory Unit Status])</f>
        <v>Blocked</v>
      </c>
      <c r="N102" t="str">
        <f>XLOOKUP(E102,[1]!Bookings[Booking Name],[1]!Bookings[Booking Status])</f>
        <v>Rejected</v>
      </c>
      <c r="O102" t="str">
        <f>XLOOKUP(E102,[1]!Bookings[Booking Name],[1]!Bookings[Customer Name])</f>
        <v>Afrah Mohi Eldin Bilal Ali</v>
      </c>
      <c r="P102" t="str">
        <f>XLOOKUP(E102,[1]!Bookings[Booking Name],[1]!Bookings[Nationality])</f>
        <v>Sudan</v>
      </c>
      <c r="Q102">
        <f>XLOOKUP(E102,[1]!Bookings[Booking Name],[1]!Bookings[Discount Amount])</f>
        <v>260600</v>
      </c>
      <c r="R102">
        <f>XLOOKUP(E102,[1]!Bookings[Booking Name],[1]!Bookings[Discount Percentage])</f>
        <v>0.05</v>
      </c>
      <c r="S102">
        <f>XLOOKUP(E102,[1]!Bookings[Booking Name],[1]!Bookings[Final Sale Value After Discount])</f>
        <v>4951400</v>
      </c>
      <c r="T102">
        <f>XLOOKUP(E102,[1]!Bookings[Booking Name],[1]!Bookings[Inv Final Sale Value])</f>
        <v>5212000</v>
      </c>
      <c r="U102" t="str">
        <f>XLOOKUP(E102,[1]!Bookings[Booking Name],[1]!Bookings[Sales])</f>
        <v>Ahmed Eissa</v>
      </c>
      <c r="V102" t="str">
        <f>XLOOKUP(E102,[1]!Bookings[Booking Name],[1]!Bookings[Agency Name])</f>
        <v>STARS AND SANDS PROPERTIES L.L.C</v>
      </c>
      <c r="W102" t="str">
        <f>XLOOKUP(E102,[1]!Bookings[Booking Name],[1]!Bookings[Booking ID])</f>
        <v>a03J600000BsaJy</v>
      </c>
      <c r="X102" t="str">
        <f>XLOOKUP(E102,[1]!Bookings[Booking Name],[1]!Bookings[Oracle Id])</f>
        <v>-</v>
      </c>
      <c r="Y102" t="str">
        <v>Not Available on Finance Tracker</v>
      </c>
      <c r="Z102" t="str">
        <v>No Payment</v>
      </c>
      <c r="AA102">
        <v>0</v>
      </c>
      <c r="AB102" t="str">
        <v>N/A</v>
      </c>
      <c r="AC102" t="str">
        <v>Cancelled due to Non Payment</v>
      </c>
      <c r="AD102" t="str">
        <v>https://onedevelopmentuae-my.sharepoint.com/personal/n_araujo_oneuae_com/Documents/Desktop/Norton-Local/Requests/Rejected%20Bookings/Booking-989%20-%20Booking%20Rejection%20Request.msg</v>
      </c>
      <c r="AE102" t="str">
        <v>Cancelled due to Non Payment</v>
      </c>
      <c r="AF102" t="str">
        <v>Cancellation Request raised by Collections Team</v>
      </c>
    </row>
    <row r="103">
      <c r="B103" t="str">
        <v>October</v>
      </c>
      <c r="C103">
        <v>45951</v>
      </c>
      <c r="D103">
        <f>XLOOKUP(E103,[1]!Bookings[Booking Name],[1]!Bookings[Rejected Date])</f>
        <v>45951</v>
      </c>
      <c r="E103" t="str">
        <v>Booking-986</v>
      </c>
      <c r="F103" t="str">
        <f>XLOOKUP(E103,[1]!Bookings[Booking Name],[1]!Bookings[Booking Status])</f>
        <v>Rejected</v>
      </c>
      <c r="G103">
        <f>XLOOKUP(E103,[1]!Bookings[Booking Name],[1]!Bookings[Booking Date])</f>
        <v>45912</v>
      </c>
      <c r="H103">
        <f>XLOOKUP(E103,[1]!Bookings[Booking Name],[1]!Bookings[Booking Aging])</f>
        <v>147</v>
      </c>
      <c r="I103" t="str">
        <f>XLOOKUP(E103,[1]!Bookings[Booking Name],[1]!Bookings[Project Name])</f>
        <v>Laguna Residence</v>
      </c>
      <c r="J103" t="str">
        <f>XLOOKUP(E103,[1]!Bookings[Booking Name],[1]!Bookings[Building])</f>
        <v>Tower A</v>
      </c>
      <c r="K103" t="str">
        <f>XLOOKUP(E103,[1]!Bookings[Booking Name],[1]!Bookings[Bedrooms])</f>
        <v>2 Bedroom</v>
      </c>
      <c r="L103" t="str">
        <f>XLOOKUP(E103,[1]!Bookings[Booking Name],[1]!Bookings[Unit No.])</f>
        <v>A2122</v>
      </c>
      <c r="M103" t="str">
        <f>XLOOKUP(E103,[1]!Bookings[Booking Name],[1]!Bookings[Inventory Unit Status])</f>
        <v>Booked</v>
      </c>
      <c r="N103" t="str">
        <f>XLOOKUP(E103,[1]!Bookings[Booking Name],[1]!Bookings[Booking Status])</f>
        <v>Rejected</v>
      </c>
      <c r="O103" t="str">
        <f>XLOOKUP(E103,[1]!Bookings[Booking Name],[1]!Bookings[Customer Name])</f>
        <v>Sharbel Chehade</v>
      </c>
      <c r="P103" t="str">
        <f>XLOOKUP(E103,[1]!Bookings[Booking Name],[1]!Bookings[Nationality])</f>
        <v>Australia</v>
      </c>
      <c r="Q103">
        <f>XLOOKUP(E103,[1]!Bookings[Booking Name],[1]!Bookings[Discount Amount])</f>
        <v>132550</v>
      </c>
      <c r="R103">
        <f>XLOOKUP(E103,[1]!Bookings[Booking Name],[1]!Bookings[Discount Percentage])</f>
        <v>0.05</v>
      </c>
      <c r="S103">
        <f>XLOOKUP(E103,[1]!Bookings[Booking Name],[1]!Bookings[Final Sale Value After Discount])</f>
        <v>2518450</v>
      </c>
      <c r="T103">
        <f>XLOOKUP(E103,[1]!Bookings[Booking Name],[1]!Bookings[Inv Final Sale Value])</f>
        <v>2651000</v>
      </c>
      <c r="U103" t="str">
        <f>XLOOKUP(E103,[1]!Bookings[Booking Name],[1]!Bookings[Sales])</f>
        <v>Fadwa Belkaid</v>
      </c>
      <c r="V103" t="str">
        <f>XLOOKUP(E103,[1]!Bookings[Booking Name],[1]!Bookings[Agency Name])</f>
        <v>SYKON PROPERTIES L.L.C</v>
      </c>
      <c r="W103" t="str">
        <f>XLOOKUP(E103,[1]!Bookings[Booking Name],[1]!Bookings[Booking ID])</f>
        <v>a03J600000BsZmC</v>
      </c>
      <c r="X103" t="str">
        <f>XLOOKUP(E103,[1]!Bookings[Booking Name],[1]!Bookings[Oracle Id])</f>
        <v>-</v>
      </c>
      <c r="Y103" t="str">
        <v>Not Available on Finance Tracker</v>
      </c>
      <c r="Z103" t="str">
        <v>No Payment</v>
      </c>
      <c r="AA103">
        <v>0</v>
      </c>
      <c r="AB103" t="str">
        <v>N/A</v>
      </c>
      <c r="AC103" t="str">
        <v>Cancelled due to Non Payment</v>
      </c>
      <c r="AD103" t="str">
        <v>https://onedevelopmentuae-my.sharepoint.com/personal/n_araujo_oneuae_com/Documents/Desktop/Norton-Local/Requests/Rejected%20Bookings/Booking-986%20-%20Booking%20Rejection%20Request.msg</v>
      </c>
      <c r="AE103" t="str">
        <v>Cancelled due to Non Payment</v>
      </c>
      <c r="AF103" t="str">
        <v>Cancellation Request raised by Collections Team</v>
      </c>
    </row>
    <row r="104">
      <c r="B104" t="str">
        <v>October</v>
      </c>
      <c r="C104">
        <v>45943</v>
      </c>
      <c r="D104">
        <f>XLOOKUP(E104,[1]!Bookings[Booking Name],[1]!Bookings[Rejected Date])</f>
        <v>45945</v>
      </c>
      <c r="E104" t="str">
        <v>Booking-966</v>
      </c>
      <c r="F104" t="str">
        <f>XLOOKUP(E104,[1]!Bookings[Booking Name],[1]!Bookings[Booking Status])</f>
        <v>Rejected</v>
      </c>
      <c r="G104">
        <f>XLOOKUP(E104,[1]!Bookings[Booking Name],[1]!Bookings[Booking Date])</f>
        <v>45903</v>
      </c>
      <c r="H104">
        <f>XLOOKUP(E104,[1]!Bookings[Booking Name],[1]!Bookings[Booking Aging])</f>
        <v>156</v>
      </c>
      <c r="I104" t="str">
        <f>XLOOKUP(E104,[1]!Bookings[Booking Name],[1]!Bookings[Project Name])</f>
        <v>Laguna Residence</v>
      </c>
      <c r="J104" t="str">
        <f>XLOOKUP(E104,[1]!Bookings[Booking Name],[1]!Bookings[Building])</f>
        <v>Tower A</v>
      </c>
      <c r="K104" t="str">
        <f>XLOOKUP(E104,[1]!Bookings[Booking Name],[1]!Bookings[Bedrooms])</f>
        <v>2 Bedroom</v>
      </c>
      <c r="L104" t="str">
        <f>XLOOKUP(E104,[1]!Bookings[Booking Name],[1]!Bookings[Unit No.])</f>
        <v>A801</v>
      </c>
      <c r="M104" t="str">
        <f>XLOOKUP(E104,[1]!Bookings[Booking Name],[1]!Bookings[Inventory Unit Status])</f>
        <v>Blocked</v>
      </c>
      <c r="N104" t="str">
        <f>XLOOKUP(E104,[1]!Bookings[Booking Name],[1]!Bookings[Booking Status])</f>
        <v>Rejected</v>
      </c>
      <c r="O104" t="str">
        <f>XLOOKUP(E104,[1]!Bookings[Booking Name],[1]!Bookings[Customer Name])</f>
        <v>Joseph Mallekkattu</v>
      </c>
      <c r="P104" t="str">
        <f>XLOOKUP(E104,[1]!Bookings[Booking Name],[1]!Bookings[Nationality])</f>
        <v>India</v>
      </c>
      <c r="Q104">
        <f>XLOOKUP(E104,[1]!Bookings[Booking Name],[1]!Bookings[Discount Amount])</f>
        <v>0</v>
      </c>
      <c r="R104">
        <f>XLOOKUP(E104,[1]!Bookings[Booking Name],[1]!Bookings[Discount Percentage])</f>
        <v>0</v>
      </c>
      <c r="S104">
        <f>XLOOKUP(E104,[1]!Bookings[Booking Name],[1]!Bookings[Final Sale Value After Discount])</f>
        <v>2526000</v>
      </c>
      <c r="T104">
        <f>XLOOKUP(E104,[1]!Bookings[Booking Name],[1]!Bookings[Inv Final Sale Value])</f>
        <v>2526000</v>
      </c>
      <c r="U104" t="str">
        <f>XLOOKUP(E104,[1]!Bookings[Booking Name],[1]!Bookings[Sales])</f>
        <v>Yasmin Bahader</v>
      </c>
      <c r="V104" t="str">
        <f>XLOOKUP(E104,[1]!Bookings[Booking Name],[1]!Bookings[Agency Name])</f>
        <v>Poseidon Real Estate LLC</v>
      </c>
      <c r="W104" t="str">
        <f>XLOOKUP(E104,[1]!Bookings[Booking Name],[1]!Bookings[Booking ID])</f>
        <v>a03J600000Bs0mh</v>
      </c>
      <c r="X104" t="str">
        <f>XLOOKUP(E104,[1]!Bookings[Booking Name],[1]!Bookings[Oracle Id])</f>
        <v>-</v>
      </c>
      <c r="Y104" t="str">
        <v>Not Available on Finance Tracker</v>
      </c>
      <c r="Z104" t="str">
        <v>No Payment</v>
      </c>
      <c r="AA104">
        <v>0</v>
      </c>
      <c r="AB104" t="str">
        <v>N/A</v>
      </c>
      <c r="AC104" t="str">
        <v>Cancelled due to Non Payment</v>
      </c>
      <c r="AD104" t="str">
        <v>https://onedevelopmentuae-my.sharepoint.com/personal/n_araujo_oneuae_com/Documents/Desktop/Norton-Local/Requests/Rejected%20Bookings/Booking-966%20-%20Booking%20Rejection%20Request.msg</v>
      </c>
      <c r="AE104" t="str">
        <v>Cancelled due to Non Payment</v>
      </c>
      <c r="AF104" t="str">
        <v>Cancellation Request raised by Collections Team</v>
      </c>
    </row>
    <row r="105">
      <c r="B105" t="str">
        <v>October</v>
      </c>
      <c r="C105">
        <v>45943</v>
      </c>
      <c r="D105">
        <f>XLOOKUP(E105,[1]!Bookings[Booking Name],[1]!Bookings[Rejected Date])</f>
        <v>45945</v>
      </c>
      <c r="E105" t="str">
        <v>Booking-1017</v>
      </c>
      <c r="F105" t="str">
        <f>XLOOKUP(E105,[1]!Bookings[Booking Name],[1]!Bookings[Booking Status])</f>
        <v>Rejected</v>
      </c>
      <c r="G105">
        <f>XLOOKUP(E105,[1]!Bookings[Booking Name],[1]!Bookings[Booking Date])</f>
        <v>45926</v>
      </c>
      <c r="H105">
        <f>XLOOKUP(E105,[1]!Bookings[Booking Name],[1]!Bookings[Booking Aging])</f>
        <v>133</v>
      </c>
      <c r="I105" t="str">
        <f>XLOOKUP(E105,[1]!Bookings[Booking Name],[1]!Bookings[Project Name])</f>
        <v>Laguna Residence</v>
      </c>
      <c r="J105" t="str">
        <f>XLOOKUP(E105,[1]!Bookings[Booking Name],[1]!Bookings[Building])</f>
        <v>Tower A</v>
      </c>
      <c r="K105" t="str">
        <f>XLOOKUP(E105,[1]!Bookings[Booking Name],[1]!Bookings[Bedrooms])</f>
        <v>2 Bedroom</v>
      </c>
      <c r="L105" t="str">
        <f>XLOOKUP(E105,[1]!Bookings[Booking Name],[1]!Bookings[Unit No.])</f>
        <v>A2618</v>
      </c>
      <c r="M105" t="str">
        <f>XLOOKUP(E105,[1]!Bookings[Booking Name],[1]!Bookings[Inventory Unit Status])</f>
        <v>Available</v>
      </c>
      <c r="N105" t="str">
        <f>XLOOKUP(E105,[1]!Bookings[Booking Name],[1]!Bookings[Booking Status])</f>
        <v>Rejected</v>
      </c>
      <c r="O105" t="str">
        <f>XLOOKUP(E105,[1]!Bookings[Booking Name],[1]!Bookings[Customer Name])</f>
        <v>Chidinma Joyce Odiaka</v>
      </c>
      <c r="P105" t="str">
        <f>XLOOKUP(E105,[1]!Bookings[Booking Name],[1]!Bookings[Nationality])</f>
        <v>Nigeria</v>
      </c>
      <c r="Q105">
        <f>XLOOKUP(E105,[1]!Bookings[Booking Name],[1]!Bookings[Discount Amount])</f>
        <v>0</v>
      </c>
      <c r="R105">
        <f>XLOOKUP(E105,[1]!Bookings[Booking Name],[1]!Bookings[Discount Percentage])</f>
        <v>0</v>
      </c>
      <c r="S105">
        <f>XLOOKUP(E105,[1]!Bookings[Booking Name],[1]!Bookings[Final Sale Value After Discount])</f>
        <v>2706000</v>
      </c>
      <c r="T105">
        <f>XLOOKUP(E105,[1]!Bookings[Booking Name],[1]!Bookings[Inv Final Sale Value])</f>
        <v>2706000</v>
      </c>
      <c r="U105" t="str">
        <f>XLOOKUP(E105,[1]!Bookings[Booking Name],[1]!Bookings[Sales])</f>
        <v>Hocem Amouri</v>
      </c>
      <c r="V105" t="str">
        <f>XLOOKUP(E105,[1]!Bookings[Booking Name],[1]!Bookings[Agency Name])</f>
        <v>SKYRAN REAL ESTATE L.L.C</v>
      </c>
      <c r="W105" t="str">
        <f>XLOOKUP(E105,[1]!Bookings[Booking Name],[1]!Bookings[Booking ID])</f>
        <v>a03J600000BtW0H</v>
      </c>
      <c r="X105" t="str">
        <f>XLOOKUP(E105,[1]!Bookings[Booking Name],[1]!Bookings[Oracle Id])</f>
        <v>-</v>
      </c>
      <c r="Y105" t="str">
        <v>Not Available on Finance Tracker</v>
      </c>
      <c r="Z105" t="str">
        <v>No Payment</v>
      </c>
      <c r="AA105">
        <v>0</v>
      </c>
      <c r="AB105" t="str">
        <v>N/A</v>
      </c>
      <c r="AC105" t="str">
        <v>Cancelled due to Non Payment</v>
      </c>
      <c r="AD105" t="str">
        <v>https://onedevelopmentuae-my.sharepoint.com/personal/n_araujo_oneuae_com/Documents/Desktop/Norton-Local/Requests/Rejected%20Bookings/Booking-1017%20-%20Booking%20Rejection%20Request.pdf</v>
      </c>
      <c r="AE105" t="str">
        <v>Cancelled due to Non Payment</v>
      </c>
      <c r="AF105" t="str">
        <v>Cancellation Request raised by Sales Operations Team</v>
      </c>
    </row>
    <row r="106">
      <c r="B106" t="str">
        <v>October</v>
      </c>
      <c r="C106">
        <v>45943</v>
      </c>
      <c r="D106">
        <f>XLOOKUP(E106,[1]!Bookings[Booking Name],[1]!Bookings[Rejected Date])</f>
        <v>45945</v>
      </c>
      <c r="E106" t="str">
        <v>Booking-1016</v>
      </c>
      <c r="F106" t="str">
        <f>XLOOKUP(E106,[1]!Bookings[Booking Name],[1]!Bookings[Booking Status])</f>
        <v>Rejected</v>
      </c>
      <c r="G106">
        <f>XLOOKUP(E106,[1]!Bookings[Booking Name],[1]!Bookings[Booking Date])</f>
        <v>45925</v>
      </c>
      <c r="H106">
        <f>XLOOKUP(E106,[1]!Bookings[Booking Name],[1]!Bookings[Booking Aging])</f>
        <v>134</v>
      </c>
      <c r="I106" t="str">
        <f>XLOOKUP(E106,[1]!Bookings[Booking Name],[1]!Bookings[Project Name])</f>
        <v>Laguna Residence</v>
      </c>
      <c r="J106" t="str">
        <f>XLOOKUP(E106,[1]!Bookings[Booking Name],[1]!Bookings[Building])</f>
        <v>Tower A</v>
      </c>
      <c r="K106" t="str">
        <f>XLOOKUP(E106,[1]!Bookings[Booking Name],[1]!Bookings[Bedrooms])</f>
        <v>2 Bedroom</v>
      </c>
      <c r="L106" t="str">
        <f>XLOOKUP(E106,[1]!Bookings[Booking Name],[1]!Bookings[Unit No.])</f>
        <v>A2718</v>
      </c>
      <c r="M106" t="str">
        <f>XLOOKUP(E106,[1]!Bookings[Booking Name],[1]!Bookings[Inventory Unit Status])</f>
        <v>Available</v>
      </c>
      <c r="N106" t="str">
        <f>XLOOKUP(E106,[1]!Bookings[Booking Name],[1]!Bookings[Booking Status])</f>
        <v>Rejected</v>
      </c>
      <c r="O106" t="str">
        <f>XLOOKUP(E106,[1]!Bookings[Booking Name],[1]!Bookings[Customer Name])</f>
        <v>Abubakar Salihu Sadiq</v>
      </c>
      <c r="P106" t="str">
        <f>XLOOKUP(E106,[1]!Bookings[Booking Name],[1]!Bookings[Nationality])</f>
        <v>Nigeria</v>
      </c>
      <c r="Q106">
        <f>XLOOKUP(E106,[1]!Bookings[Booking Name],[1]!Bookings[Discount Amount])</f>
        <v>0</v>
      </c>
      <c r="R106">
        <f>XLOOKUP(E106,[1]!Bookings[Booking Name],[1]!Bookings[Discount Percentage])</f>
        <v>0</v>
      </c>
      <c r="S106">
        <f>XLOOKUP(E106,[1]!Bookings[Booking Name],[1]!Bookings[Final Sale Value After Discount])</f>
        <v>2675000</v>
      </c>
      <c r="T106">
        <f>XLOOKUP(E106,[1]!Bookings[Booking Name],[1]!Bookings[Inv Final Sale Value])</f>
        <v>2675000</v>
      </c>
      <c r="U106" t="str">
        <f>XLOOKUP(E106,[1]!Bookings[Booking Name],[1]!Bookings[Sales])</f>
        <v>Hocem Amouri</v>
      </c>
      <c r="V106" t="str">
        <f>XLOOKUP(E106,[1]!Bookings[Booking Name],[1]!Bookings[Agency Name])</f>
        <v>SKYRAN REAL ESTATE L.L.C</v>
      </c>
      <c r="W106" t="str">
        <f>XLOOKUP(E106,[1]!Bookings[Booking Name],[1]!Bookings[Booking ID])</f>
        <v>a03J600000BtSoj</v>
      </c>
      <c r="X106" t="str">
        <f>XLOOKUP(E106,[1]!Bookings[Booking Name],[1]!Bookings[Oracle Id])</f>
        <v>-</v>
      </c>
      <c r="Y106" t="str">
        <v>Not Available on Finance Tracker</v>
      </c>
      <c r="Z106" t="str">
        <v>No Payment</v>
      </c>
      <c r="AA106">
        <v>0</v>
      </c>
      <c r="AB106" t="str">
        <v>N/A</v>
      </c>
      <c r="AC106" t="str">
        <v>Cancelled due to Non Payment</v>
      </c>
      <c r="AD106" t="str">
        <v>https://onedevelopmentuae-my.sharepoint.com/personal/n_araujo_oneuae_com/Documents/Desktop/Norton-Local/Requests/Rejected%20Bookings/Booking-1016%20-%20Booking%20Rejection%20Request.pdf</v>
      </c>
      <c r="AE106" t="str">
        <v>Cancelled due to Non Payment</v>
      </c>
      <c r="AF106" t="str">
        <v>Cancellation Request raised by Sales Operations Team</v>
      </c>
    </row>
    <row r="107">
      <c r="B107" t="str">
        <v>October</v>
      </c>
      <c r="C107">
        <v>45943</v>
      </c>
      <c r="D107">
        <f>XLOOKUP(E107,[1]!Bookings[Booking Name],[1]!Bookings[Rejected Date])</f>
        <v>45945</v>
      </c>
      <c r="E107" t="str">
        <v>Booking-1015</v>
      </c>
      <c r="F107" t="str">
        <f>XLOOKUP(E107,[1]!Bookings[Booking Name],[1]!Bookings[Booking Status])</f>
        <v>Rejected</v>
      </c>
      <c r="G107">
        <f>XLOOKUP(E107,[1]!Bookings[Booking Name],[1]!Bookings[Booking Date])</f>
        <v>45925</v>
      </c>
      <c r="H107">
        <f>XLOOKUP(E107,[1]!Bookings[Booking Name],[1]!Bookings[Booking Aging])</f>
        <v>134</v>
      </c>
      <c r="I107" t="str">
        <f>XLOOKUP(E107,[1]!Bookings[Booking Name],[1]!Bookings[Project Name])</f>
        <v>Laguna Residence</v>
      </c>
      <c r="J107" t="str">
        <f>XLOOKUP(E107,[1]!Bookings[Booking Name],[1]!Bookings[Building])</f>
        <v>Tower A</v>
      </c>
      <c r="K107" t="str">
        <f>XLOOKUP(E107,[1]!Bookings[Booking Name],[1]!Bookings[Bedrooms])</f>
        <v>2 Bedroom</v>
      </c>
      <c r="L107" t="str">
        <f>XLOOKUP(E107,[1]!Bookings[Booking Name],[1]!Bookings[Unit No.])</f>
        <v>A3118</v>
      </c>
      <c r="M107" t="str">
        <f>XLOOKUP(E107,[1]!Bookings[Booking Name],[1]!Bookings[Inventory Unit Status])</f>
        <v>Available</v>
      </c>
      <c r="N107" t="str">
        <f>XLOOKUP(E107,[1]!Bookings[Booking Name],[1]!Bookings[Booking Status])</f>
        <v>Rejected</v>
      </c>
      <c r="O107" t="str">
        <f>XLOOKUP(E107,[1]!Bookings[Booking Name],[1]!Bookings[Customer Name])</f>
        <v>Angela Luyanda Portia Gqirana</v>
      </c>
      <c r="P107" t="str">
        <f>XLOOKUP(E107,[1]!Bookings[Booking Name],[1]!Bookings[Nationality])</f>
        <v>South Africa</v>
      </c>
      <c r="Q107">
        <f>XLOOKUP(E107,[1]!Bookings[Booking Name],[1]!Bookings[Discount Amount])</f>
        <v>0</v>
      </c>
      <c r="R107">
        <f>XLOOKUP(E107,[1]!Bookings[Booking Name],[1]!Bookings[Discount Percentage])</f>
        <v>0</v>
      </c>
      <c r="S107">
        <f>XLOOKUP(E107,[1]!Bookings[Booking Name],[1]!Bookings[Final Sale Value After Discount])</f>
        <v>2696000</v>
      </c>
      <c r="T107">
        <f>XLOOKUP(E107,[1]!Bookings[Booking Name],[1]!Bookings[Inv Final Sale Value])</f>
        <v>2696000</v>
      </c>
      <c r="U107" t="str">
        <f>XLOOKUP(E107,[1]!Bookings[Booking Name],[1]!Bookings[Sales])</f>
        <v>Nihal Mohamed</v>
      </c>
      <c r="V107" t="str">
        <f>XLOOKUP(E107,[1]!Bookings[Booking Name],[1]!Bookings[Agency Name])</f>
        <v>SKYRAN REAL ESTATE L.L.C</v>
      </c>
      <c r="W107" t="str">
        <f>XLOOKUP(E107,[1]!Bookings[Booking Name],[1]!Bookings[Booking ID])</f>
        <v>a03J600000BtSnl</v>
      </c>
      <c r="X107" t="str">
        <f>XLOOKUP(E107,[1]!Bookings[Booking Name],[1]!Bookings[Oracle Id])</f>
        <v>-</v>
      </c>
      <c r="Y107" t="str">
        <v>Not Available on Finance Tracker</v>
      </c>
      <c r="Z107" t="str">
        <v>No Payment</v>
      </c>
      <c r="AA107">
        <v>0</v>
      </c>
      <c r="AB107" t="str">
        <v>N/A</v>
      </c>
      <c r="AC107" t="str">
        <v>Cancelled due to Non Payment</v>
      </c>
      <c r="AD107" t="str">
        <v>https://onedevelopmentuae-my.sharepoint.com/personal/n_araujo_oneuae_com/Documents/Desktop/Norton-Local/Requests/Rejected%20Bookings/Booking-1015%20-%20Booking%20Rejection%20Request.pdf</v>
      </c>
      <c r="AE107" t="str">
        <v>Cancelled due to Non Payment</v>
      </c>
      <c r="AF107" t="str">
        <v>Cancellation Request raised by Sales Operations Team</v>
      </c>
    </row>
    <row r="108" xml:space="preserve">
      <c r="B108" t="str">
        <v>October</v>
      </c>
      <c r="C108">
        <v>45938</v>
      </c>
      <c r="D108">
        <f>XLOOKUP(E108,[1]!Bookings[Booking Name],[1]!Bookings[Rejected Date])</f>
        <v>45938</v>
      </c>
      <c r="E108" t="str">
        <v>Booking-1050</v>
      </c>
      <c r="F108" t="str">
        <f>XLOOKUP(E108,[1]!Bookings[Booking Name],[1]!Bookings[Booking Status])</f>
        <v>Rejected</v>
      </c>
      <c r="G108">
        <f>XLOOKUP(E108,[1]!Bookings[Booking Name],[1]!Bookings[Booking Date])</f>
        <v>45937</v>
      </c>
      <c r="H108">
        <f>XLOOKUP(E108,[1]!Bookings[Booking Name],[1]!Bookings[Booking Aging])</f>
        <v>122</v>
      </c>
      <c r="I108" t="str">
        <f>XLOOKUP(E108,[1]!Bookings[Booking Name],[1]!Bookings[Project Name])</f>
        <v>Laguna Residence</v>
      </c>
      <c r="J108" t="str">
        <f>XLOOKUP(E108,[1]!Bookings[Booking Name],[1]!Bookings[Building])</f>
        <v>Tower B</v>
      </c>
      <c r="K108" t="str">
        <f>XLOOKUP(E108,[1]!Bookings[Booking Name],[1]!Bookings[Bedrooms])</f>
        <v>Studio</v>
      </c>
      <c r="L108" t="str">
        <f>XLOOKUP(E108,[1]!Bookings[Booking Name],[1]!Bookings[Unit No.])</f>
        <v>B1205</v>
      </c>
      <c r="M108" t="str">
        <f>XLOOKUP(E108,[1]!Bookings[Booking Name],[1]!Bookings[Inventory Unit Status])</f>
        <v>SPA Executed</v>
      </c>
      <c r="N108" t="str">
        <f>XLOOKUP(E108,[1]!Bookings[Booking Name],[1]!Bookings[Booking Status])</f>
        <v>Rejected</v>
      </c>
      <c r="O108" t="str">
        <f>XLOOKUP(E108,[1]!Bookings[Booking Name],[1]!Bookings[Customer Name])</f>
        <v>Haaris Aslam Selia</v>
      </c>
      <c r="P108" t="str">
        <f>XLOOKUP(E108,[1]!Bookings[Booking Name],[1]!Bookings[Nationality])</f>
        <v>India</v>
      </c>
      <c r="Q108">
        <f>XLOOKUP(E108,[1]!Bookings[Booking Name],[1]!Bookings[Discount Amount])</f>
        <v>0</v>
      </c>
      <c r="R108">
        <f>XLOOKUP(E108,[1]!Bookings[Booking Name],[1]!Bookings[Discount Percentage])</f>
        <v>0</v>
      </c>
      <c r="S108">
        <f>XLOOKUP(E108,[1]!Bookings[Booking Name],[1]!Bookings[Final Sale Value After Discount])</f>
        <v>755000</v>
      </c>
      <c r="T108">
        <f>XLOOKUP(E108,[1]!Bookings[Booking Name],[1]!Bookings[Inv Final Sale Value])</f>
        <v>755000</v>
      </c>
      <c r="U108" t="str">
        <f>XLOOKUP(E108,[1]!Bookings[Booking Name],[1]!Bookings[Sales])</f>
        <v>Amal El Gendy</v>
      </c>
      <c r="V108" t="str">
        <f>XLOOKUP(E108,[1]!Bookings[Booking Name],[1]!Bookings[Agency Name])</f>
        <v>R E M REAL ESTATE BROKER OWNED BY MUNA SAYED SAEED ALHASHEMI</v>
      </c>
      <c r="W108" t="str">
        <f>XLOOKUP(E108,[1]!Bookings[Booking Name],[1]!Bookings[Booking ID])</f>
        <v>a03J600000Bu1f5</v>
      </c>
      <c r="X108" t="str">
        <f>XLOOKUP(E108,[1]!Bookings[Booking Name],[1]!Bookings[Oracle Id])</f>
        <v>-</v>
      </c>
      <c r="Y108" t="str">
        <v>Not Available on Finance Tracker</v>
      </c>
      <c r="Z108" t="str">
        <v>No Payment</v>
      </c>
      <c r="AA108">
        <v>0</v>
      </c>
      <c r="AB108" t="str">
        <v>N/A</v>
      </c>
      <c r="AC108" t="str" xml:space="preserve">
        <v xml:space="preserve">Duplicate Booking for unit B1205. (Unit was sold to another customer - Booking-509) Unit status was manually updated to Blocked creating the error._x000d_
Unit B2005 booked under Booking-1052</v>
      </c>
      <c r="AD108" t="str">
        <v>https://onedevelopmentuae-my.sharepoint.com/personal/n_araujo_oneuae_com/Documents/Desktop/Norton-Local/Requests/Rejected%20Bookings/Booking-1050%20-%20Booking%20Rejection%20Request.msg</v>
      </c>
      <c r="AE108" t="str">
        <v>Cancelled due to Duplicate Booking</v>
      </c>
      <c r="AF108" t="str">
        <v>Duplicate Booking</v>
      </c>
    </row>
    <row r="109">
      <c r="B109" t="str">
        <v>October</v>
      </c>
      <c r="C109">
        <v>45937</v>
      </c>
      <c r="D109">
        <f>XLOOKUP(E109,[1]!Bookings[Booking Name],[1]!Bookings[Rejected Date])</f>
        <v>45939</v>
      </c>
      <c r="E109" t="str">
        <v>Booking-1040</v>
      </c>
      <c r="F109" t="str">
        <f>XLOOKUP(E109,[1]!Bookings[Booking Name],[1]!Bookings[Booking Status])</f>
        <v>Rejected</v>
      </c>
      <c r="G109">
        <f>XLOOKUP(E109,[1]!Bookings[Booking Name],[1]!Bookings[Booking Date])</f>
        <v>45936</v>
      </c>
      <c r="H109">
        <f>XLOOKUP(E109,[1]!Bookings[Booking Name],[1]!Bookings[Booking Aging])</f>
        <v>123</v>
      </c>
      <c r="I109" t="str">
        <f>XLOOKUP(E109,[1]!Bookings[Booking Name],[1]!Bookings[Project Name])</f>
        <v>Laguna Residence</v>
      </c>
      <c r="J109" t="str">
        <f>XLOOKUP(E109,[1]!Bookings[Booking Name],[1]!Bookings[Building])</f>
        <v>Tower B</v>
      </c>
      <c r="K109" t="str">
        <f>XLOOKUP(E109,[1]!Bookings[Booking Name],[1]!Bookings[Bedrooms])</f>
        <v>1 Bedroom</v>
      </c>
      <c r="L109" t="str">
        <f>XLOOKUP(E109,[1]!Bookings[Booking Name],[1]!Bookings[Unit No.])</f>
        <v>B1103</v>
      </c>
      <c r="M109" t="str">
        <f>XLOOKUP(E109,[1]!Bookings[Booking Name],[1]!Bookings[Inventory Unit Status])</f>
        <v>Available</v>
      </c>
      <c r="N109" t="str">
        <f>XLOOKUP(E109,[1]!Bookings[Booking Name],[1]!Bookings[Booking Status])</f>
        <v>Rejected</v>
      </c>
      <c r="O109" t="str">
        <f>XLOOKUP(E109,[1]!Bookings[Booking Name],[1]!Bookings[Customer Name])</f>
        <v>Basel Amin Yahia</v>
      </c>
      <c r="P109" t="str">
        <f>XLOOKUP(E109,[1]!Bookings[Booking Name],[1]!Bookings[Nationality])</f>
        <v>Syria</v>
      </c>
      <c r="Q109">
        <f>XLOOKUP(E109,[1]!Bookings[Booking Name],[1]!Bookings[Discount Amount])</f>
        <v>63000</v>
      </c>
      <c r="R109">
        <f>XLOOKUP(E109,[1]!Bookings[Booking Name],[1]!Bookings[Discount Percentage])</f>
        <v>0.039647577092511016</v>
      </c>
      <c r="S109">
        <f>XLOOKUP(E109,[1]!Bookings[Booking Name],[1]!Bookings[Final Sale Value After Discount])</f>
        <v>1526000</v>
      </c>
      <c r="T109">
        <f>XLOOKUP(E109,[1]!Bookings[Booking Name],[1]!Bookings[Inv Final Sale Value])</f>
        <v>1589000</v>
      </c>
      <c r="U109" t="str">
        <f>XLOOKUP(E109,[1]!Bookings[Booking Name],[1]!Bookings[Sales])</f>
        <v>Fadi Ismander</v>
      </c>
      <c r="V109" t="str">
        <f>XLOOKUP(E109,[1]!Bookings[Booking Name],[1]!Bookings[Agency Name])</f>
        <v>RISE PROPERTIES L.L.C</v>
      </c>
      <c r="W109" t="str">
        <f>XLOOKUP(E109,[1]!Bookings[Booking Name],[1]!Bookings[Booking ID])</f>
        <v>a03J600000Bty49</v>
      </c>
      <c r="X109" t="str">
        <f>XLOOKUP(E109,[1]!Bookings[Booking Name],[1]!Bookings[Oracle Id])</f>
        <v>-</v>
      </c>
      <c r="Y109" t="str">
        <v>Not Available on Finance Tracker</v>
      </c>
      <c r="Z109" t="str">
        <v>No Payment</v>
      </c>
      <c r="AA109">
        <v>0</v>
      </c>
      <c r="AB109" t="str">
        <v>N/A</v>
      </c>
      <c r="AC109" t="str">
        <v>Customer requested to cancel</v>
      </c>
      <c r="AD109" t="str">
        <v>https://onedevelopmentuae-my.sharepoint.com/personal/n_araujo_oneuae_com/Documents/Desktop/Norton-Local/Requests/Rejected%20Bookings/Booking-1040%20-%20Booking%20Rejection%20Request.msg</v>
      </c>
      <c r="AE109" t="str">
        <v>Customer requested to cancel</v>
      </c>
      <c r="AF109" t="str">
        <v>Customer is unable to continue with the Purchase</v>
      </c>
    </row>
    <row r="110">
      <c r="B110" t="str">
        <v>October</v>
      </c>
      <c r="C110">
        <v>45936</v>
      </c>
      <c r="D110">
        <f>XLOOKUP(E110,[1]!Bookings[Booking Name],[1]!Bookings[Rejected Date])</f>
        <v>45939</v>
      </c>
      <c r="E110" t="str">
        <v>Booking-1022</v>
      </c>
      <c r="F110" t="str">
        <f>XLOOKUP(E110,[1]!Bookings[Booking Name],[1]!Bookings[Booking Status])</f>
        <v>Rejected</v>
      </c>
      <c r="G110">
        <f>XLOOKUP(E110,[1]!Bookings[Booking Name],[1]!Bookings[Booking Date])</f>
        <v>45930</v>
      </c>
      <c r="H110">
        <f>XLOOKUP(E110,[1]!Bookings[Booking Name],[1]!Bookings[Booking Aging])</f>
        <v>129</v>
      </c>
      <c r="I110" t="str">
        <f>XLOOKUP(E110,[1]!Bookings[Booking Name],[1]!Bookings[Project Name])</f>
        <v>Do Dubai Island</v>
      </c>
      <c r="J110" t="str">
        <f>XLOOKUP(E110,[1]!Bookings[Booking Name],[1]!Bookings[Building])</f>
        <v>Tower 1</v>
      </c>
      <c r="K110" t="str">
        <f>XLOOKUP(E110,[1]!Bookings[Booking Name],[1]!Bookings[Bedrooms])</f>
        <v>1 Bedroom</v>
      </c>
      <c r="L110" t="str">
        <f>XLOOKUP(E110,[1]!Bookings[Booking Name],[1]!Bookings[Unit No.])</f>
        <v>316</v>
      </c>
      <c r="M110" t="str">
        <f>XLOOKUP(E110,[1]!Bookings[Booking Name],[1]!Bookings[Inventory Unit Status])</f>
        <v>Blocked</v>
      </c>
      <c r="N110" t="str">
        <f>XLOOKUP(E110,[1]!Bookings[Booking Name],[1]!Bookings[Booking Status])</f>
        <v>Rejected</v>
      </c>
      <c r="O110" t="str">
        <f>XLOOKUP(E110,[1]!Bookings[Booking Name],[1]!Bookings[Customer Name])</f>
        <v>Soufian Chamlal</v>
      </c>
      <c r="P110" t="str">
        <f>XLOOKUP(E110,[1]!Bookings[Booking Name],[1]!Bookings[Nationality])</f>
        <v>Netherlands</v>
      </c>
      <c r="Q110">
        <f>XLOOKUP(E110,[1]!Bookings[Booking Name],[1]!Bookings[Discount Amount])</f>
        <v>0</v>
      </c>
      <c r="R110">
        <f>XLOOKUP(E110,[1]!Bookings[Booking Name],[1]!Bookings[Discount Percentage])</f>
        <v>0</v>
      </c>
      <c r="S110">
        <f>XLOOKUP(E110,[1]!Bookings[Booking Name],[1]!Bookings[Final Sale Value After Discount])</f>
        <v>2218000</v>
      </c>
      <c r="T110">
        <f>XLOOKUP(E110,[1]!Bookings[Booking Name],[1]!Bookings[Inv Final Sale Value])</f>
        <v>2218000</v>
      </c>
      <c r="U110" t="str">
        <f>XLOOKUP(E110,[1]!Bookings[Booking Name],[1]!Bookings[Sales])</f>
        <v>Joudy Shaker</v>
      </c>
      <c r="V110" t="str">
        <f>XLOOKUP(E110,[1]!Bookings[Booking Name],[1]!Bookings[Agency Name])</f>
        <v>GLOBEX REAL ESTATE L L C</v>
      </c>
      <c r="W110" t="str">
        <f>XLOOKUP(E110,[1]!Bookings[Booking Name],[1]!Bookings[Booking ID])</f>
        <v>a03J600000BtgwE</v>
      </c>
      <c r="X110" t="str">
        <f>XLOOKUP(E110,[1]!Bookings[Booking Name],[1]!Bookings[Oracle Id])</f>
        <v>-</v>
      </c>
      <c r="Y110" t="str">
        <v>Not Available on Finance Tracker</v>
      </c>
      <c r="Z110" t="str">
        <v>No Payment</v>
      </c>
      <c r="AA110">
        <v>0</v>
      </c>
      <c r="AB110" t="str">
        <v>N/A</v>
      </c>
      <c r="AC110" t="str">
        <v>Cancellation raised by Sales Manager as no payment was received and the unit was booked under the Brokers Name</v>
      </c>
      <c r="AD110" t="str">
        <v>https://onedevelopmentuae-my.sharepoint.com/personal/n_araujo_oneuae_com/Documents/Desktop/Norton-Local/Requests/Rejected%20Bookings/Booking-1021%20%26amp%3B%20Booking-1022%20-%20Booking%20Rejection%20Request.msg</v>
      </c>
      <c r="AE110" t="str">
        <v>Cancelled due to Non Payment</v>
      </c>
      <c r="AF110" t="str">
        <v>Cancellation Request raised by Sales Operations Team</v>
      </c>
    </row>
    <row r="111">
      <c r="B111" t="str">
        <v>October</v>
      </c>
      <c r="C111">
        <v>45936</v>
      </c>
      <c r="D111">
        <f>XLOOKUP(E111,[1]!Bookings[Booking Name],[1]!Bookings[Rejected Date])</f>
        <v>45939</v>
      </c>
      <c r="E111" t="str">
        <v>Booking-1021</v>
      </c>
      <c r="F111" t="str">
        <f>XLOOKUP(E111,[1]!Bookings[Booking Name],[1]!Bookings[Booking Status])</f>
        <v>Rejected</v>
      </c>
      <c r="G111">
        <f>XLOOKUP(E111,[1]!Bookings[Booking Name],[1]!Bookings[Booking Date])</f>
        <v>45930</v>
      </c>
      <c r="H111">
        <f>XLOOKUP(E111,[1]!Bookings[Booking Name],[1]!Bookings[Booking Aging])</f>
        <v>129</v>
      </c>
      <c r="I111" t="str">
        <f>XLOOKUP(E111,[1]!Bookings[Booking Name],[1]!Bookings[Project Name])</f>
        <v>Laguna Residence</v>
      </c>
      <c r="J111" t="str">
        <f>XLOOKUP(E111,[1]!Bookings[Booking Name],[1]!Bookings[Building])</f>
        <v>Tower A</v>
      </c>
      <c r="K111" t="str">
        <f>XLOOKUP(E111,[1]!Bookings[Booking Name],[1]!Bookings[Bedrooms])</f>
        <v>2 Bedroom</v>
      </c>
      <c r="L111" t="str">
        <f>XLOOKUP(E111,[1]!Bookings[Booking Name],[1]!Bookings[Unit No.])</f>
        <v>A2107</v>
      </c>
      <c r="M111" t="str">
        <f>XLOOKUP(E111,[1]!Bookings[Booking Name],[1]!Bookings[Inventory Unit Status])</f>
        <v>Booked</v>
      </c>
      <c r="N111" t="str">
        <f>XLOOKUP(E111,[1]!Bookings[Booking Name],[1]!Bookings[Booking Status])</f>
        <v>Rejected</v>
      </c>
      <c r="O111" t="str">
        <f>XLOOKUP(E111,[1]!Bookings[Booking Name],[1]!Bookings[Customer Name])</f>
        <v>Soufian Chamlal</v>
      </c>
      <c r="P111" t="str">
        <f>XLOOKUP(E111,[1]!Bookings[Booking Name],[1]!Bookings[Nationality])</f>
        <v>Netherlands</v>
      </c>
      <c r="Q111">
        <f>XLOOKUP(E111,[1]!Bookings[Booking Name],[1]!Bookings[Discount Amount])</f>
        <v>0</v>
      </c>
      <c r="R111">
        <f>XLOOKUP(E111,[1]!Bookings[Booking Name],[1]!Bookings[Discount Percentage])</f>
        <v>0</v>
      </c>
      <c r="S111">
        <f>XLOOKUP(E111,[1]!Bookings[Booking Name],[1]!Bookings[Final Sale Value After Discount])</f>
        <v>1917000</v>
      </c>
      <c r="T111">
        <f>XLOOKUP(E111,[1]!Bookings[Booking Name],[1]!Bookings[Inv Final Sale Value])</f>
        <v>1917000</v>
      </c>
      <c r="U111" t="str">
        <f>XLOOKUP(E111,[1]!Bookings[Booking Name],[1]!Bookings[Sales])</f>
        <v>Joudy Shaker</v>
      </c>
      <c r="V111" t="str">
        <f>XLOOKUP(E111,[1]!Bookings[Booking Name],[1]!Bookings[Agency Name])</f>
        <v>GLOBEX REAL ESTATE L L C</v>
      </c>
      <c r="W111" t="str">
        <f>XLOOKUP(E111,[1]!Bookings[Booking Name],[1]!Bookings[Booking ID])</f>
        <v>a03J600000Btgwh</v>
      </c>
      <c r="X111" t="str">
        <f>XLOOKUP(E111,[1]!Bookings[Booking Name],[1]!Bookings[Oracle Id])</f>
        <v>-</v>
      </c>
      <c r="Y111" t="str">
        <v>Not Available on Finance Tracker</v>
      </c>
      <c r="Z111" t="str">
        <v>No Payment</v>
      </c>
      <c r="AA111">
        <v>0</v>
      </c>
      <c r="AB111" t="str">
        <v>N/A</v>
      </c>
      <c r="AC111" t="str">
        <v>Cancellation raised by Sales Manager as no payment was received and the unit was booked under the Brokers Name</v>
      </c>
      <c r="AD111" t="str">
        <v>https://onedevelopmentuae-my.sharepoint.com/personal/n_araujo_oneuae_com/Documents/Desktop/Norton-Local/Requests/Rejected%20Bookings/Booking-1021%20%26amp%3B%20Booking-1022%20-%20Booking%20Rejection%20Request.msg</v>
      </c>
      <c r="AE111" t="str">
        <v>Cancelled due to Non Payment</v>
      </c>
      <c r="AF111" t="str">
        <v>Cancellation Request raised by Sales Operations Team</v>
      </c>
    </row>
    <row r="112">
      <c r="B112" t="str">
        <v>October</v>
      </c>
      <c r="C112">
        <v>45934</v>
      </c>
      <c r="D112">
        <f>XLOOKUP(E112,[1]!Bookings[Booking Name],[1]!Bookings[Rejected Date])</f>
        <v>45937</v>
      </c>
      <c r="E112" t="str">
        <v>Booking-1002</v>
      </c>
      <c r="F112" t="str">
        <f>XLOOKUP(E112,[1]!Bookings[Booking Name],[1]!Bookings[Booking Status])</f>
        <v>Rejected</v>
      </c>
      <c r="G112">
        <f>XLOOKUP(E112,[1]!Bookings[Booking Name],[1]!Bookings[Booking Date])</f>
        <v>45919</v>
      </c>
      <c r="H112">
        <f>XLOOKUP(E112,[1]!Bookings[Booking Name],[1]!Bookings[Booking Aging])</f>
        <v>140</v>
      </c>
      <c r="I112" t="str">
        <f>XLOOKUP(E112,[1]!Bookings[Booking Name],[1]!Bookings[Project Name])</f>
        <v>Laguna Residence</v>
      </c>
      <c r="J112" t="str">
        <f>XLOOKUP(E112,[1]!Bookings[Booking Name],[1]!Bookings[Building])</f>
        <v>Tower A</v>
      </c>
      <c r="K112" t="str">
        <f>XLOOKUP(E112,[1]!Bookings[Booking Name],[1]!Bookings[Bedrooms])</f>
        <v>2 Bedroom</v>
      </c>
      <c r="L112" t="str">
        <f>XLOOKUP(E112,[1]!Bookings[Booking Name],[1]!Bookings[Unit No.])</f>
        <v>A4005</v>
      </c>
      <c r="M112" t="str">
        <f>XLOOKUP(E112,[1]!Bookings[Booking Name],[1]!Bookings[Inventory Unit Status])</f>
        <v>Blocked</v>
      </c>
      <c r="N112" t="str">
        <f>XLOOKUP(E112,[1]!Bookings[Booking Name],[1]!Bookings[Booking Status])</f>
        <v>Rejected</v>
      </c>
      <c r="O112" t="str">
        <f>XLOOKUP(E112,[1]!Bookings[Booking Name],[1]!Bookings[Customer Name])</f>
        <v>Ibrahim Caner Ozger</v>
      </c>
      <c r="P112" t="str">
        <f>XLOOKUP(E112,[1]!Bookings[Booking Name],[1]!Bookings[Nationality])</f>
        <v>Turkey</v>
      </c>
      <c r="Q112">
        <f>XLOOKUP(E112,[1]!Bookings[Booking Name],[1]!Bookings[Discount Amount])</f>
        <v>250354</v>
      </c>
      <c r="R112">
        <f>XLOOKUP(E112,[1]!Bookings[Booking Name],[1]!Bookings[Discount Percentage])</f>
        <v>0.09440196078431373</v>
      </c>
      <c r="S112">
        <f>XLOOKUP(E112,[1]!Bookings[Booking Name],[1]!Bookings[Final Sale Value After Discount])</f>
        <v>2401646</v>
      </c>
      <c r="T112">
        <f>XLOOKUP(E112,[1]!Bookings[Booking Name],[1]!Bookings[Inv Final Sale Value])</f>
        <v>2652000</v>
      </c>
      <c r="U112" t="str">
        <f>XLOOKUP(E112,[1]!Bookings[Booking Name],[1]!Bookings[Sales])</f>
        <v>Mariam Shakuhi</v>
      </c>
      <c r="V112" t="str">
        <f>XLOOKUP(E112,[1]!Bookings[Booking Name],[1]!Bookings[Agency Name])</f>
        <v/>
      </c>
      <c r="W112" t="str">
        <f>XLOOKUP(E112,[1]!Bookings[Booking Name],[1]!Bookings[Booking ID])</f>
        <v>a03J600000Bsxl8</v>
      </c>
      <c r="X112" t="str">
        <f>XLOOKUP(E112,[1]!Bookings[Booking Name],[1]!Bookings[Oracle Id])</f>
        <v>-</v>
      </c>
      <c r="Y112" t="str">
        <v>Not Available on Finance Tracker</v>
      </c>
      <c r="Z112">
        <v>10000</v>
      </c>
      <c r="AA112">
        <v>0.004163810986298563</v>
      </c>
      <c r="AB112" t="str">
        <v>No</v>
      </c>
      <c r="AC112" t="str">
        <v>Unit Swapped with A2101 as approved by Management</v>
      </c>
      <c r="AD112" t="str">
        <v>https://onedevelopmentuae-my.sharepoint.com/personal/n_araujo_oneuae_com/Documents/Desktop/Norton-Local/Requests/Rejected%20Bookings/Booking-1002%20-%20Booking%20Rejection%20Request.msg</v>
      </c>
      <c r="AE112" t="str">
        <v>Unit Swap - Approved by Management</v>
      </c>
      <c r="AF112" t="str">
        <v>Swapped from A4005 to A2101</v>
      </c>
    </row>
    <row r="113">
      <c r="B113" t="str">
        <v>October</v>
      </c>
      <c r="C113">
        <v>45934</v>
      </c>
      <c r="D113">
        <f>XLOOKUP(E113,[1]!Bookings[Booking Name],[1]!Bookings[Rejected Date])</f>
        <v>45937</v>
      </c>
      <c r="E113" t="str">
        <v>Booking-1001</v>
      </c>
      <c r="F113" t="str">
        <f>XLOOKUP(E113,[1]!Bookings[Booking Name],[1]!Bookings[Booking Status])</f>
        <v>Rejected</v>
      </c>
      <c r="G113">
        <f>XLOOKUP(E113,[1]!Bookings[Booking Name],[1]!Bookings[Booking Date])</f>
        <v>45919</v>
      </c>
      <c r="H113">
        <f>XLOOKUP(E113,[1]!Bookings[Booking Name],[1]!Bookings[Booking Aging])</f>
        <v>140</v>
      </c>
      <c r="I113" t="str">
        <f>XLOOKUP(E113,[1]!Bookings[Booking Name],[1]!Bookings[Project Name])</f>
        <v>Laguna Residence</v>
      </c>
      <c r="J113" t="str">
        <f>XLOOKUP(E113,[1]!Bookings[Booking Name],[1]!Bookings[Building])</f>
        <v>Tower A</v>
      </c>
      <c r="K113" t="str">
        <f>XLOOKUP(E113,[1]!Bookings[Booking Name],[1]!Bookings[Bedrooms])</f>
        <v>2 Bedroom</v>
      </c>
      <c r="L113" t="str">
        <f>XLOOKUP(E113,[1]!Bookings[Booking Name],[1]!Bookings[Unit No.])</f>
        <v>A4105</v>
      </c>
      <c r="M113" t="str">
        <f>XLOOKUP(E113,[1]!Bookings[Booking Name],[1]!Bookings[Inventory Unit Status])</f>
        <v>Blocked</v>
      </c>
      <c r="N113" t="str">
        <f>XLOOKUP(E113,[1]!Bookings[Booking Name],[1]!Bookings[Booking Status])</f>
        <v>Rejected</v>
      </c>
      <c r="O113" t="str">
        <f>XLOOKUP(E113,[1]!Bookings[Booking Name],[1]!Bookings[Customer Name])</f>
        <v>Muhammed Devvud</v>
      </c>
      <c r="P113" t="str">
        <f>XLOOKUP(E113,[1]!Bookings[Booking Name],[1]!Bookings[Nationality])</f>
        <v>Turkey</v>
      </c>
      <c r="Q113">
        <f>XLOOKUP(E113,[1]!Bookings[Booking Name],[1]!Bookings[Discount Amount])</f>
        <v>208880</v>
      </c>
      <c r="R113">
        <f>XLOOKUP(E113,[1]!Bookings[Booking Name],[1]!Bookings[Discount Percentage])</f>
        <v>0.08</v>
      </c>
      <c r="S113">
        <f>XLOOKUP(E113,[1]!Bookings[Booking Name],[1]!Bookings[Final Sale Value After Discount])</f>
        <v>2402120</v>
      </c>
      <c r="T113">
        <f>XLOOKUP(E113,[1]!Bookings[Booking Name],[1]!Bookings[Inv Final Sale Value])</f>
        <v>2611000</v>
      </c>
      <c r="U113" t="str">
        <f>XLOOKUP(E113,[1]!Bookings[Booking Name],[1]!Bookings[Sales])</f>
        <v>Mariam Shakuhi</v>
      </c>
      <c r="V113" t="str">
        <f>XLOOKUP(E113,[1]!Bookings[Booking Name],[1]!Bookings[Agency Name])</f>
        <v/>
      </c>
      <c r="W113" t="str">
        <f>XLOOKUP(E113,[1]!Bookings[Booking Name],[1]!Bookings[Booking ID])</f>
        <v>a03J600000Bsxkr</v>
      </c>
      <c r="X113" t="str">
        <f>XLOOKUP(E113,[1]!Bookings[Booking Name],[1]!Bookings[Oracle Id])</f>
        <v>-</v>
      </c>
      <c r="Y113" t="str">
        <v>Not Available on Finance Tracker</v>
      </c>
      <c r="Z113">
        <v>10000</v>
      </c>
      <c r="AA113">
        <v>0.004162989359399198</v>
      </c>
      <c r="AB113" t="str">
        <v>No</v>
      </c>
      <c r="AC113" t="str">
        <v>Unit Swapped with A2001 as approved by Management</v>
      </c>
      <c r="AD113" t="str">
        <v>https://onedevelopmentuae-my.sharepoint.com/personal/n_araujo_oneuae_com/Documents/Desktop/Norton-Local/Requests/Rejected%20Bookings/Booking-1001%20-%20Booking%20Rejection%20Request.msg</v>
      </c>
      <c r="AE113" t="str">
        <v>Unit Swap - Approved by Management</v>
      </c>
      <c r="AF113" t="str">
        <v>Swapped from A4105 to A2001</v>
      </c>
    </row>
    <row r="114">
      <c r="B114" t="str">
        <v>October</v>
      </c>
      <c r="C114">
        <v>45933</v>
      </c>
      <c r="D114">
        <f>XLOOKUP(E114,[1]!Bookings[Booking Name],[1]!Bookings[Rejected Date])</f>
        <v>45936</v>
      </c>
      <c r="E114" t="str">
        <v>Booking-1030</v>
      </c>
      <c r="F114" t="str">
        <f>XLOOKUP(E114,[1]!Bookings[Booking Name],[1]!Bookings[Booking Status])</f>
        <v>Rejected</v>
      </c>
      <c r="G114">
        <f>XLOOKUP(E114,[1]!Bookings[Booking Name],[1]!Bookings[Booking Date])</f>
        <v>45933</v>
      </c>
      <c r="H114">
        <f>XLOOKUP(E114,[1]!Bookings[Booking Name],[1]!Bookings[Booking Aging])</f>
        <v>126</v>
      </c>
      <c r="I114" t="str">
        <f>XLOOKUP(E114,[1]!Bookings[Booking Name],[1]!Bookings[Project Name])</f>
        <v>Laguna Residence</v>
      </c>
      <c r="J114" t="str">
        <f>XLOOKUP(E114,[1]!Bookings[Booking Name],[1]!Bookings[Building])</f>
        <v>Tower B</v>
      </c>
      <c r="K114" t="str">
        <f>XLOOKUP(E114,[1]!Bookings[Booking Name],[1]!Bookings[Bedrooms])</f>
        <v>2 Bedroom</v>
      </c>
      <c r="L114" t="str">
        <f>XLOOKUP(E114,[1]!Bookings[Booking Name],[1]!Bookings[Unit No.])</f>
        <v>B2402</v>
      </c>
      <c r="M114" t="str">
        <f>XLOOKUP(E114,[1]!Bookings[Booking Name],[1]!Bookings[Inventory Unit Status])</f>
        <v>SPA Executed</v>
      </c>
      <c r="N114" t="str">
        <f>XLOOKUP(E114,[1]!Bookings[Booking Name],[1]!Bookings[Booking Status])</f>
        <v>Rejected</v>
      </c>
      <c r="O114" t="str">
        <f>XLOOKUP(E114,[1]!Bookings[Booking Name],[1]!Bookings[Customer Name])</f>
        <v>Rami Kamaleldin Elnour Fadul</v>
      </c>
      <c r="P114" t="str">
        <f>XLOOKUP(E114,[1]!Bookings[Booking Name],[1]!Bookings[Nationality])</f>
        <v>Sudan</v>
      </c>
      <c r="Q114">
        <f>XLOOKUP(E114,[1]!Bookings[Booking Name],[1]!Bookings[Discount Amount])</f>
        <v>0</v>
      </c>
      <c r="R114">
        <f>XLOOKUP(E114,[1]!Bookings[Booking Name],[1]!Bookings[Discount Percentage])</f>
        <v>0</v>
      </c>
      <c r="S114">
        <f>XLOOKUP(E114,[1]!Bookings[Booking Name],[1]!Bookings[Final Sale Value After Discount])</f>
        <v>2252000</v>
      </c>
      <c r="T114">
        <f>XLOOKUP(E114,[1]!Bookings[Booking Name],[1]!Bookings[Inv Final Sale Value])</f>
        <v>2252000</v>
      </c>
      <c r="U114" t="str">
        <f>XLOOKUP(E114,[1]!Bookings[Booking Name],[1]!Bookings[Sales])</f>
        <v>Mohamed El Shimy</v>
      </c>
      <c r="V114" t="str">
        <f>XLOOKUP(E114,[1]!Bookings[Booking Name],[1]!Bookings[Agency Name])</f>
        <v>Eleva Properties LLC</v>
      </c>
      <c r="W114" t="str">
        <f>XLOOKUP(E114,[1]!Bookings[Booking Name],[1]!Bookings[Booking ID])</f>
        <v>a03J600000Btrkg</v>
      </c>
      <c r="X114" t="str">
        <f>XLOOKUP(E114,[1]!Bookings[Booking Name],[1]!Bookings[Oracle Id])</f>
        <v>-</v>
      </c>
      <c r="Y114" t="str">
        <v>Not Available on Finance Tracker</v>
      </c>
      <c r="Z114" t="str">
        <v>No Payment</v>
      </c>
      <c r="AA114">
        <v>0</v>
      </c>
      <c r="AB114" t="str">
        <v>N/A</v>
      </c>
      <c r="AC114" t="str">
        <v>Booking was created under wrong Customer Name</v>
      </c>
      <c r="AD114" t="str">
        <v>https://onedevelopmentuae-my.sharepoint.com/personal/n_araujo_oneuae_com/Documents/Desktop/Norton-Local/Requests/Rejected%20Bookings/Booking-1030%20-%20Booking%20Rejection%20Request.msg</v>
      </c>
      <c r="AE114" t="str">
        <v>Incorrect Customer Details entered while Booking</v>
      </c>
      <c r="AF114" t="str">
        <v xml:space="preserve">Unit was to be booked under "Dilier Sanchez Mora" </v>
      </c>
    </row>
    <row r="115">
      <c r="B115" t="str">
        <v>September</v>
      </c>
      <c r="C115">
        <v>45930</v>
      </c>
      <c r="D115">
        <f>XLOOKUP(E115,[1]!Bookings[Booking Name],[1]!Bookings[Rejected Date])</f>
        <v>45930</v>
      </c>
      <c r="E115" t="str">
        <v>Booking-956</v>
      </c>
      <c r="F115" t="str">
        <f>XLOOKUP(E115,[1]!Bookings[Booking Name],[1]!Bookings[Booking Status])</f>
        <v>Rejected</v>
      </c>
      <c r="G115">
        <f>XLOOKUP(E115,[1]!Bookings[Booking Name],[1]!Bookings[Booking Date])</f>
        <v>45897</v>
      </c>
      <c r="H115">
        <f>XLOOKUP(E115,[1]!Bookings[Booking Name],[1]!Bookings[Booking Aging])</f>
        <v>162</v>
      </c>
      <c r="I115" t="str">
        <f>XLOOKUP(E115,[1]!Bookings[Booking Name],[1]!Bookings[Project Name])</f>
        <v>Do Dubai Island</v>
      </c>
      <c r="J115" t="str">
        <f>XLOOKUP(E115,[1]!Bookings[Booking Name],[1]!Bookings[Building])</f>
        <v>Tower 1</v>
      </c>
      <c r="K115" t="str">
        <f>XLOOKUP(E115,[1]!Bookings[Booking Name],[1]!Bookings[Bedrooms])</f>
        <v>Studio</v>
      </c>
      <c r="L115" t="str">
        <f>XLOOKUP(E115,[1]!Bookings[Booking Name],[1]!Bookings[Unit No.])</f>
        <v>110</v>
      </c>
      <c r="M115" t="str">
        <f>XLOOKUP(E115,[1]!Bookings[Booking Name],[1]!Bookings[Inventory Unit Status])</f>
        <v>SPA Executed</v>
      </c>
      <c r="N115" t="str">
        <f>XLOOKUP(E115,[1]!Bookings[Booking Name],[1]!Bookings[Booking Status])</f>
        <v>Rejected</v>
      </c>
      <c r="O115" t="str">
        <f>XLOOKUP(E115,[1]!Bookings[Booking Name],[1]!Bookings[Customer Name])</f>
        <v>Stanislav Krulic</v>
      </c>
      <c r="P115" t="str">
        <f>XLOOKUP(E115,[1]!Bookings[Booking Name],[1]!Bookings[Nationality])</f>
        <v>Croatia</v>
      </c>
      <c r="Q115">
        <f>XLOOKUP(E115,[1]!Bookings[Booking Name],[1]!Bookings[Discount Amount])</f>
        <v>19000</v>
      </c>
      <c r="R115">
        <f>XLOOKUP(E115,[1]!Bookings[Booking Name],[1]!Bookings[Discount Percentage])</f>
        <v>0.0152</v>
      </c>
      <c r="S115">
        <f>XLOOKUP(E115,[1]!Bookings[Booking Name],[1]!Bookings[Final Sale Value After Discount])</f>
        <v>1231000</v>
      </c>
      <c r="T115">
        <f>XLOOKUP(E115,[1]!Bookings[Booking Name],[1]!Bookings[Inv Final Sale Value])</f>
        <v>1250000</v>
      </c>
      <c r="U115" t="str">
        <f>XLOOKUP(E115,[1]!Bookings[Booking Name],[1]!Bookings[Sales])</f>
        <v>Zeynep Mustekin</v>
      </c>
      <c r="V115" t="str">
        <f>XLOOKUP(E115,[1]!Bookings[Booking Name],[1]!Bookings[Agency Name])</f>
        <v>CAMELIA REAL ESTATE</v>
      </c>
      <c r="W115" t="str">
        <f>XLOOKUP(E115,[1]!Bookings[Booking Name],[1]!Bookings[Booking ID])</f>
        <v>a03J600000Brhg4</v>
      </c>
      <c r="X115" t="str">
        <f>XLOOKUP(E115,[1]!Bookings[Booking Name],[1]!Bookings[Oracle Id])</f>
        <v>-</v>
      </c>
      <c r="Y115" t="str">
        <v>Not Available on Finance Tracker</v>
      </c>
      <c r="Z115">
        <v>50000</v>
      </c>
      <c r="AA115">
        <v>0.04061738424045491</v>
      </c>
      <c r="AB115" t="str">
        <v>No</v>
      </c>
      <c r="AC115" t="str">
        <v>Cancelled due to Non Payment</v>
      </c>
      <c r="AD115" t="str">
        <v>https://onedevelopmentuae-my.sharepoint.com/personal/n_araujo_oneuae_com/Documents/Desktop/Norton-Local/Requests/Rejected%20Bookings/Booking-956%20-%20Booking%20Rejection%20Request.msg</v>
      </c>
      <c r="AE115" t="str">
        <v>Cancelled due to Non Payment</v>
      </c>
      <c r="AF115" t="str">
        <v>Cancellation Request raised by Collections Team</v>
      </c>
    </row>
    <row r="116">
      <c r="B116" t="str">
        <v>September</v>
      </c>
      <c r="C116">
        <v>45930</v>
      </c>
      <c r="D116">
        <f>XLOOKUP(E116,[1]!Bookings[Booking Name],[1]!Bookings[Rejected Date])</f>
        <v>45939</v>
      </c>
      <c r="E116" t="str">
        <v>Booking-980</v>
      </c>
      <c r="F116" t="str">
        <f>XLOOKUP(E116,[1]!Bookings[Booking Name],[1]!Bookings[Booking Status])</f>
        <v>Rejected</v>
      </c>
      <c r="G116">
        <f>XLOOKUP(E116,[1]!Bookings[Booking Name],[1]!Bookings[Booking Date])</f>
        <v>45909</v>
      </c>
      <c r="H116">
        <f>XLOOKUP(E116,[1]!Bookings[Booking Name],[1]!Bookings[Booking Aging])</f>
        <v>150</v>
      </c>
      <c r="I116" t="str">
        <f>XLOOKUP(E116,[1]!Bookings[Booking Name],[1]!Bookings[Project Name])</f>
        <v>Laguna Residence</v>
      </c>
      <c r="J116" t="str">
        <f>XLOOKUP(E116,[1]!Bookings[Booking Name],[1]!Bookings[Building])</f>
        <v>Tower A</v>
      </c>
      <c r="K116" t="str">
        <f>XLOOKUP(E116,[1]!Bookings[Booking Name],[1]!Bookings[Bedrooms])</f>
        <v>Studio</v>
      </c>
      <c r="L116" t="str">
        <f>XLOOKUP(E116,[1]!Bookings[Booking Name],[1]!Bookings[Unit No.])</f>
        <v>A2112</v>
      </c>
      <c r="M116" t="str">
        <f>XLOOKUP(E116,[1]!Bookings[Booking Name],[1]!Bookings[Inventory Unit Status])</f>
        <v>Blocked</v>
      </c>
      <c r="N116" t="str">
        <f>XLOOKUP(E116,[1]!Bookings[Booking Name],[1]!Bookings[Booking Status])</f>
        <v>Rejected</v>
      </c>
      <c r="O116" t="str">
        <f>XLOOKUP(E116,[1]!Bookings[Booking Name],[1]!Bookings[Customer Name])</f>
        <v>Shiv Gupta</v>
      </c>
      <c r="P116" t="str">
        <f>XLOOKUP(E116,[1]!Bookings[Booking Name],[1]!Bookings[Nationality])</f>
        <v>India</v>
      </c>
      <c r="Q116">
        <f>XLOOKUP(E116,[1]!Bookings[Booking Name],[1]!Bookings[Discount Amount])</f>
        <v>41900</v>
      </c>
      <c r="R116">
        <f>XLOOKUP(E116,[1]!Bookings[Booking Name],[1]!Bookings[Discount Percentage])</f>
        <v>0.05</v>
      </c>
      <c r="S116">
        <f>XLOOKUP(E116,[1]!Bookings[Booking Name],[1]!Bookings[Final Sale Value After Discount])</f>
        <v>796100</v>
      </c>
      <c r="T116">
        <f>XLOOKUP(E116,[1]!Bookings[Booking Name],[1]!Bookings[Inv Final Sale Value])</f>
        <v>838000</v>
      </c>
      <c r="U116" t="str">
        <f>XLOOKUP(E116,[1]!Bookings[Booking Name],[1]!Bookings[Sales])</f>
        <v>Jude Kwakye</v>
      </c>
      <c r="V116" t="str">
        <f>XLOOKUP(E116,[1]!Bookings[Booking Name],[1]!Bookings[Agency Name])</f>
        <v>SOVEEREIGN ASSETS REAL ESTATE L.L.C</v>
      </c>
      <c r="W116" t="str">
        <f>XLOOKUP(E116,[1]!Bookings[Booking Name],[1]!Bookings[Booking ID])</f>
        <v>a03J600000BsM90</v>
      </c>
      <c r="X116" t="str">
        <f>XLOOKUP(E116,[1]!Bookings[Booking Name],[1]!Bookings[Oracle Id])</f>
        <v>-</v>
      </c>
      <c r="Y116" t="str">
        <v>Not Available on Finance Tracker</v>
      </c>
      <c r="Z116">
        <v>19942.25</v>
      </c>
      <c r="AA116">
        <v>0.02504993091320186</v>
      </c>
      <c r="AB116" t="str">
        <v>No</v>
      </c>
      <c r="AC116" t="str">
        <v>Customer requested cancel as he is unable to make further payments and has requested for refund</v>
      </c>
      <c r="AD116" t="str">
        <v>https://onedevelopmentuae-my.sharepoint.com/personal/n_araujo_oneuae_com/Documents/Desktop/Norton-Local/Requests/Rejected%20Bookings/Booking-980%20-%20Booking%20Rejection%20Request.msg</v>
      </c>
      <c r="AE116" t="str">
        <v>Customer requested to cancel</v>
      </c>
      <c r="AF116" t="str">
        <v>Customer is unable to continue with the Purchase - Refund Requested</v>
      </c>
    </row>
    <row r="117">
      <c r="B117" t="str">
        <v>September</v>
      </c>
      <c r="C117">
        <v>45929</v>
      </c>
      <c r="D117">
        <f>XLOOKUP(E117,[1]!Bookings[Booking Name],[1]!Bookings[Rejected Date])</f>
        <v>45939</v>
      </c>
      <c r="E117" t="str">
        <v>Booking-701</v>
      </c>
      <c r="F117" t="str">
        <f>XLOOKUP(E117,[1]!Bookings[Booking Name],[1]!Bookings[Booking Status])</f>
        <v>Rejected</v>
      </c>
      <c r="G117">
        <f>XLOOKUP(E117,[1]!Bookings[Booking Name],[1]!Bookings[Booking Date])</f>
        <v>45807</v>
      </c>
      <c r="H117">
        <f>XLOOKUP(E117,[1]!Bookings[Booking Name],[1]!Bookings[Booking Aging])</f>
        <v>252</v>
      </c>
      <c r="I117" t="str">
        <f>XLOOKUP(E117,[1]!Bookings[Booking Name],[1]!Bookings[Project Name])</f>
        <v>Laguna Residence</v>
      </c>
      <c r="J117" t="str">
        <f>XLOOKUP(E117,[1]!Bookings[Booking Name],[1]!Bookings[Building])</f>
        <v>Tower B</v>
      </c>
      <c r="K117" t="str">
        <f>XLOOKUP(E117,[1]!Bookings[Booking Name],[1]!Bookings[Bedrooms])</f>
        <v>Studio</v>
      </c>
      <c r="L117" t="str">
        <f>XLOOKUP(E117,[1]!Bookings[Booking Name],[1]!Bookings[Unit No.])</f>
        <v>B2006</v>
      </c>
      <c r="M117" t="str">
        <f>XLOOKUP(E117,[1]!Bookings[Booking Name],[1]!Bookings[Inventory Unit Status])</f>
        <v>SPA Executed</v>
      </c>
      <c r="N117" t="str">
        <f>XLOOKUP(E117,[1]!Bookings[Booking Name],[1]!Bookings[Booking Status])</f>
        <v>Rejected</v>
      </c>
      <c r="O117" t="str">
        <f>XLOOKUP(E117,[1]!Bookings[Booking Name],[1]!Bookings[Customer Name])</f>
        <v>Hawbir Hassan</v>
      </c>
      <c r="P117" t="str">
        <f>XLOOKUP(E117,[1]!Bookings[Booking Name],[1]!Bookings[Nationality])</f>
        <v>Netherlands</v>
      </c>
      <c r="Q117">
        <f>XLOOKUP(E117,[1]!Bookings[Booking Name],[1]!Bookings[Discount Amount])</f>
        <v>55800</v>
      </c>
      <c r="R117">
        <f>XLOOKUP(E117,[1]!Bookings[Booking Name],[1]!Bookings[Discount Percentage])</f>
        <v>0.06619217081850534</v>
      </c>
      <c r="S117">
        <f>XLOOKUP(E117,[1]!Bookings[Booking Name],[1]!Bookings[Final Sale Value After Discount])</f>
        <v>787200</v>
      </c>
      <c r="T117">
        <f>XLOOKUP(E117,[1]!Bookings[Booking Name],[1]!Bookings[Inv Final Sale Value])</f>
        <v>843000</v>
      </c>
      <c r="U117" t="str">
        <f>XLOOKUP(E117,[1]!Bookings[Booking Name],[1]!Bookings[Sales])</f>
        <v>Joudy Shaker</v>
      </c>
      <c r="V117" t="str">
        <f>XLOOKUP(E117,[1]!Bookings[Booking Name],[1]!Bookings[Agency Name])</f>
        <v>GLOBEX REAL ESTATE L L C</v>
      </c>
      <c r="W117" t="str">
        <f>XLOOKUP(E117,[1]!Bookings[Booking Name],[1]!Bookings[Booking ID])</f>
        <v>a03J6000009l02q</v>
      </c>
      <c r="X117" t="str">
        <f>XLOOKUP(E117,[1]!Bookings[Booking Name],[1]!Bookings[Oracle Id])</f>
        <v>-</v>
      </c>
      <c r="Y117" t="str">
        <v>Not Available on Finance Tracker</v>
      </c>
      <c r="Z117">
        <v>192000</v>
      </c>
      <c r="AA117">
        <v>0.24390243902439024</v>
      </c>
      <c r="AB117" t="str">
        <v>No</v>
      </c>
      <c r="AC117" t="str">
        <v xml:space="preserve">Customer requested to Change Ownership </v>
      </c>
      <c r="AD117" t="str">
        <v>https://onedevelopmentuae-my.sharepoint.com/personal/n_araujo_oneuae_com/Documents/Desktop/Norton-Local/Requests/Rejected%20Bookings/Booking-700%20%26amp%3B%20701%20-%20Booking%20Rejection%20Request%20(2).msg</v>
      </c>
      <c r="AE117" t="str">
        <v>Customer requested for Change of Ownership</v>
      </c>
      <c r="AF117" t="str">
        <v>From Hawbir Hassan to Riad El Kaddouri</v>
      </c>
    </row>
    <row r="118">
      <c r="B118" t="str">
        <v>September</v>
      </c>
      <c r="C118">
        <v>45929</v>
      </c>
      <c r="D118">
        <f>XLOOKUP(E118,[1]!Bookings[Booking Name],[1]!Bookings[Rejected Date])</f>
        <v>45939</v>
      </c>
      <c r="E118" t="str">
        <v>Booking-700</v>
      </c>
      <c r="F118" t="str">
        <f>XLOOKUP(E118,[1]!Bookings[Booking Name],[1]!Bookings[Booking Status])</f>
        <v>Rejected</v>
      </c>
      <c r="G118">
        <f>XLOOKUP(E118,[1]!Bookings[Booking Name],[1]!Bookings[Booking Date])</f>
        <v>45807</v>
      </c>
      <c r="H118">
        <f>XLOOKUP(E118,[1]!Bookings[Booking Name],[1]!Bookings[Booking Aging])</f>
        <v>252</v>
      </c>
      <c r="I118" t="str">
        <f>XLOOKUP(E118,[1]!Bookings[Booking Name],[1]!Bookings[Project Name])</f>
        <v>Laguna Residence</v>
      </c>
      <c r="J118" t="str">
        <f>XLOOKUP(E118,[1]!Bookings[Booking Name],[1]!Bookings[Building])</f>
        <v>Tower B</v>
      </c>
      <c r="K118" t="str">
        <f>XLOOKUP(E118,[1]!Bookings[Booking Name],[1]!Bookings[Bedrooms])</f>
        <v>Studio</v>
      </c>
      <c r="L118" t="str">
        <f>XLOOKUP(E118,[1]!Bookings[Booking Name],[1]!Bookings[Unit No.])</f>
        <v>B1906</v>
      </c>
      <c r="M118" t="str">
        <f>XLOOKUP(E118,[1]!Bookings[Booking Name],[1]!Bookings[Inventory Unit Status])</f>
        <v>SPA Executed</v>
      </c>
      <c r="N118" t="str">
        <f>XLOOKUP(E118,[1]!Bookings[Booking Name],[1]!Bookings[Booking Status])</f>
        <v>Rejected</v>
      </c>
      <c r="O118" t="str">
        <f>XLOOKUP(E118,[1]!Bookings[Booking Name],[1]!Bookings[Customer Name])</f>
        <v>Hawbir Hassan</v>
      </c>
      <c r="P118" t="str">
        <f>XLOOKUP(E118,[1]!Bookings[Booking Name],[1]!Bookings[Nationality])</f>
        <v>Netherlands</v>
      </c>
      <c r="Q118">
        <f>XLOOKUP(E118,[1]!Bookings[Booking Name],[1]!Bookings[Discount Amount])</f>
        <v>56000</v>
      </c>
      <c r="R118">
        <f>XLOOKUP(E118,[1]!Bookings[Booking Name],[1]!Bookings[Discount Percentage])</f>
        <v>0.06542056074766354</v>
      </c>
      <c r="S118">
        <f>XLOOKUP(E118,[1]!Bookings[Booking Name],[1]!Bookings[Final Sale Value After Discount])</f>
        <v>800000</v>
      </c>
      <c r="T118">
        <f>XLOOKUP(E118,[1]!Bookings[Booking Name],[1]!Bookings[Inv Final Sale Value])</f>
        <v>856000</v>
      </c>
      <c r="U118" t="str">
        <f>XLOOKUP(E118,[1]!Bookings[Booking Name],[1]!Bookings[Sales])</f>
        <v>Joudy Shaker</v>
      </c>
      <c r="V118" t="str">
        <f>XLOOKUP(E118,[1]!Bookings[Booking Name],[1]!Bookings[Agency Name])</f>
        <v>GLOBEX REAL ESTATE L L C</v>
      </c>
      <c r="W118" t="str">
        <f>XLOOKUP(E118,[1]!Bookings[Booking Name],[1]!Bookings[Booking ID])</f>
        <v>a03J6000009l01j</v>
      </c>
      <c r="X118" t="str">
        <f>XLOOKUP(E118,[1]!Bookings[Booking Name],[1]!Bookings[Oracle Id])</f>
        <v>-</v>
      </c>
      <c r="Y118" t="str">
        <v>Not Available on Finance Tracker</v>
      </c>
      <c r="Z118">
        <v>188928</v>
      </c>
      <c r="AA118">
        <v>0.23616</v>
      </c>
      <c r="AB118" t="str">
        <v>No</v>
      </c>
      <c r="AC118" t="str">
        <v>Customer requested to Change Ownership from</v>
      </c>
      <c r="AD118" t="str">
        <v>https://onedevelopmentuae-my.sharepoint.com/personal/n_araujo_oneuae_com/Documents/Desktop/Norton-Local/Requests/Rejected%20Bookings/Booking-700%20%26amp%3B%20701%20-%20Booking%20Rejection%20Request%20(1).msg</v>
      </c>
      <c r="AE118" t="str">
        <v>Customer requested for Change of Ownership</v>
      </c>
      <c r="AF118" t="str">
        <v>From Hawbir Hassan to Rojbin Saeed</v>
      </c>
    </row>
    <row r="119">
      <c r="B119" t="str">
        <v>September</v>
      </c>
      <c r="C119">
        <v>45929</v>
      </c>
      <c r="D119">
        <f>XLOOKUP(E119,[1]!Bookings[Booking Name],[1]!Bookings[Rejected Date])</f>
        <v>45929</v>
      </c>
      <c r="E119" t="str">
        <v>Booking-851</v>
      </c>
      <c r="F119" t="str">
        <f>XLOOKUP(E119,[1]!Bookings[Booking Name],[1]!Bookings[Booking Status])</f>
        <v>Rejected</v>
      </c>
      <c r="G119">
        <f>XLOOKUP(E119,[1]!Bookings[Booking Name],[1]!Bookings[Booking Date])</f>
        <v>45864</v>
      </c>
      <c r="H119">
        <f>XLOOKUP(E119,[1]!Bookings[Booking Name],[1]!Bookings[Booking Aging])</f>
        <v>195</v>
      </c>
      <c r="I119" t="str">
        <f>XLOOKUP(E119,[1]!Bookings[Booking Name],[1]!Bookings[Project Name])</f>
        <v>Laguna Residence</v>
      </c>
      <c r="J119" t="str">
        <f>XLOOKUP(E119,[1]!Bookings[Booking Name],[1]!Bookings[Building])</f>
        <v>Tower A</v>
      </c>
      <c r="K119" t="str">
        <f>XLOOKUP(E119,[1]!Bookings[Booking Name],[1]!Bookings[Bedrooms])</f>
        <v>Studio</v>
      </c>
      <c r="L119" t="str">
        <f>XLOOKUP(E119,[1]!Bookings[Booking Name],[1]!Bookings[Unit No.])</f>
        <v>A419</v>
      </c>
      <c r="M119" t="str">
        <f>XLOOKUP(E119,[1]!Bookings[Booking Name],[1]!Bookings[Inventory Unit Status])</f>
        <v>Booked</v>
      </c>
      <c r="N119" t="str">
        <f>XLOOKUP(E119,[1]!Bookings[Booking Name],[1]!Bookings[Booking Status])</f>
        <v>Rejected</v>
      </c>
      <c r="O119" t="str">
        <f>XLOOKUP(E119,[1]!Bookings[Booking Name],[1]!Bookings[Customer Name])</f>
        <v>Kerstin Schimkus</v>
      </c>
      <c r="P119" t="str">
        <f>XLOOKUP(E119,[1]!Bookings[Booking Name],[1]!Bookings[Nationality])</f>
        <v>Germany</v>
      </c>
      <c r="Q119">
        <f>XLOOKUP(E119,[1]!Bookings[Booking Name],[1]!Bookings[Discount Amount])</f>
        <v>55025</v>
      </c>
      <c r="R119">
        <f>XLOOKUP(E119,[1]!Bookings[Booking Name],[1]!Bookings[Discount Percentage])</f>
        <v>0.071</v>
      </c>
      <c r="S119">
        <f>XLOOKUP(E119,[1]!Bookings[Booking Name],[1]!Bookings[Final Sale Value After Discount])</f>
        <v>719975</v>
      </c>
      <c r="T119">
        <f>XLOOKUP(E119,[1]!Bookings[Booking Name],[1]!Bookings[Inv Final Sale Value])</f>
        <v>775000</v>
      </c>
      <c r="U119" t="str">
        <f>XLOOKUP(E119,[1]!Bookings[Booking Name],[1]!Bookings[Sales])</f>
        <v>Joudy Shaker</v>
      </c>
      <c r="V119" t="str">
        <f>XLOOKUP(E119,[1]!Bookings[Booking Name],[1]!Bookings[Agency Name])</f>
        <v>FNM PROPERTIES LLC</v>
      </c>
      <c r="W119" t="str">
        <f>XLOOKUP(E119,[1]!Bookings[Booking Name],[1]!Bookings[Booking ID])</f>
        <v>a03J6000009o5SN</v>
      </c>
      <c r="X119" t="str">
        <f>XLOOKUP(E119,[1]!Bookings[Booking Name],[1]!Bookings[Oracle Id])</f>
        <v>-</v>
      </c>
      <c r="Y119" t="str">
        <v>Not Available on Finance Tracker</v>
      </c>
      <c r="Z119">
        <v>32474</v>
      </c>
      <c r="AA119">
        <v>0.04510434390082989</v>
      </c>
      <c r="AB119" t="str">
        <v>No</v>
      </c>
      <c r="AC119" t="str">
        <v>Cancelled due to Non Payment</v>
      </c>
      <c r="AD119" t="str">
        <v>https://onedevelopmentuae-my.sharepoint.com/personal/n_araujo_oneuae_com/Documents/Desktop/Norton-Local/Requests/Rejected%20Bookings/Booking-851%20-%20Booking%20Rejection%20Request.msg</v>
      </c>
      <c r="AE119" t="str">
        <v>Cancelled due to Non Payment</v>
      </c>
      <c r="AF119" t="str">
        <v>Cancellation Request raised by Collections Team</v>
      </c>
    </row>
    <row r="120">
      <c r="B120" t="str">
        <v>September</v>
      </c>
      <c r="C120">
        <v>45929</v>
      </c>
      <c r="D120">
        <f>XLOOKUP(E120,[1]!Bookings[Booking Name],[1]!Bookings[Rejected Date])</f>
        <v>45929</v>
      </c>
      <c r="E120" t="str">
        <v>Booking-683</v>
      </c>
      <c r="F120" t="str">
        <f>XLOOKUP(E120,[1]!Bookings[Booking Name],[1]!Bookings[Booking Status])</f>
        <v>Rejected</v>
      </c>
      <c r="G120">
        <f>XLOOKUP(E120,[1]!Bookings[Booking Name],[1]!Bookings[Booking Date])</f>
        <v>45800</v>
      </c>
      <c r="H120">
        <f>XLOOKUP(E120,[1]!Bookings[Booking Name],[1]!Bookings[Booking Aging])</f>
        <v>259</v>
      </c>
      <c r="I120" t="str">
        <f>XLOOKUP(E120,[1]!Bookings[Booking Name],[1]!Bookings[Project Name])</f>
        <v>Laguna Residence</v>
      </c>
      <c r="J120" t="str">
        <f>XLOOKUP(E120,[1]!Bookings[Booking Name],[1]!Bookings[Building])</f>
        <v>Tower B</v>
      </c>
      <c r="K120" t="str">
        <f>XLOOKUP(E120,[1]!Bookings[Booking Name],[1]!Bookings[Bedrooms])</f>
        <v>Studio</v>
      </c>
      <c r="L120" t="str">
        <f>XLOOKUP(E120,[1]!Bookings[Booking Name],[1]!Bookings[Unit No.])</f>
        <v>B1306</v>
      </c>
      <c r="M120" t="str">
        <f>XLOOKUP(E120,[1]!Bookings[Booking Name],[1]!Bookings[Inventory Unit Status])</f>
        <v>SPA Executed</v>
      </c>
      <c r="N120" t="str">
        <f>XLOOKUP(E120,[1]!Bookings[Booking Name],[1]!Bookings[Booking Status])</f>
        <v>Rejected</v>
      </c>
      <c r="O120" t="str">
        <f>XLOOKUP(E120,[1]!Bookings[Booking Name],[1]!Bookings[Customer Name])</f>
        <v>Hamad Bader Ahmed Ali Alyafei</v>
      </c>
      <c r="P120" t="str">
        <f>XLOOKUP(E120,[1]!Bookings[Booking Name],[1]!Bookings[Nationality])</f>
        <v>United Arab Emirates</v>
      </c>
      <c r="Q120">
        <f>XLOOKUP(E120,[1]!Bookings[Booking Name],[1]!Bookings[Discount Amount])</f>
        <v>55060</v>
      </c>
      <c r="R120">
        <f>XLOOKUP(E120,[1]!Bookings[Booking Name],[1]!Bookings[Discount Percentage])</f>
        <v>0.0660984393757503</v>
      </c>
      <c r="S120">
        <f>XLOOKUP(E120,[1]!Bookings[Booking Name],[1]!Bookings[Final Sale Value After Discount])</f>
        <v>777940</v>
      </c>
      <c r="T120">
        <f>XLOOKUP(E120,[1]!Bookings[Booking Name],[1]!Bookings[Inv Final Sale Value])</f>
        <v>833000</v>
      </c>
      <c r="U120" t="str">
        <f>XLOOKUP(E120,[1]!Bookings[Booking Name],[1]!Bookings[Sales])</f>
        <v>Joudy Shaker</v>
      </c>
      <c r="V120" t="str">
        <f>XLOOKUP(E120,[1]!Bookings[Booking Name],[1]!Bookings[Agency Name])</f>
        <v>Unique Properties L.L.C</v>
      </c>
      <c r="W120" t="str">
        <f>XLOOKUP(E120,[1]!Bookings[Booking Name],[1]!Bookings[Booking ID])</f>
        <v>a03J6000009kab1</v>
      </c>
      <c r="X120" t="str">
        <f>XLOOKUP(E120,[1]!Bookings[Booking Name],[1]!Bookings[Oracle Id])</f>
        <v>-</v>
      </c>
      <c r="Y120" t="str">
        <v>Not Available on Finance Tracker</v>
      </c>
      <c r="Z120">
        <v>25000</v>
      </c>
      <c r="AA120">
        <v>0.03213615445921279</v>
      </c>
      <c r="AB120" t="str">
        <v>No</v>
      </c>
      <c r="AC120" t="str">
        <v>Cancelled due to Non Payment</v>
      </c>
      <c r="AD120" t="str">
        <v>https://onedevelopmentuae-my.sharepoint.com/personal/n_araujo_oneuae_com/Documents/Desktop/Norton-Local/Requests/Rejected%20Bookings/Booking-683%20-%20Booking%20Rejection%20Request.msg</v>
      </c>
      <c r="AE120" t="str">
        <v>Cancelled due to Non Payment</v>
      </c>
      <c r="AF120" t="str">
        <v>Cancellation Request raised by Collections Team</v>
      </c>
    </row>
    <row r="121">
      <c r="B121" t="str">
        <v>September</v>
      </c>
      <c r="C121">
        <v>45924</v>
      </c>
      <c r="D121">
        <f>XLOOKUP(E121,[1]!Bookings[Booking Name],[1]!Bookings[Rejected Date])</f>
        <v>45924</v>
      </c>
      <c r="E121" t="str">
        <v>Booking-957</v>
      </c>
      <c r="F121" t="str">
        <f>XLOOKUP(E121,[1]!Bookings[Booking Name],[1]!Bookings[Booking Status])</f>
        <v>Rejected</v>
      </c>
      <c r="G121">
        <f>XLOOKUP(E121,[1]!Bookings[Booking Name],[1]!Bookings[Booking Date])</f>
        <v>45897</v>
      </c>
      <c r="H121">
        <f>XLOOKUP(E121,[1]!Bookings[Booking Name],[1]!Bookings[Booking Aging])</f>
        <v>162</v>
      </c>
      <c r="I121" t="str">
        <f>XLOOKUP(E121,[1]!Bookings[Booking Name],[1]!Bookings[Project Name])</f>
        <v>Do Dubai Island</v>
      </c>
      <c r="J121" t="str">
        <f>XLOOKUP(E121,[1]!Bookings[Booking Name],[1]!Bookings[Building])</f>
        <v>Tower 1</v>
      </c>
      <c r="K121" t="str">
        <f>XLOOKUP(E121,[1]!Bookings[Booking Name],[1]!Bookings[Bedrooms])</f>
        <v>Studio</v>
      </c>
      <c r="L121" t="str">
        <f>XLOOKUP(E121,[1]!Bookings[Booking Name],[1]!Bookings[Unit No.])</f>
        <v>112</v>
      </c>
      <c r="M121" t="str">
        <f>XLOOKUP(E121,[1]!Bookings[Booking Name],[1]!Bookings[Inventory Unit Status])</f>
        <v>SPA Executed</v>
      </c>
      <c r="N121" t="str">
        <f>XLOOKUP(E121,[1]!Bookings[Booking Name],[1]!Bookings[Booking Status])</f>
        <v>Rejected</v>
      </c>
      <c r="O121" t="str">
        <f>XLOOKUP(E121,[1]!Bookings[Booking Name],[1]!Bookings[Customer Name])</f>
        <v>Murat Gumusluol</v>
      </c>
      <c r="P121" t="str">
        <f>XLOOKUP(E121,[1]!Bookings[Booking Name],[1]!Bookings[Nationality])</f>
        <v>Turkey</v>
      </c>
      <c r="Q121">
        <f>XLOOKUP(E121,[1]!Bookings[Booking Name],[1]!Bookings[Discount Amount])</f>
        <v>59000</v>
      </c>
      <c r="R121">
        <f>XLOOKUP(E121,[1]!Bookings[Booking Name],[1]!Bookings[Discount Percentage])</f>
        <v>0.04796747967479675</v>
      </c>
      <c r="S121">
        <f>XLOOKUP(E121,[1]!Bookings[Booking Name],[1]!Bookings[Final Sale Value After Discount])</f>
        <v>1171000</v>
      </c>
      <c r="T121">
        <f>XLOOKUP(E121,[1]!Bookings[Booking Name],[1]!Bookings[Inv Final Sale Value])</f>
        <v>1230000</v>
      </c>
      <c r="U121" t="str">
        <f>XLOOKUP(E121,[1]!Bookings[Booking Name],[1]!Bookings[Sales])</f>
        <v>Ramy Abdelsalam</v>
      </c>
      <c r="V121" t="str">
        <f>XLOOKUP(E121,[1]!Bookings[Booking Name],[1]!Bookings[Agency Name])</f>
        <v>HAKI MULTIMODAL LOJISTIK HIZMETLERI ANONIM SIRKETI</v>
      </c>
      <c r="W121" t="str">
        <f>XLOOKUP(E121,[1]!Bookings[Booking Name],[1]!Bookings[Booking ID])</f>
        <v>a03J600000Brj9X</v>
      </c>
      <c r="X121" t="str">
        <f>XLOOKUP(E121,[1]!Bookings[Booking Name],[1]!Bookings[Oracle Id])</f>
        <v>-</v>
      </c>
      <c r="Y121" t="str">
        <v>Not Available on Finance Tracker</v>
      </c>
      <c r="Z121">
        <v>25000</v>
      </c>
      <c r="AA121">
        <v>0.02134927412467976</v>
      </c>
      <c r="AB121" t="str">
        <v>No</v>
      </c>
      <c r="AC121" t="str">
        <v>Cancelled due to Non Payment</v>
      </c>
      <c r="AD121" t="str">
        <v>https://onedevelopmentuae-my.sharepoint.com/personal/n_araujo_oneuae_com/Documents/Desktop/Norton-Local/Requests/Rejected%20Bookings/Booking-957%20-%20Booking%20Rejection%20Request.msg</v>
      </c>
      <c r="AE121" t="str">
        <v>Cancelled due to Non Payment</v>
      </c>
      <c r="AF121" t="str">
        <v>Cancellation Request raised by Collections Team</v>
      </c>
    </row>
    <row r="122">
      <c r="B122" t="str">
        <v>September</v>
      </c>
      <c r="C122">
        <v>45923</v>
      </c>
      <c r="D122">
        <f>XLOOKUP(E122,[1]!Bookings[Booking Name],[1]!Bookings[Rejected Date])</f>
        <v>45924</v>
      </c>
      <c r="E122" t="str">
        <v>Booking-916</v>
      </c>
      <c r="F122" t="str">
        <f>XLOOKUP(E122,[1]!Bookings[Booking Name],[1]!Bookings[Booking Status])</f>
        <v>Rejected</v>
      </c>
      <c r="G122">
        <f>XLOOKUP(E122,[1]!Bookings[Booking Name],[1]!Bookings[Booking Date])</f>
        <v>45887</v>
      </c>
      <c r="H122">
        <f>XLOOKUP(E122,[1]!Bookings[Booking Name],[1]!Bookings[Booking Aging])</f>
        <v>172</v>
      </c>
      <c r="I122" t="str">
        <f>XLOOKUP(E122,[1]!Bookings[Booking Name],[1]!Bookings[Project Name])</f>
        <v>Do Dubai Island</v>
      </c>
      <c r="J122" t="str">
        <f>XLOOKUP(E122,[1]!Bookings[Booking Name],[1]!Bookings[Building])</f>
        <v>Tower 1</v>
      </c>
      <c r="K122" t="str">
        <f>XLOOKUP(E122,[1]!Bookings[Booking Name],[1]!Bookings[Bedrooms])</f>
        <v>Studio</v>
      </c>
      <c r="L122" t="str">
        <f>XLOOKUP(E122,[1]!Bookings[Booking Name],[1]!Bookings[Unit No.])</f>
        <v>318</v>
      </c>
      <c r="M122" t="str">
        <f>XLOOKUP(E122,[1]!Bookings[Booking Name],[1]!Bookings[Inventory Unit Status])</f>
        <v>SPA Executed</v>
      </c>
      <c r="N122" t="str">
        <f>XLOOKUP(E122,[1]!Bookings[Booking Name],[1]!Bookings[Booking Status])</f>
        <v>Rejected</v>
      </c>
      <c r="O122" t="str">
        <f>XLOOKUP(E122,[1]!Bookings[Booking Name],[1]!Bookings[Customer Name])</f>
        <v>Denisa Freundova</v>
      </c>
      <c r="P122" t="str">
        <f>XLOOKUP(E122,[1]!Bookings[Booking Name],[1]!Bookings[Nationality])</f>
        <v>Slovakia</v>
      </c>
      <c r="Q122">
        <f>XLOOKUP(E122,[1]!Bookings[Booking Name],[1]!Bookings[Discount Amount])</f>
        <v>0</v>
      </c>
      <c r="R122">
        <f>XLOOKUP(E122,[1]!Bookings[Booking Name],[1]!Bookings[Discount Percentage])</f>
        <v>0</v>
      </c>
      <c r="S122">
        <f>XLOOKUP(E122,[1]!Bookings[Booking Name],[1]!Bookings[Final Sale Value After Discount])</f>
        <v>1161000</v>
      </c>
      <c r="T122">
        <f>XLOOKUP(E122,[1]!Bookings[Booking Name],[1]!Bookings[Inv Final Sale Value])</f>
        <v>1161000</v>
      </c>
      <c r="U122" t="str">
        <f>XLOOKUP(E122,[1]!Bookings[Booking Name],[1]!Bookings[Sales])</f>
        <v>Gulnoz Khodjayeva</v>
      </c>
      <c r="V122" t="str">
        <f>XLOOKUP(E122,[1]!Bookings[Booking Name],[1]!Bookings[Agency Name])</f>
        <v>MOVE HOMES REAL ESTATE BROKERS L.L.C</v>
      </c>
      <c r="W122" t="str">
        <f>XLOOKUP(E122,[1]!Bookings[Booking Name],[1]!Bookings[Booking ID])</f>
        <v>a03J600000Br87K</v>
      </c>
      <c r="X122" t="str">
        <f>XLOOKUP(E122,[1]!Bookings[Booking Name],[1]!Bookings[Oracle Id])</f>
        <v>-</v>
      </c>
      <c r="Y122" t="str">
        <v>Not Available on Finance Tracker</v>
      </c>
      <c r="Z122">
        <v>49925</v>
      </c>
      <c r="AA122">
        <v>0.043001722652885446</v>
      </c>
      <c r="AB122" t="str">
        <v>No</v>
      </c>
      <c r="AC122" t="str">
        <v>Cancelled due to Non Payment</v>
      </c>
      <c r="AD122" t="str">
        <v>https://onedevelopmentuae-my.sharepoint.com/personal/n_araujo_oneuae_com/Documents/Desktop/Norton-Local/Requests/Rejected%20Bookings/Booking-916%20-%20Booking%20Rejection%20Request.msg</v>
      </c>
      <c r="AE122" t="str">
        <v>Cancelled due to Non Payment</v>
      </c>
      <c r="AF122" t="str">
        <v>Cancellation Request raised by Collections Team</v>
      </c>
    </row>
    <row r="123">
      <c r="B123" t="str">
        <v>September</v>
      </c>
      <c r="C123">
        <v>45922</v>
      </c>
      <c r="D123">
        <f>XLOOKUP(E123,[1]!Bookings[Booking Name],[1]!Bookings[Rejected Date])</f>
        <v>45924</v>
      </c>
      <c r="E123" t="str">
        <v>Booking-982</v>
      </c>
      <c r="F123" t="str">
        <f>XLOOKUP(E123,[1]!Bookings[Booking Name],[1]!Bookings[Booking Status])</f>
        <v>Rejected</v>
      </c>
      <c r="G123">
        <f>XLOOKUP(E123,[1]!Bookings[Booking Name],[1]!Bookings[Booking Date])</f>
        <v>45909</v>
      </c>
      <c r="H123">
        <f>XLOOKUP(E123,[1]!Bookings[Booking Name],[1]!Bookings[Booking Aging])</f>
        <v>150</v>
      </c>
      <c r="I123" t="str">
        <f>XLOOKUP(E123,[1]!Bookings[Booking Name],[1]!Bookings[Project Name])</f>
        <v>Laguna Residence</v>
      </c>
      <c r="J123" t="str">
        <f>XLOOKUP(E123,[1]!Bookings[Booking Name],[1]!Bookings[Building])</f>
        <v>Tower A</v>
      </c>
      <c r="K123" t="str">
        <f>XLOOKUP(E123,[1]!Bookings[Booking Name],[1]!Bookings[Bedrooms])</f>
        <v>Studio</v>
      </c>
      <c r="L123" t="str">
        <f>XLOOKUP(E123,[1]!Bookings[Booking Name],[1]!Bookings[Unit No.])</f>
        <v>A1014</v>
      </c>
      <c r="M123" t="str">
        <f>XLOOKUP(E123,[1]!Bookings[Booking Name],[1]!Bookings[Inventory Unit Status])</f>
        <v>Blocked</v>
      </c>
      <c r="N123" t="str">
        <f>XLOOKUP(E123,[1]!Bookings[Booking Name],[1]!Bookings[Booking Status])</f>
        <v>Rejected</v>
      </c>
      <c r="O123" t="str">
        <f>XLOOKUP(E123,[1]!Bookings[Booking Name],[1]!Bookings[Customer Name])</f>
        <v>Hayder Abbas Ahmed Al Iessa</v>
      </c>
      <c r="P123" t="str">
        <f>XLOOKUP(E123,[1]!Bookings[Booking Name],[1]!Bookings[Nationality])</f>
        <v>Iraq</v>
      </c>
      <c r="Q123">
        <f>XLOOKUP(E123,[1]!Bookings[Booking Name],[1]!Bookings[Discount Amount])</f>
        <v>30999.97</v>
      </c>
      <c r="R123">
        <f>XLOOKUP(E123,[1]!Bookings[Booking Name],[1]!Bookings[Discount Percentage])</f>
        <v>0.03870158551810237</v>
      </c>
      <c r="S123">
        <f>XLOOKUP(E123,[1]!Bookings[Booking Name],[1]!Bookings[Final Sale Value After Discount])</f>
        <v>770000.032818</v>
      </c>
      <c r="T123">
        <f>XLOOKUP(E123,[1]!Bookings[Booking Name],[1]!Bookings[Inv Final Sale Value])</f>
        <v>801000</v>
      </c>
      <c r="U123" t="str">
        <f>XLOOKUP(E123,[1]!Bookings[Booking Name],[1]!Bookings[Sales])</f>
        <v>Mohamed El Shimy</v>
      </c>
      <c r="V123" t="str">
        <f>XLOOKUP(E123,[1]!Bookings[Booking Name],[1]!Bookings[Agency Name])</f>
        <v>Eleva Properties LLC</v>
      </c>
      <c r="W123" t="str">
        <f>XLOOKUP(E123,[1]!Bookings[Booking Name],[1]!Bookings[Booking ID])</f>
        <v>a03J600000BsMq5</v>
      </c>
      <c r="X123" t="str">
        <f>XLOOKUP(E123,[1]!Bookings[Booking Name],[1]!Bookings[Oracle Id])</f>
        <v>-</v>
      </c>
      <c r="Y123" t="str">
        <v>Not Available on Finance Tracker</v>
      </c>
      <c r="Z123">
        <v>25000</v>
      </c>
      <c r="AA123">
        <v>0.032467531083740994</v>
      </c>
      <c r="AB123" t="str">
        <v>Yes</v>
      </c>
      <c r="AC123" t="str">
        <v>Cancelled due to Non Payment</v>
      </c>
      <c r="AD123" t="str">
        <v>https://onedevelopmentuae-my.sharepoint.com/personal/n_araujo_oneuae_com/Documents/Desktop/Norton-Local/Requests/Rejected%20Bookings/Booking-982%20-%20Booking%20Rejection%20Request.msg</v>
      </c>
      <c r="AE123" t="str">
        <v>Cancelled due to Non Payment</v>
      </c>
      <c r="AF123" t="str">
        <v>Cancellation Request raised by Collections Team</v>
      </c>
    </row>
    <row r="124">
      <c r="B124" t="str">
        <v>September</v>
      </c>
      <c r="C124">
        <v>45918</v>
      </c>
      <c r="D124">
        <f>XLOOKUP(E124,[1]!Bookings[Booking Name],[1]!Bookings[Rejected Date])</f>
        <v>45918</v>
      </c>
      <c r="E124" t="str">
        <v>Booking-774</v>
      </c>
      <c r="F124" t="str">
        <f>XLOOKUP(E124,[1]!Bookings[Booking Name],[1]!Bookings[Booking Status])</f>
        <v>Rejected</v>
      </c>
      <c r="G124">
        <f>XLOOKUP(E124,[1]!Bookings[Booking Name],[1]!Bookings[Booking Date])</f>
        <v>45825</v>
      </c>
      <c r="H124">
        <f>XLOOKUP(E124,[1]!Bookings[Booking Name],[1]!Bookings[Booking Aging])</f>
        <v>234</v>
      </c>
      <c r="I124" t="str">
        <f>XLOOKUP(E124,[1]!Bookings[Booking Name],[1]!Bookings[Project Name])</f>
        <v>Laguna Residence</v>
      </c>
      <c r="J124" t="str">
        <f>XLOOKUP(E124,[1]!Bookings[Booking Name],[1]!Bookings[Building])</f>
        <v>Tower B</v>
      </c>
      <c r="K124" t="str">
        <f>XLOOKUP(E124,[1]!Bookings[Booking Name],[1]!Bookings[Bedrooms])</f>
        <v>Studio</v>
      </c>
      <c r="L124" t="str">
        <f>XLOOKUP(E124,[1]!Bookings[Booking Name],[1]!Bookings[Unit No.])</f>
        <v>B405</v>
      </c>
      <c r="M124" t="str">
        <f>XLOOKUP(E124,[1]!Bookings[Booking Name],[1]!Bookings[Inventory Unit Status])</f>
        <v>SPA Executed</v>
      </c>
      <c r="N124" t="str">
        <f>XLOOKUP(E124,[1]!Bookings[Booking Name],[1]!Bookings[Booking Status])</f>
        <v>Rejected</v>
      </c>
      <c r="O124" t="str">
        <f>XLOOKUP(E124,[1]!Bookings[Booking Name],[1]!Bookings[Customer Name])</f>
        <v>Katharina Junimann Appelhans</v>
      </c>
      <c r="P124" t="str">
        <f>XLOOKUP(E124,[1]!Bookings[Booking Name],[1]!Bookings[Nationality])</f>
        <v>Germany</v>
      </c>
      <c r="Q124">
        <f>XLOOKUP(E124,[1]!Bookings[Booking Name],[1]!Bookings[Discount Amount])</f>
        <v>52200</v>
      </c>
      <c r="R124">
        <f>XLOOKUP(E124,[1]!Bookings[Booking Name],[1]!Bookings[Discount Percentage])</f>
        <v>0.06566037735849056</v>
      </c>
      <c r="S124">
        <f>XLOOKUP(E124,[1]!Bookings[Booking Name],[1]!Bookings[Final Sale Value After Discount])</f>
        <v>742800</v>
      </c>
      <c r="T124">
        <f>XLOOKUP(E124,[1]!Bookings[Booking Name],[1]!Bookings[Inv Final Sale Value])</f>
        <v>795000</v>
      </c>
      <c r="U124" t="str">
        <f>XLOOKUP(E124,[1]!Bookings[Booking Name],[1]!Bookings[Sales])</f>
        <v>Joudy Shaker</v>
      </c>
      <c r="V124" t="str">
        <f>XLOOKUP(E124,[1]!Bookings[Booking Name],[1]!Bookings[Agency Name])</f>
        <v>FNM PROPERTIES LLC</v>
      </c>
      <c r="W124" t="str">
        <f>XLOOKUP(E124,[1]!Bookings[Booking Name],[1]!Bookings[Booking ID])</f>
        <v>a03J6000009lyYB</v>
      </c>
      <c r="X124" t="str">
        <f>XLOOKUP(E124,[1]!Bookings[Booking Name],[1]!Bookings[Oracle Id])</f>
        <v>-</v>
      </c>
      <c r="Y124" t="str">
        <v>Not Available on Finance Tracker</v>
      </c>
      <c r="Z124" t="str">
        <v>No Payment</v>
      </c>
      <c r="AA124">
        <v>0</v>
      </c>
      <c r="AB124" t="str">
        <v>N/A</v>
      </c>
      <c r="AC124" t="str">
        <v>Customer requested to Change Ownership</v>
      </c>
      <c r="AD124" t="str">
        <v>https://onedevelopmentuae-my.sharepoint.com/personal/n_araujo_oneuae_com/Documents/Desktop/Norton-Local/Requests/Rejected%20Bookings/Booking-774%20-%20Booking%20Rejection%20Request.msg</v>
      </c>
      <c r="AE124" t="str">
        <v>Customer requested for Change of Ownership</v>
      </c>
      <c r="AF124" t="str">
        <v>From Katharina Junimann Appelhans to Helena Erbis</v>
      </c>
    </row>
    <row r="125">
      <c r="B125" t="str">
        <v>September</v>
      </c>
      <c r="C125">
        <v>45917</v>
      </c>
      <c r="D125">
        <f>XLOOKUP(E125,[1]!Bookings[Booking Name],[1]!Bookings[Rejected Date])</f>
        <v>45918</v>
      </c>
      <c r="E125" t="str">
        <v>Booking-783</v>
      </c>
      <c r="F125" t="str">
        <f>XLOOKUP(E125,[1]!Bookings[Booking Name],[1]!Bookings[Booking Status])</f>
        <v>Rejected</v>
      </c>
      <c r="G125">
        <f>XLOOKUP(E125,[1]!Bookings[Booking Name],[1]!Bookings[Booking Date])</f>
        <v>45828</v>
      </c>
      <c r="H125">
        <f>XLOOKUP(E125,[1]!Bookings[Booking Name],[1]!Bookings[Booking Aging])</f>
        <v>231</v>
      </c>
      <c r="I125" t="str">
        <f>XLOOKUP(E125,[1]!Bookings[Booking Name],[1]!Bookings[Project Name])</f>
        <v>Laguna Residence</v>
      </c>
      <c r="J125" t="str">
        <f>XLOOKUP(E125,[1]!Bookings[Booking Name],[1]!Bookings[Building])</f>
        <v>Tower A</v>
      </c>
      <c r="K125" t="str">
        <f>XLOOKUP(E125,[1]!Bookings[Booking Name],[1]!Bookings[Bedrooms])</f>
        <v>Studio</v>
      </c>
      <c r="L125" t="str">
        <f>XLOOKUP(E125,[1]!Bookings[Booking Name],[1]!Bookings[Unit No.])</f>
        <v>A2115</v>
      </c>
      <c r="M125" t="str">
        <f>XLOOKUP(E125,[1]!Bookings[Booking Name],[1]!Bookings[Inventory Unit Status])</f>
        <v>SPA Executed</v>
      </c>
      <c r="N125" t="str">
        <f>XLOOKUP(E125,[1]!Bookings[Booking Name],[1]!Bookings[Booking Status])</f>
        <v>Rejected</v>
      </c>
      <c r="O125" t="str">
        <f>XLOOKUP(E125,[1]!Bookings[Booking Name],[1]!Bookings[Customer Name])</f>
        <v>ANJA SPRINZ</v>
      </c>
      <c r="P125" t="str">
        <f>XLOOKUP(E125,[1]!Bookings[Booking Name],[1]!Bookings[Nationality])</f>
        <v>Germany</v>
      </c>
      <c r="Q125">
        <f>XLOOKUP(E125,[1]!Bookings[Booking Name],[1]!Bookings[Discount Amount])</f>
        <v>51113</v>
      </c>
      <c r="R125">
        <f>XLOOKUP(E125,[1]!Bookings[Booking Name],[1]!Bookings[Discount Percentage])</f>
        <v>0.06561360718870346</v>
      </c>
      <c r="S125">
        <f>XLOOKUP(E125,[1]!Bookings[Booking Name],[1]!Bookings[Final Sale Value After Discount])</f>
        <v>727887</v>
      </c>
      <c r="T125">
        <f>XLOOKUP(E125,[1]!Bookings[Booking Name],[1]!Bookings[Inv Final Sale Value])</f>
        <v>779000</v>
      </c>
      <c r="U125" t="str">
        <f>XLOOKUP(E125,[1]!Bookings[Booking Name],[1]!Bookings[Sales])</f>
        <v>Joudy Shaker</v>
      </c>
      <c r="V125" t="str">
        <f>XLOOKUP(E125,[1]!Bookings[Booking Name],[1]!Bookings[Agency Name])</f>
        <v>FNM PROPERTIES LLC</v>
      </c>
      <c r="W125" t="str">
        <f>XLOOKUP(E125,[1]!Bookings[Booking Name],[1]!Bookings[Booking ID])</f>
        <v>a03J6000009mBJ1</v>
      </c>
      <c r="X125" t="str">
        <f>XLOOKUP(E125,[1]!Bookings[Booking Name],[1]!Bookings[Oracle Id])</f>
        <v>-</v>
      </c>
      <c r="Y125" t="str">
        <v>Not Available on Finance Tracker</v>
      </c>
      <c r="Z125">
        <v>32790.48</v>
      </c>
      <c r="AA125">
        <v>0.04504886060611057</v>
      </c>
      <c r="AB125" t="str">
        <v>No</v>
      </c>
      <c r="AC125" t="str">
        <v>Cancelled due to Non Payment</v>
      </c>
      <c r="AD125" t="str">
        <v>https://onedevelopmentuae-my.sharepoint.com/personal/n_araujo_oneuae_com/Documents/Desktop/Norton-Local/Requests/Rejected%20Bookings/Booking-783%20-%20Booking%20Rejection%20Request.msg</v>
      </c>
      <c r="AE125" t="str">
        <v>Cancelled due to Non Payment</v>
      </c>
      <c r="AF125" t="str">
        <v>Cancellation Request raised by Collections Team</v>
      </c>
    </row>
    <row r="126">
      <c r="B126" t="str">
        <v>September</v>
      </c>
      <c r="C126">
        <v>45916</v>
      </c>
      <c r="D126">
        <f>XLOOKUP(E126,[1]!Bookings[Booking Name],[1]!Bookings[Rejected Date])</f>
        <v>45922</v>
      </c>
      <c r="E126" t="str">
        <v>Booking-711</v>
      </c>
      <c r="F126" t="str">
        <f>XLOOKUP(E126,[1]!Bookings[Booking Name],[1]!Bookings[Booking Status])</f>
        <v>Rejected</v>
      </c>
      <c r="G126">
        <f>XLOOKUP(E126,[1]!Bookings[Booking Name],[1]!Bookings[Booking Date])</f>
        <v>45815</v>
      </c>
      <c r="H126">
        <f>XLOOKUP(E126,[1]!Bookings[Booking Name],[1]!Bookings[Booking Aging])</f>
        <v>244</v>
      </c>
      <c r="I126" t="str">
        <f>XLOOKUP(E126,[1]!Bookings[Booking Name],[1]!Bookings[Project Name])</f>
        <v>Laguna Residence</v>
      </c>
      <c r="J126" t="str">
        <f>XLOOKUP(E126,[1]!Bookings[Booking Name],[1]!Bookings[Building])</f>
        <v>Tower B</v>
      </c>
      <c r="K126" t="str">
        <f>XLOOKUP(E126,[1]!Bookings[Booking Name],[1]!Bookings[Bedrooms])</f>
        <v>1 Bedroom</v>
      </c>
      <c r="L126" t="str">
        <f>XLOOKUP(E126,[1]!Bookings[Booking Name],[1]!Bookings[Unit No.])</f>
        <v>B323</v>
      </c>
      <c r="M126" t="str">
        <f>XLOOKUP(E126,[1]!Bookings[Booking Name],[1]!Bookings[Inventory Unit Status])</f>
        <v>SPA Executed</v>
      </c>
      <c r="N126" t="str">
        <f>XLOOKUP(E126,[1]!Bookings[Booking Name],[1]!Bookings[Booking Status])</f>
        <v>Rejected</v>
      </c>
      <c r="O126" t="str">
        <f>XLOOKUP(E126,[1]!Bookings[Booking Name],[1]!Bookings[Customer Name])</f>
        <v>Sivakeerthi Kumarathas</v>
      </c>
      <c r="P126" t="str">
        <f>XLOOKUP(E126,[1]!Bookings[Booking Name],[1]!Bookings[Nationality])</f>
        <v>United Kingdom</v>
      </c>
      <c r="Q126">
        <f>XLOOKUP(E126,[1]!Bookings[Booking Name],[1]!Bookings[Discount Amount])</f>
        <v>128000</v>
      </c>
      <c r="R126">
        <f>XLOOKUP(E126,[1]!Bookings[Booking Name],[1]!Bookings[Discount Percentage])</f>
        <v>0.09846153846153846</v>
      </c>
      <c r="S126">
        <f>XLOOKUP(E126,[1]!Bookings[Booking Name],[1]!Bookings[Final Sale Value After Discount])</f>
        <v>1172000</v>
      </c>
      <c r="T126">
        <f>XLOOKUP(E126,[1]!Bookings[Booking Name],[1]!Bookings[Inv Final Sale Value])</f>
        <v>1300000</v>
      </c>
      <c r="U126" t="str">
        <f>XLOOKUP(E126,[1]!Bookings[Booking Name],[1]!Bookings[Sales])</f>
        <v>Aqsa Bhatti</v>
      </c>
      <c r="V126" t="str">
        <f>XLOOKUP(E126,[1]!Bookings[Booking Name],[1]!Bookings[Agency Name])</f>
        <v>CHALET INTERNATIONAL REAL ESTATE L.L.C</v>
      </c>
      <c r="W126" t="str">
        <f>XLOOKUP(E126,[1]!Bookings[Booking Name],[1]!Bookings[Booking ID])</f>
        <v>a03J6000009lRBS</v>
      </c>
      <c r="X126" t="str">
        <f>XLOOKUP(E126,[1]!Bookings[Booking Name],[1]!Bookings[Oracle Id])</f>
        <v>-</v>
      </c>
      <c r="Y126" t="str">
        <v>Not Available on Finance Tracker</v>
      </c>
      <c r="Z126">
        <v>45000</v>
      </c>
      <c r="AA126">
        <v>0.03839590443686007</v>
      </c>
      <c r="AB126" t="str">
        <v>No</v>
      </c>
      <c r="AC126" t="str">
        <v>Cancelled due to Non Payment</v>
      </c>
      <c r="AD126" t="str">
        <v>https://onedevelopmentuae-my.sharepoint.com/personal/n_araujo_oneuae_com/Documents/Desktop/Norton-Local/Requests/Rejected%20Bookings/Booking-711%20-%20Booking%20Rejection%20Request.msg</v>
      </c>
      <c r="AE126" t="str">
        <v>Cancelled due to Non Payment</v>
      </c>
      <c r="AF126" t="str">
        <v>Cancellation Request raised by Collections Team</v>
      </c>
    </row>
    <row r="127">
      <c r="B127" t="str">
        <v>September</v>
      </c>
      <c r="C127">
        <v>45916</v>
      </c>
      <c r="D127">
        <f>XLOOKUP(E127,[1]!Bookings[Booking Name],[1]!Bookings[Rejected Date])</f>
        <v>45922</v>
      </c>
      <c r="E127" t="str">
        <v>Booking-657</v>
      </c>
      <c r="F127" t="str">
        <f>XLOOKUP(E127,[1]!Bookings[Booking Name],[1]!Bookings[Booking Status])</f>
        <v>Rejected</v>
      </c>
      <c r="G127">
        <f>XLOOKUP(E127,[1]!Bookings[Booking Name],[1]!Bookings[Booking Date])</f>
        <v>45787</v>
      </c>
      <c r="H127">
        <f>XLOOKUP(E127,[1]!Bookings[Booking Name],[1]!Bookings[Booking Aging])</f>
        <v>272</v>
      </c>
      <c r="I127" t="str">
        <f>XLOOKUP(E127,[1]!Bookings[Booking Name],[1]!Bookings[Project Name])</f>
        <v>Laguna Residence</v>
      </c>
      <c r="J127" t="str">
        <f>XLOOKUP(E127,[1]!Bookings[Booking Name],[1]!Bookings[Building])</f>
        <v>Tower A</v>
      </c>
      <c r="K127" t="str">
        <f>XLOOKUP(E127,[1]!Bookings[Booking Name],[1]!Bookings[Bedrooms])</f>
        <v>Studio</v>
      </c>
      <c r="L127" t="str">
        <f>XLOOKUP(E127,[1]!Bookings[Booking Name],[1]!Bookings[Unit No.])</f>
        <v>A1311</v>
      </c>
      <c r="M127" t="str">
        <f>XLOOKUP(E127,[1]!Bookings[Booking Name],[1]!Bookings[Inventory Unit Status])</f>
        <v>Booked</v>
      </c>
      <c r="N127" t="str">
        <f>XLOOKUP(E127,[1]!Bookings[Booking Name],[1]!Bookings[Booking Status])</f>
        <v>Rejected</v>
      </c>
      <c r="O127" t="str">
        <f>XLOOKUP(E127,[1]!Bookings[Booking Name],[1]!Bookings[Customer Name])</f>
        <v>Sivakeerthi Kumarathas</v>
      </c>
      <c r="P127" t="str">
        <f>XLOOKUP(E127,[1]!Bookings[Booking Name],[1]!Bookings[Nationality])</f>
        <v>United Kingdom</v>
      </c>
      <c r="Q127">
        <f>XLOOKUP(E127,[1]!Bookings[Booking Name],[1]!Bookings[Discount Amount])</f>
        <v>101746</v>
      </c>
      <c r="R127">
        <f>XLOOKUP(E127,[1]!Bookings[Booking Name],[1]!Bookings[Discount Percentage])</f>
        <v>0.12879240506329115</v>
      </c>
      <c r="S127">
        <f>XLOOKUP(E127,[1]!Bookings[Booking Name],[1]!Bookings[Final Sale Value After Discount])</f>
        <v>688254</v>
      </c>
      <c r="T127">
        <f>XLOOKUP(E127,[1]!Bookings[Booking Name],[1]!Bookings[Inv Final Sale Value])</f>
        <v>790000</v>
      </c>
      <c r="U127" t="str">
        <f>XLOOKUP(E127,[1]!Bookings[Booking Name],[1]!Bookings[Sales])</f>
        <v>Aiham Addi</v>
      </c>
      <c r="V127" t="str">
        <f>XLOOKUP(E127,[1]!Bookings[Booking Name],[1]!Bookings[Agency Name])</f>
        <v>CHALET INTERNATIONAL REAL ESTATE L.L.C</v>
      </c>
      <c r="W127" t="str">
        <f>XLOOKUP(E127,[1]!Bookings[Booking Name],[1]!Bookings[Booking ID])</f>
        <v>a03J60000082sgj</v>
      </c>
      <c r="X127" t="str">
        <f>XLOOKUP(E127,[1]!Bookings[Booking Name],[1]!Bookings[Oracle Id])</f>
        <v>-</v>
      </c>
      <c r="Y127">
        <v>5000</v>
      </c>
      <c r="Z127">
        <v>68825.4</v>
      </c>
      <c r="AA127">
        <v>0.09999999999999999</v>
      </c>
      <c r="AB127" t="str">
        <v>No</v>
      </c>
      <c r="AC127" t="str">
        <v>Cancelled due to Non Payment</v>
      </c>
      <c r="AD127" t="str">
        <v>https://onedevelopmentuae-my.sharepoint.com/personal/n_araujo_oneuae_com/Documents/Desktop/Norton-Local/Requests/Rejected%20Bookings/Booking-657%20-%20Booking%20Rejection%20Request.msg</v>
      </c>
      <c r="AE127" t="str">
        <v>Cancelled due to Non Payment</v>
      </c>
      <c r="AF127" t="str">
        <v>Cancellation Request raised by Collections Team</v>
      </c>
    </row>
    <row r="128">
      <c r="B128" t="str">
        <v>September</v>
      </c>
      <c r="C128">
        <v>45915</v>
      </c>
      <c r="D128">
        <f>XLOOKUP(E128,[1]!Bookings[Booking Name],[1]!Bookings[Rejected Date])</f>
        <v>45918</v>
      </c>
      <c r="E128" t="str">
        <v>Booking-971</v>
      </c>
      <c r="F128" t="str">
        <f>XLOOKUP(E128,[1]!Bookings[Booking Name],[1]!Bookings[Booking Status])</f>
        <v>Rejected</v>
      </c>
      <c r="G128">
        <f>XLOOKUP(E128,[1]!Bookings[Booking Name],[1]!Bookings[Booking Date])</f>
        <v>45904</v>
      </c>
      <c r="H128">
        <f>XLOOKUP(E128,[1]!Bookings[Booking Name],[1]!Bookings[Booking Aging])</f>
        <v>155</v>
      </c>
      <c r="I128" t="str">
        <f>XLOOKUP(E128,[1]!Bookings[Booking Name],[1]!Bookings[Project Name])</f>
        <v>Laguna Residence</v>
      </c>
      <c r="J128" t="str">
        <f>XLOOKUP(E128,[1]!Bookings[Booking Name],[1]!Bookings[Building])</f>
        <v>Tower B</v>
      </c>
      <c r="K128" t="str">
        <f>XLOOKUP(E128,[1]!Bookings[Booking Name],[1]!Bookings[Bedrooms])</f>
        <v>Studio</v>
      </c>
      <c r="L128" t="str">
        <f>XLOOKUP(E128,[1]!Bookings[Booking Name],[1]!Bookings[Unit No.])</f>
        <v>B3103</v>
      </c>
      <c r="M128" t="str">
        <f>XLOOKUP(E128,[1]!Bookings[Booking Name],[1]!Bookings[Inventory Unit Status])</f>
        <v>Blocked</v>
      </c>
      <c r="N128" t="str">
        <f>XLOOKUP(E128,[1]!Bookings[Booking Name],[1]!Bookings[Booking Status])</f>
        <v>Rejected</v>
      </c>
      <c r="O128" t="str">
        <f>XLOOKUP(E128,[1]!Bookings[Booking Name],[1]!Bookings[Customer Name])</f>
        <v>Mohammed Fardin Khan</v>
      </c>
      <c r="P128" t="str">
        <f>XLOOKUP(E128,[1]!Bookings[Booking Name],[1]!Bookings[Nationality])</f>
        <v>United States of America</v>
      </c>
      <c r="Q128">
        <f>XLOOKUP(E128,[1]!Bookings[Booking Name],[1]!Bookings[Discount Amount])</f>
        <v>0</v>
      </c>
      <c r="R128">
        <f>XLOOKUP(E128,[1]!Bookings[Booking Name],[1]!Bookings[Discount Percentage])</f>
        <v>0</v>
      </c>
      <c r="S128">
        <f>XLOOKUP(E128,[1]!Bookings[Booking Name],[1]!Bookings[Final Sale Value After Discount])</f>
        <v>941000</v>
      </c>
      <c r="T128">
        <f>XLOOKUP(E128,[1]!Bookings[Booking Name],[1]!Bookings[Inv Final Sale Value])</f>
        <v>941000</v>
      </c>
      <c r="U128" t="str">
        <f>XLOOKUP(E128,[1]!Bookings[Booking Name],[1]!Bookings[Sales])</f>
        <v>Ramy Abdelsalam</v>
      </c>
      <c r="V128" t="str">
        <f>XLOOKUP(E128,[1]!Bookings[Booking Name],[1]!Bookings[Agency Name])</f>
        <v>Sevenx Properties LLC</v>
      </c>
      <c r="W128" t="str">
        <f>XLOOKUP(E128,[1]!Bookings[Booking Name],[1]!Bookings[Booking ID])</f>
        <v>a03J600000Bs5Zm</v>
      </c>
      <c r="X128" t="str">
        <f>XLOOKUP(E128,[1]!Bookings[Booking Name],[1]!Bookings[Oracle Id])</f>
        <v>-</v>
      </c>
      <c r="Y128" t="str">
        <v>Not Available on Finance Tracker</v>
      </c>
      <c r="Z128">
        <v>5000</v>
      </c>
      <c r="AA128">
        <v>0.005313496280552604</v>
      </c>
      <c r="AB128" t="str">
        <v>No</v>
      </c>
      <c r="AC128" t="str">
        <v>Request received from Sales Manager | Sales Director to cancel the booking as customer booked another unit on the same day (Booking- 973 - B3012)</v>
      </c>
      <c r="AD128" t="str">
        <v>https://onedevelopmentuae-my.sharepoint.com/personal/n_araujo_oneuae_com/Documents/Desktop/Norton-Local/Requests/Rejected%20Bookings/Booking-971%20-%20Booking%20Rejection%20Request.msg</v>
      </c>
      <c r="AE128" t="str">
        <v>Unit Swap - Approved by Management</v>
      </c>
      <c r="AF128" t="str">
        <v>Swapped from B3103 to B3012</v>
      </c>
    </row>
    <row r="129">
      <c r="B129" t="str">
        <v>September</v>
      </c>
      <c r="C129">
        <v>45915</v>
      </c>
      <c r="D129">
        <f>XLOOKUP(E129,[1]!Bookings[Booking Name],[1]!Bookings[Rejected Date])</f>
        <v>45916</v>
      </c>
      <c r="E129" t="str">
        <v>Booking-935</v>
      </c>
      <c r="F129" t="str">
        <f>XLOOKUP(E129,[1]!Bookings[Booking Name],[1]!Bookings[Booking Status])</f>
        <v>Rejected</v>
      </c>
      <c r="G129">
        <f>XLOOKUP(E129,[1]!Bookings[Booking Name],[1]!Bookings[Booking Date])</f>
        <v>45890</v>
      </c>
      <c r="H129">
        <f>XLOOKUP(E129,[1]!Bookings[Booking Name],[1]!Bookings[Booking Aging])</f>
        <v>169</v>
      </c>
      <c r="I129" t="str">
        <f>XLOOKUP(E129,[1]!Bookings[Booking Name],[1]!Bookings[Project Name])</f>
        <v>Do Dubai Island</v>
      </c>
      <c r="J129" t="str">
        <f>XLOOKUP(E129,[1]!Bookings[Booking Name],[1]!Bookings[Building])</f>
        <v>Tower 1</v>
      </c>
      <c r="K129" t="str">
        <f>XLOOKUP(E129,[1]!Bookings[Booking Name],[1]!Bookings[Bedrooms])</f>
        <v>Studio</v>
      </c>
      <c r="L129" t="str">
        <f>XLOOKUP(E129,[1]!Bookings[Booking Name],[1]!Bookings[Unit No.])</f>
        <v>107</v>
      </c>
      <c r="M129" t="str">
        <f>XLOOKUP(E129,[1]!Bookings[Booking Name],[1]!Bookings[Inventory Unit Status])</f>
        <v>SPA Executed</v>
      </c>
      <c r="N129" t="str">
        <f>XLOOKUP(E129,[1]!Bookings[Booking Name],[1]!Bookings[Booking Status])</f>
        <v>Rejected</v>
      </c>
      <c r="O129" t="str">
        <f>XLOOKUP(E129,[1]!Bookings[Booking Name],[1]!Bookings[Customer Name])</f>
        <v>Onur Tukel</v>
      </c>
      <c r="P129" t="str">
        <f>XLOOKUP(E129,[1]!Bookings[Booking Name],[1]!Bookings[Nationality])</f>
        <v>Canada</v>
      </c>
      <c r="Q129">
        <f>XLOOKUP(E129,[1]!Bookings[Booking Name],[1]!Bookings[Discount Amount])</f>
        <v>25920</v>
      </c>
      <c r="R129">
        <f>XLOOKUP(E129,[1]!Bookings[Booking Name],[1]!Bookings[Discount Percentage])</f>
        <v>0.02</v>
      </c>
      <c r="S129">
        <f>XLOOKUP(E129,[1]!Bookings[Booking Name],[1]!Bookings[Final Sale Value After Discount])</f>
        <v>1270080</v>
      </c>
      <c r="T129">
        <f>XLOOKUP(E129,[1]!Bookings[Booking Name],[1]!Bookings[Inv Final Sale Value])</f>
        <v>1296000</v>
      </c>
      <c r="U129" t="str">
        <f>XLOOKUP(E129,[1]!Bookings[Booking Name],[1]!Bookings[Sales])</f>
        <v>Zeynep Mustekin</v>
      </c>
      <c r="V129" t="str">
        <f>XLOOKUP(E129,[1]!Bookings[Booking Name],[1]!Bookings[Agency Name])</f>
        <v>Parcel Real Estates L.L.C</v>
      </c>
      <c r="W129" t="str">
        <f>XLOOKUP(E129,[1]!Bookings[Booking Name],[1]!Bookings[Booking ID])</f>
        <v>a03J600000BrKLL</v>
      </c>
      <c r="X129" t="str">
        <f>XLOOKUP(E129,[1]!Bookings[Booking Name],[1]!Bookings[Oracle Id])</f>
        <v>-</v>
      </c>
      <c r="Y129" t="str">
        <v>Not Available on Finance Tracker</v>
      </c>
      <c r="Z129">
        <v>31700</v>
      </c>
      <c r="AA129">
        <v>0.024959057697152936</v>
      </c>
      <c r="AB129" t="str">
        <v>No</v>
      </c>
      <c r="AC129" t="str">
        <v>Customer requested to Change Ownership</v>
      </c>
      <c r="AD129" t="str">
        <v>https://onedevelopmentuae-my.sharepoint.com/personal/n_araujo_oneuae_com/Documents/Desktop/Norton-Local/Requests/Rejected%20Bookings/Booking-935%20-%20Booking%20Rejection%20Request.msg</v>
      </c>
      <c r="AE129" t="str">
        <v>Customer requested for Change of Ownership</v>
      </c>
      <c r="AF129" t="str">
        <v>From Onur Tukel to Burhan Tukel</v>
      </c>
    </row>
    <row r="130" xml:space="preserve">
      <c r="B130" t="str">
        <v>September</v>
      </c>
      <c r="C130">
        <v>45915</v>
      </c>
      <c r="D130">
        <f>XLOOKUP(E130,[1]!Bookings[Booking Name],[1]!Bookings[Rejected Date])</f>
        <v>45915</v>
      </c>
      <c r="E130" t="str">
        <v>Booking-884</v>
      </c>
      <c r="F130" t="str">
        <f>XLOOKUP(E130,[1]!Bookings[Booking Name],[1]!Bookings[Booking Status])</f>
        <v>Rejected</v>
      </c>
      <c r="G130">
        <f>XLOOKUP(E130,[1]!Bookings[Booking Name],[1]!Bookings[Booking Date])</f>
        <v>45878</v>
      </c>
      <c r="H130">
        <f>XLOOKUP(E130,[1]!Bookings[Booking Name],[1]!Bookings[Booking Aging])</f>
        <v>181</v>
      </c>
      <c r="I130" t="str">
        <f>XLOOKUP(E130,[1]!Bookings[Booking Name],[1]!Bookings[Project Name])</f>
        <v>Laguna Residence</v>
      </c>
      <c r="J130" t="str">
        <f>XLOOKUP(E130,[1]!Bookings[Booking Name],[1]!Bookings[Building])</f>
        <v>Tower B</v>
      </c>
      <c r="K130" t="str">
        <f>XLOOKUP(E130,[1]!Bookings[Booking Name],[1]!Bookings[Bedrooms])</f>
        <v>2 Bedroom</v>
      </c>
      <c r="L130" t="str">
        <f>XLOOKUP(E130,[1]!Bookings[Booking Name],[1]!Bookings[Unit No.])</f>
        <v>B308</v>
      </c>
      <c r="M130" t="str">
        <f>XLOOKUP(E130,[1]!Bookings[Booking Name],[1]!Bookings[Inventory Unit Status])</f>
        <v>Blocked</v>
      </c>
      <c r="N130" t="str">
        <f>XLOOKUP(E130,[1]!Bookings[Booking Name],[1]!Bookings[Booking Status])</f>
        <v>Rejected</v>
      </c>
      <c r="O130" t="str">
        <f>XLOOKUP(E130,[1]!Bookings[Booking Name],[1]!Bookings[Customer Name])</f>
        <v>Touria Agallouch</v>
      </c>
      <c r="P130" t="str">
        <f>XLOOKUP(E130,[1]!Bookings[Booking Name],[1]!Bookings[Nationality])</f>
        <v>Morocco</v>
      </c>
      <c r="Q130">
        <f>XLOOKUP(E130,[1]!Bookings[Booking Name],[1]!Bookings[Discount Amount])</f>
        <v>151363.5</v>
      </c>
      <c r="R130">
        <f>XLOOKUP(E130,[1]!Bookings[Booking Name],[1]!Bookings[Discount Percentage])</f>
        <v>0.0893</v>
      </c>
      <c r="S130">
        <f>XLOOKUP(E130,[1]!Bookings[Booking Name],[1]!Bookings[Final Sale Value After Discount])</f>
        <v>1543636.5</v>
      </c>
      <c r="T130">
        <f>XLOOKUP(E130,[1]!Bookings[Booking Name],[1]!Bookings[Inv Final Sale Value])</f>
        <v>1695000</v>
      </c>
      <c r="U130" t="str">
        <f>XLOOKUP(E130,[1]!Bookings[Booking Name],[1]!Bookings[Sales])</f>
        <v>Mohamed El Shimy</v>
      </c>
      <c r="V130" t="str">
        <f>XLOOKUP(E130,[1]!Bookings[Booking Name],[1]!Bookings[Agency Name])</f>
        <v/>
      </c>
      <c r="W130" t="str">
        <f>XLOOKUP(E130,[1]!Bookings[Booking Name],[1]!Bookings[Booking ID])</f>
        <v>a03J600000BqiQg</v>
      </c>
      <c r="X130" t="str">
        <f>XLOOKUP(E130,[1]!Bookings[Booking Name],[1]!Bookings[Oracle Id])</f>
        <v>-</v>
      </c>
      <c r="Y130" t="str">
        <v>Not Available on Finance Tracker</v>
      </c>
      <c r="AA130">
        <v>0</v>
      </c>
      <c r="AC130" t="str" xml:space="preserve">
        <v xml:space="preserve">As per the system, cancellation reason _x000d_
'Management Cancelation Request'</v>
      </c>
      <c r="AD130" t="str">
        <v>No Email</v>
      </c>
      <c r="AE130" t="str">
        <v>Cancellation raised by Sales Director</v>
      </c>
      <c r="AF130" t="str">
        <v>Mohammed El Shimmy - Part of the Bulk Deal</v>
      </c>
    </row>
    <row r="131">
      <c r="B131" t="str">
        <v>September</v>
      </c>
      <c r="C131">
        <v>45911</v>
      </c>
      <c r="D131">
        <f>XLOOKUP(E131,[1]!Bookings[Booking Name],[1]!Bookings[Rejected Date])</f>
        <v>45911</v>
      </c>
      <c r="E131" t="str">
        <v>Booking-879</v>
      </c>
      <c r="F131" t="str">
        <f>XLOOKUP(E131,[1]!Bookings[Booking Name],[1]!Bookings[Booking Status])</f>
        <v>Rejected</v>
      </c>
      <c r="G131">
        <f>XLOOKUP(E131,[1]!Bookings[Booking Name],[1]!Bookings[Booking Date])</f>
        <v>45877</v>
      </c>
      <c r="H131">
        <f>XLOOKUP(E131,[1]!Bookings[Booking Name],[1]!Bookings[Booking Aging])</f>
        <v>182</v>
      </c>
      <c r="I131" t="str">
        <f>XLOOKUP(E131,[1]!Bookings[Booking Name],[1]!Bookings[Project Name])</f>
        <v>Laguna Residence</v>
      </c>
      <c r="J131" t="str">
        <f>XLOOKUP(E131,[1]!Bookings[Booking Name],[1]!Bookings[Building])</f>
        <v>Tower A</v>
      </c>
      <c r="K131" t="str">
        <f>XLOOKUP(E131,[1]!Bookings[Booking Name],[1]!Bookings[Bedrooms])</f>
        <v>2 Bedroom</v>
      </c>
      <c r="L131" t="str">
        <f>XLOOKUP(E131,[1]!Bookings[Booking Name],[1]!Bookings[Unit No.])</f>
        <v>A106</v>
      </c>
      <c r="M131" t="str">
        <f>XLOOKUP(E131,[1]!Bookings[Booking Name],[1]!Bookings[Inventory Unit Status])</f>
        <v>Blocked</v>
      </c>
      <c r="N131" t="str">
        <f>XLOOKUP(E131,[1]!Bookings[Booking Name],[1]!Bookings[Booking Status])</f>
        <v>Rejected</v>
      </c>
      <c r="O131" t="str">
        <f>XLOOKUP(E131,[1]!Bookings[Booking Name],[1]!Bookings[Customer Name])</f>
        <v>Daniel Phinn</v>
      </c>
      <c r="P131" t="str">
        <f>XLOOKUP(E131,[1]!Bookings[Booking Name],[1]!Bookings[Nationality])</f>
        <v>United Kingdom</v>
      </c>
      <c r="Q131">
        <f>XLOOKUP(E131,[1]!Bookings[Booking Name],[1]!Bookings[Discount Amount])</f>
        <v>119350</v>
      </c>
      <c r="R131">
        <f>XLOOKUP(E131,[1]!Bookings[Booking Name],[1]!Bookings[Discount Percentage])</f>
        <v>0.05</v>
      </c>
      <c r="S131">
        <f>XLOOKUP(E131,[1]!Bookings[Booking Name],[1]!Bookings[Final Sale Value After Discount])</f>
        <v>2267650</v>
      </c>
      <c r="T131">
        <f>XLOOKUP(E131,[1]!Bookings[Booking Name],[1]!Bookings[Inv Final Sale Value])</f>
        <v>2387000</v>
      </c>
      <c r="U131" t="str">
        <f>XLOOKUP(E131,[1]!Bookings[Booking Name],[1]!Bookings[Sales])</f>
        <v>Claire Moussa</v>
      </c>
      <c r="V131" t="str">
        <f>XLOOKUP(E131,[1]!Bookings[Booking Name],[1]!Bookings[Agency Name])</f>
        <v>Paul Anthony Smith</v>
      </c>
      <c r="W131" t="str">
        <f>XLOOKUP(E131,[1]!Bookings[Booking Name],[1]!Bookings[Booking ID])</f>
        <v>a03J600000Bqgbk</v>
      </c>
      <c r="X131" t="str">
        <f>XLOOKUP(E131,[1]!Bookings[Booking Name],[1]!Bookings[Oracle Id])</f>
        <v>-</v>
      </c>
      <c r="Y131" t="str">
        <v>Not Available on Finance Tracker</v>
      </c>
      <c r="Z131" t="str">
        <v>No Payment</v>
      </c>
      <c r="AA131" t="str">
        <v>N/A</v>
      </c>
      <c r="AB131" t="str">
        <v>N/A</v>
      </c>
      <c r="AC131" t="str">
        <v>Cancelled due to Non Payment</v>
      </c>
      <c r="AD131" t="str">
        <v>https://onedevelopmentuae-my.sharepoint.com/personal/n_araujo_oneuae_com/Documents/Desktop/Norton-Local/Requests/Rejected%20Bookings/Booking-879%20-%20Booking%20Rejection%20Request.msg</v>
      </c>
      <c r="AE131" t="str">
        <v>Cancelled due to Non Payment</v>
      </c>
      <c r="AF131" t="str">
        <v>Cancellation Request raised by Collections Team</v>
      </c>
    </row>
    <row r="132">
      <c r="B132" t="str">
        <v>September</v>
      </c>
      <c r="C132">
        <v>45911</v>
      </c>
      <c r="D132">
        <f>XLOOKUP(E132,[1]!Bookings[Booking Name],[1]!Bookings[Rejected Date])</f>
        <v>45912</v>
      </c>
      <c r="E132" t="str">
        <v>Booking-882</v>
      </c>
      <c r="F132" t="str">
        <f>XLOOKUP(E132,[1]!Bookings[Booking Name],[1]!Bookings[Booking Status])</f>
        <v>Rejected</v>
      </c>
      <c r="G132">
        <f>XLOOKUP(E132,[1]!Bookings[Booking Name],[1]!Bookings[Booking Date])</f>
        <v>45878</v>
      </c>
      <c r="H132">
        <f>XLOOKUP(E132,[1]!Bookings[Booking Name],[1]!Bookings[Booking Aging])</f>
        <v>181</v>
      </c>
      <c r="I132" t="str">
        <f>XLOOKUP(E132,[1]!Bookings[Booking Name],[1]!Bookings[Project Name])</f>
        <v>Laguna Residence</v>
      </c>
      <c r="J132" t="str">
        <f>XLOOKUP(E132,[1]!Bookings[Booking Name],[1]!Bookings[Building])</f>
        <v>Tower B</v>
      </c>
      <c r="K132" t="str">
        <f>XLOOKUP(E132,[1]!Bookings[Booking Name],[1]!Bookings[Bedrooms])</f>
        <v>2 Bedroom</v>
      </c>
      <c r="L132" t="str">
        <f>XLOOKUP(E132,[1]!Bookings[Booking Name],[1]!Bookings[Unit No.])</f>
        <v>B917</v>
      </c>
      <c r="M132" t="str">
        <f>XLOOKUP(E132,[1]!Bookings[Booking Name],[1]!Bookings[Inventory Unit Status])</f>
        <v>Blocked</v>
      </c>
      <c r="N132" t="str">
        <f>XLOOKUP(E132,[1]!Bookings[Booking Name],[1]!Bookings[Booking Status])</f>
        <v>Rejected</v>
      </c>
      <c r="O132" t="str">
        <f>XLOOKUP(E132,[1]!Bookings[Booking Name],[1]!Bookings[Customer Name])</f>
        <v>Abdelkarim Ghaizi</v>
      </c>
      <c r="P132" t="str">
        <f>XLOOKUP(E132,[1]!Bookings[Booking Name],[1]!Bookings[Nationality])</f>
        <v>Tunisia</v>
      </c>
      <c r="Q132">
        <f>XLOOKUP(E132,[1]!Bookings[Booking Name],[1]!Bookings[Discount Amount])</f>
        <v>40150</v>
      </c>
      <c r="R132">
        <f>XLOOKUP(E132,[1]!Bookings[Booking Name],[1]!Bookings[Discount Percentage])</f>
        <v>0.025</v>
      </c>
      <c r="S132">
        <f>XLOOKUP(E132,[1]!Bookings[Booking Name],[1]!Bookings[Final Sale Value After Discount])</f>
        <v>1565850</v>
      </c>
      <c r="T132">
        <f>XLOOKUP(E132,[1]!Bookings[Booking Name],[1]!Bookings[Inv Final Sale Value])</f>
        <v>1606000</v>
      </c>
      <c r="U132" t="str">
        <f>XLOOKUP(E132,[1]!Bookings[Booking Name],[1]!Bookings[Sales])</f>
        <v>Mohamed El Shimy</v>
      </c>
      <c r="V132" t="str">
        <f>XLOOKUP(E132,[1]!Bookings[Booking Name],[1]!Bookings[Agency Name])</f>
        <v/>
      </c>
      <c r="W132" t="str">
        <f>XLOOKUP(E132,[1]!Bookings[Booking Name],[1]!Bookings[Booking ID])</f>
        <v>a03J600000BqiQI</v>
      </c>
      <c r="X132" t="str">
        <f>XLOOKUP(E132,[1]!Bookings[Booking Name],[1]!Bookings[Oracle Id])</f>
        <v>-</v>
      </c>
      <c r="Y132" t="str">
        <v>Not Available on Finance Tracker</v>
      </c>
      <c r="Z132" t="str">
        <v>No Payment</v>
      </c>
      <c r="AA132" t="str">
        <v>N/A</v>
      </c>
      <c r="AB132" t="str">
        <v>N/A</v>
      </c>
      <c r="AC132" t="str">
        <v>Unit Swapped with B817 as approved by Management</v>
      </c>
      <c r="AD132" t="str">
        <v>https://onedevelopmentuae-my.sharepoint.com/personal/n_araujo_oneuae_com/Documents/Desktop/Norton-Local/Requests/Rejected%20Bookings/Booking-882%20-%20Booking%20Rejection%20Request.msg</v>
      </c>
      <c r="AE132" t="str">
        <v>Unit swap - Approved by Management</v>
      </c>
      <c r="AF132" t="str">
        <v>Swapped from B917 to B817</v>
      </c>
    </row>
    <row r="133">
      <c r="B133" t="str">
        <v>September</v>
      </c>
      <c r="C133">
        <v>45911</v>
      </c>
      <c r="D133">
        <f>XLOOKUP(E133,[1]!Bookings[Booking Name],[1]!Bookings[Rejected Date])</f>
        <v>45922</v>
      </c>
      <c r="E133" t="str">
        <v>Booking-505</v>
      </c>
      <c r="F133" t="str">
        <f>XLOOKUP(E133,[1]!Bookings[Booking Name],[1]!Bookings[Booking Status])</f>
        <v>Rejected</v>
      </c>
      <c r="G133">
        <f>XLOOKUP(E133,[1]!Bookings[Booking Name],[1]!Bookings[Booking Date])</f>
        <v>45731</v>
      </c>
      <c r="H133">
        <f>XLOOKUP(E133,[1]!Bookings[Booking Name],[1]!Bookings[Booking Aging])</f>
        <v>328</v>
      </c>
      <c r="I133" t="str">
        <f>XLOOKUP(E133,[1]!Bookings[Booking Name],[1]!Bookings[Project Name])</f>
        <v>Laguna Residence</v>
      </c>
      <c r="J133" t="str">
        <f>XLOOKUP(E133,[1]!Bookings[Booking Name],[1]!Bookings[Building])</f>
        <v>Tower A</v>
      </c>
      <c r="K133" t="str">
        <f>XLOOKUP(E133,[1]!Bookings[Booking Name],[1]!Bookings[Bedrooms])</f>
        <v>2 Bedroom</v>
      </c>
      <c r="L133" t="str">
        <f>XLOOKUP(E133,[1]!Bookings[Booking Name],[1]!Bookings[Unit No.])</f>
        <v>A103</v>
      </c>
      <c r="M133" t="str">
        <f>XLOOKUP(E133,[1]!Bookings[Booking Name],[1]!Bookings[Inventory Unit Status])</f>
        <v>Available</v>
      </c>
      <c r="N133" t="str">
        <f>XLOOKUP(E133,[1]!Bookings[Booking Name],[1]!Bookings[Booking Status])</f>
        <v>Rejected</v>
      </c>
      <c r="O133" t="str">
        <f>XLOOKUP(E133,[1]!Bookings[Booking Name],[1]!Bookings[Customer Name])</f>
        <v>Moinuddin Mansuri</v>
      </c>
      <c r="P133" t="str">
        <f>XLOOKUP(E133,[1]!Bookings[Booking Name],[1]!Bookings[Nationality])</f>
        <v>India</v>
      </c>
      <c r="Q133">
        <f>XLOOKUP(E133,[1]!Bookings[Booking Name],[1]!Bookings[Discount Amount])</f>
        <v>161399</v>
      </c>
      <c r="R133">
        <f>XLOOKUP(E133,[1]!Bookings[Booking Name],[1]!Bookings[Discount Percentage])</f>
        <v>0.0655826899634295</v>
      </c>
      <c r="S133">
        <f>XLOOKUP(E133,[1]!Bookings[Booking Name],[1]!Bookings[Final Sale Value After Discount])</f>
        <v>2299601</v>
      </c>
      <c r="T133">
        <f>XLOOKUP(E133,[1]!Bookings[Booking Name],[1]!Bookings[Inv Final Sale Value])</f>
        <v>2461000</v>
      </c>
      <c r="U133" t="str">
        <f>XLOOKUP(E133,[1]!Bookings[Booking Name],[1]!Bookings[Sales])</f>
        <v>Amal El Gendy</v>
      </c>
      <c r="V133" t="str">
        <f>XLOOKUP(E133,[1]!Bookings[Booking Name],[1]!Bookings[Agency Name])</f>
        <v>R E M REAL ESTATE BROKER OWNED BY MUNA SAYED SAEED ALHASHEMI</v>
      </c>
      <c r="W133" t="str">
        <f>XLOOKUP(E133,[1]!Bookings[Booking Name],[1]!Bookings[Booking ID])</f>
        <v>a03J6000007zo3p</v>
      </c>
      <c r="X133" t="str">
        <f>XLOOKUP(E133,[1]!Bookings[Booking Name],[1]!Bookings[Oracle Id])</f>
        <v>21502</v>
      </c>
      <c r="Y133">
        <v>7000</v>
      </c>
      <c r="Z133">
        <v>100000</v>
      </c>
      <c r="AA133">
        <v>0.04348580471133905</v>
      </c>
      <c r="AB133" t="str">
        <v>No</v>
      </c>
      <c r="AC133" t="str">
        <v>Cancelled due to Non Payment</v>
      </c>
      <c r="AD133" t="str">
        <v>https://onedevelopmentuae-my.sharepoint.com/personal/n_araujo_oneuae_com/Documents/Desktop/Norton-Local/Requests/Rejected%20Bookings/Booking-505%20-%20Booking%20Rejection%20Request.msg</v>
      </c>
      <c r="AE133" t="str">
        <v>Cancelled due to Non Payment</v>
      </c>
      <c r="AF133" t="str">
        <v>Cancellation Request raised by Collections Team</v>
      </c>
    </row>
    <row r="134">
      <c r="B134" t="str">
        <v>September</v>
      </c>
      <c r="C134">
        <v>45909</v>
      </c>
      <c r="D134">
        <f>XLOOKUP(E134,[1]!Bookings[Booking Name],[1]!Bookings[Rejected Date])</f>
        <v>45909</v>
      </c>
      <c r="E134" t="str">
        <v>Booking-972</v>
      </c>
      <c r="F134" t="str">
        <f>XLOOKUP(E134,[1]!Bookings[Booking Name],[1]!Bookings[Booking Status])</f>
        <v>Rejected</v>
      </c>
      <c r="G134">
        <f>XLOOKUP(E134,[1]!Bookings[Booking Name],[1]!Bookings[Booking Date])</f>
        <v>45904</v>
      </c>
      <c r="H134">
        <f>XLOOKUP(E134,[1]!Bookings[Booking Name],[1]!Bookings[Booking Aging])</f>
        <v>155</v>
      </c>
      <c r="I134" t="str">
        <f>XLOOKUP(E134,[1]!Bookings[Booking Name],[1]!Bookings[Project Name])</f>
        <v>Laguna Residence</v>
      </c>
      <c r="J134" t="str">
        <f>XLOOKUP(E134,[1]!Bookings[Booking Name],[1]!Bookings[Building])</f>
        <v>Tower A</v>
      </c>
      <c r="K134" t="str">
        <f>XLOOKUP(E134,[1]!Bookings[Booking Name],[1]!Bookings[Bedrooms])</f>
        <v>2 Bedroom</v>
      </c>
      <c r="L134" t="str">
        <f>XLOOKUP(E134,[1]!Bookings[Booking Name],[1]!Bookings[Unit No.])</f>
        <v>A1801</v>
      </c>
      <c r="M134" t="str">
        <f>XLOOKUP(E134,[1]!Bookings[Booking Name],[1]!Bookings[Inventory Unit Status])</f>
        <v>SPA Executed</v>
      </c>
      <c r="N134" t="str">
        <f>XLOOKUP(E134,[1]!Bookings[Booking Name],[1]!Bookings[Booking Status])</f>
        <v>Rejected</v>
      </c>
      <c r="O134" t="str">
        <f>XLOOKUP(E134,[1]!Bookings[Booking Name],[1]!Bookings[Customer Name])</f>
        <v>Joseph Mallekkattu</v>
      </c>
      <c r="P134" t="str">
        <f>XLOOKUP(E134,[1]!Bookings[Booking Name],[1]!Bookings[Nationality])</f>
        <v>India</v>
      </c>
      <c r="Q134">
        <f>XLOOKUP(E134,[1]!Bookings[Booking Name],[1]!Bookings[Discount Amount])</f>
        <v>129450</v>
      </c>
      <c r="R134">
        <f>XLOOKUP(E134,[1]!Bookings[Booking Name],[1]!Bookings[Discount Percentage])</f>
        <v>0.05</v>
      </c>
      <c r="S134">
        <f>XLOOKUP(E134,[1]!Bookings[Booking Name],[1]!Bookings[Final Sale Value After Discount])</f>
        <v>2459550</v>
      </c>
      <c r="T134">
        <f>XLOOKUP(E134,[1]!Bookings[Booking Name],[1]!Bookings[Inv Final Sale Value])</f>
        <v>2589000</v>
      </c>
      <c r="U134" t="str">
        <f>XLOOKUP(E134,[1]!Bookings[Booking Name],[1]!Bookings[Sales])</f>
        <v>Yasmin Bahader</v>
      </c>
      <c r="V134" t="str">
        <f>XLOOKUP(E134,[1]!Bookings[Booking Name],[1]!Bookings[Agency Name])</f>
        <v>RANGE INTERNATIONAL PROPERTY INVESTMENT ONE PERSON COMPANY L.L.C</v>
      </c>
      <c r="W134" t="str">
        <f>XLOOKUP(E134,[1]!Bookings[Booking Name],[1]!Bookings[Booking ID])</f>
        <v>a03J600000Bs7ad</v>
      </c>
      <c r="X134" t="str">
        <f>XLOOKUP(E134,[1]!Bookings[Booking Name],[1]!Bookings[Oracle Id])</f>
        <v>-</v>
      </c>
      <c r="Y134" t="str">
        <v>Not Available on Finance Tracker</v>
      </c>
      <c r="Z134">
        <v>50000</v>
      </c>
      <c r="AA134">
        <v>0.020328921957268604</v>
      </c>
      <c r="AB134" t="str">
        <v>No</v>
      </c>
      <c r="AC134" t="str">
        <v>Unit was initially booked with Joint Owner. Customer requested to cancel in order to book under single owner for Golden Visa Process. Funds to be reallocated to single owner Dr. Ajoy</v>
      </c>
      <c r="AD134" t="str">
        <v>https://onedevelopmentuae-my.sharepoint.com/personal/n_araujo_oneuae_com/Documents/Desktop/Norton-Local/Requests/Rejected%20Bookings/Booking-972%20-%20Booking%20Rejection%20Request.msg</v>
      </c>
      <c r="AE134" t="str">
        <v>Customer requested for Change of Ownership</v>
      </c>
      <c r="AF134" t="str">
        <v>From Joint Ownership to Single Ownership</v>
      </c>
    </row>
    <row r="135">
      <c r="B135" t="str">
        <v>September</v>
      </c>
      <c r="C135">
        <v>45908</v>
      </c>
      <c r="D135">
        <f>XLOOKUP(E135,[1]!Bookings[Booking Name],[1]!Bookings[Rejected Date])</f>
        <v>45911</v>
      </c>
      <c r="E135" t="str">
        <v>Booking-968</v>
      </c>
      <c r="F135" t="str">
        <f>XLOOKUP(E135,[1]!Bookings[Booking Name],[1]!Bookings[Booking Status])</f>
        <v>Rejected</v>
      </c>
      <c r="G135">
        <f>XLOOKUP(E135,[1]!Bookings[Booking Name],[1]!Bookings[Booking Date])</f>
        <v>45903</v>
      </c>
      <c r="H135">
        <f>XLOOKUP(E135,[1]!Bookings[Booking Name],[1]!Bookings[Booking Aging])</f>
        <v>156</v>
      </c>
      <c r="I135" t="str">
        <f>XLOOKUP(E135,[1]!Bookings[Booking Name],[1]!Bookings[Project Name])</f>
        <v>Laguna Residence</v>
      </c>
      <c r="J135" t="str">
        <f>XLOOKUP(E135,[1]!Bookings[Booking Name],[1]!Bookings[Building])</f>
        <v>Tower A</v>
      </c>
      <c r="K135" t="str">
        <f>XLOOKUP(E135,[1]!Bookings[Booking Name],[1]!Bookings[Bedrooms])</f>
        <v>Studio</v>
      </c>
      <c r="L135" t="str">
        <f>XLOOKUP(E135,[1]!Bookings[Booking Name],[1]!Bookings[Unit No.])</f>
        <v>A3103</v>
      </c>
      <c r="M135" t="str">
        <f>XLOOKUP(E135,[1]!Bookings[Booking Name],[1]!Bookings[Inventory Unit Status])</f>
        <v>SPA Executed</v>
      </c>
      <c r="N135" t="str">
        <f>XLOOKUP(E135,[1]!Bookings[Booking Name],[1]!Bookings[Booking Status])</f>
        <v>Rejected</v>
      </c>
      <c r="O135" t="str">
        <f>XLOOKUP(E135,[1]!Bookings[Booking Name],[1]!Bookings[Customer Name])</f>
        <v>Vishal Sardana</v>
      </c>
      <c r="P135" t="str">
        <f>XLOOKUP(E135,[1]!Bookings[Booking Name],[1]!Bookings[Nationality])</f>
        <v>Australia</v>
      </c>
      <c r="Q135">
        <f>XLOOKUP(E135,[1]!Bookings[Booking Name],[1]!Bookings[Discount Amount])</f>
        <v>0</v>
      </c>
      <c r="R135">
        <f>XLOOKUP(E135,[1]!Bookings[Booking Name],[1]!Bookings[Discount Percentage])</f>
        <v>0</v>
      </c>
      <c r="S135">
        <f>XLOOKUP(E135,[1]!Bookings[Booking Name],[1]!Bookings[Final Sale Value After Discount])</f>
        <v>896000</v>
      </c>
      <c r="T135">
        <f>XLOOKUP(E135,[1]!Bookings[Booking Name],[1]!Bookings[Inv Final Sale Value])</f>
        <v>896000</v>
      </c>
      <c r="U135" t="str">
        <f>XLOOKUP(E135,[1]!Bookings[Booking Name],[1]!Bookings[Sales])</f>
        <v>Fadwa Belkaid</v>
      </c>
      <c r="V135" t="str">
        <f>XLOOKUP(E135,[1]!Bookings[Booking Name],[1]!Bookings[Agency Name])</f>
        <v>Blaze Realty L.L.C</v>
      </c>
      <c r="W135" t="str">
        <f>XLOOKUP(E135,[1]!Bookings[Booking Name],[1]!Bookings[Booking ID])</f>
        <v>a03J600000Bs37n</v>
      </c>
      <c r="X135" t="str">
        <f>XLOOKUP(E135,[1]!Bookings[Booking Name],[1]!Bookings[Oracle Id])</f>
        <v>-</v>
      </c>
      <c r="Y135" t="str">
        <v>Not Available on Finance Tracker</v>
      </c>
      <c r="Z135">
        <v>2400</v>
      </c>
      <c r="AA135">
        <v>0.0026785714285714286</v>
      </c>
      <c r="AB135" t="str">
        <v>N/A</v>
      </c>
      <c r="AC135" t="str">
        <v>Customer requested to Cancel as mentioned by Sales Manager. Request to reallocate paid funds to different unit - B2612 (Booking-978)</v>
      </c>
      <c r="AD135" t="str">
        <v>https://onedevelopmentuae-my.sharepoint.com/personal/n_araujo_oneuae_com/Documents/Desktop/Norton-Local/Requests/Rejected%20Bookings/Booking-968%20-%20Booking%20Rejection%20Request.msg</v>
      </c>
      <c r="AE135" t="str">
        <v>Customer requested to cancel</v>
      </c>
      <c r="AF135" t="str">
        <v>Paid Amount allocated to unit B2612</v>
      </c>
    </row>
    <row r="136">
      <c r="B136" t="str">
        <v>September</v>
      </c>
      <c r="C136">
        <v>45903</v>
      </c>
      <c r="D136">
        <f>XLOOKUP(E136,[1]!Bookings[Booking Name],[1]!Bookings[Rejected Date])</f>
        <v>45904</v>
      </c>
      <c r="E136" t="str">
        <v>Booking-964</v>
      </c>
      <c r="F136" t="str">
        <f>XLOOKUP(E136,[1]!Bookings[Booking Name],[1]!Bookings[Booking Status])</f>
        <v>Rejected</v>
      </c>
      <c r="G136">
        <f>XLOOKUP(E136,[1]!Bookings[Booking Name],[1]!Bookings[Booking Date])</f>
        <v>45902</v>
      </c>
      <c r="H136">
        <f>XLOOKUP(E136,[1]!Bookings[Booking Name],[1]!Bookings[Booking Aging])</f>
        <v>157</v>
      </c>
      <c r="I136" t="str">
        <f>XLOOKUP(E136,[1]!Bookings[Booking Name],[1]!Bookings[Project Name])</f>
        <v>Do Dubai Island</v>
      </c>
      <c r="J136" t="str">
        <f>XLOOKUP(E136,[1]!Bookings[Booking Name],[1]!Bookings[Building])</f>
        <v>Tower 1</v>
      </c>
      <c r="K136" t="str">
        <f>XLOOKUP(E136,[1]!Bookings[Booking Name],[1]!Bookings[Bedrooms])</f>
        <v>1 Bedroom</v>
      </c>
      <c r="L136" t="str">
        <f>XLOOKUP(E136,[1]!Bookings[Booking Name],[1]!Bookings[Unit No.])</f>
        <v>403</v>
      </c>
      <c r="M136" t="str">
        <f>XLOOKUP(E136,[1]!Bookings[Booking Name],[1]!Bookings[Inventory Unit Status])</f>
        <v>SPA Executed</v>
      </c>
      <c r="N136" t="str">
        <f>XLOOKUP(E136,[1]!Bookings[Booking Name],[1]!Bookings[Booking Status])</f>
        <v>Rejected</v>
      </c>
      <c r="O136" t="str">
        <f>XLOOKUP(E136,[1]!Bookings[Booking Name],[1]!Bookings[Customer Name])</f>
        <v>Sriram Rajagopalan Rajagopalan</v>
      </c>
      <c r="P136" t="str">
        <f>XLOOKUP(E136,[1]!Bookings[Booking Name],[1]!Bookings[Nationality])</f>
        <v>India</v>
      </c>
      <c r="Q136">
        <f>XLOOKUP(E136,[1]!Bookings[Booking Name],[1]!Bookings[Discount Amount])</f>
        <v>0</v>
      </c>
      <c r="R136">
        <f>XLOOKUP(E136,[1]!Bookings[Booking Name],[1]!Bookings[Discount Percentage])</f>
        <v>0</v>
      </c>
      <c r="S136">
        <f>XLOOKUP(E136,[1]!Bookings[Booking Name],[1]!Bookings[Final Sale Value After Discount])</f>
        <v>2646000</v>
      </c>
      <c r="T136">
        <f>XLOOKUP(E136,[1]!Bookings[Booking Name],[1]!Bookings[Inv Final Sale Value])</f>
        <v>2646000</v>
      </c>
      <c r="U136" t="str">
        <f>XLOOKUP(E136,[1]!Bookings[Booking Name],[1]!Bookings[Sales])</f>
        <v>Ramy Abdelsalam</v>
      </c>
      <c r="V136" t="str">
        <f>XLOOKUP(E136,[1]!Bookings[Booking Name],[1]!Bookings[Agency Name])</f>
        <v>Gwt real estate agent</v>
      </c>
      <c r="W136" t="str">
        <f>XLOOKUP(E136,[1]!Bookings[Booking Name],[1]!Bookings[Booking ID])</f>
        <v>a03J600000BrxUQ</v>
      </c>
      <c r="X136" t="str">
        <f>XLOOKUP(E136,[1]!Bookings[Booking Name],[1]!Bookings[Oracle Id])</f>
        <v>-</v>
      </c>
      <c r="Y136" t="str">
        <v>Not Available on Finance Tracker</v>
      </c>
      <c r="Z136" t="str">
        <v>No Payment</v>
      </c>
      <c r="AA136" t="str">
        <v>N/A</v>
      </c>
      <c r="AB136" t="str">
        <v>N/A</v>
      </c>
      <c r="AC136" t="str">
        <v>As per the system, customer requested to cancel</v>
      </c>
      <c r="AD136" t="str">
        <v>No Email</v>
      </c>
      <c r="AE136" t="str">
        <v>Unit swap - Approved by Management</v>
      </c>
      <c r="AF136" t="str">
        <v>Swapped from 403 to 420 (Upgrade)</v>
      </c>
    </row>
    <row r="137" xml:space="preserve">
      <c r="B137" t="str">
        <v>August</v>
      </c>
      <c r="C137">
        <v>45898</v>
      </c>
      <c r="D137">
        <f>XLOOKUP(E137,[1]!Bookings[Booking Name],[1]!Bookings[Rejected Date])</f>
        <v>45901</v>
      </c>
      <c r="E137" t="str">
        <v>Booking-874</v>
      </c>
      <c r="F137" t="str">
        <f>XLOOKUP(E137,[1]!Bookings[Booking Name],[1]!Bookings[Booking Status])</f>
        <v>Rejected</v>
      </c>
      <c r="G137">
        <f>XLOOKUP(E137,[1]!Bookings[Booking Name],[1]!Bookings[Booking Date])</f>
        <v>45875</v>
      </c>
      <c r="H137">
        <f>XLOOKUP(E137,[1]!Bookings[Booking Name],[1]!Bookings[Booking Aging])</f>
        <v>184</v>
      </c>
      <c r="I137" t="str">
        <f>XLOOKUP(E137,[1]!Bookings[Booking Name],[1]!Bookings[Project Name])</f>
        <v>Do Dubai Island</v>
      </c>
      <c r="J137" t="str">
        <f>XLOOKUP(E137,[1]!Bookings[Booking Name],[1]!Bookings[Building])</f>
        <v>Tower 1</v>
      </c>
      <c r="K137" t="str">
        <f>XLOOKUP(E137,[1]!Bookings[Booking Name],[1]!Bookings[Bedrooms])</f>
        <v>Studio</v>
      </c>
      <c r="L137" t="str">
        <f>XLOOKUP(E137,[1]!Bookings[Booking Name],[1]!Bookings[Unit No.])</f>
        <v>211</v>
      </c>
      <c r="M137" t="str">
        <f>XLOOKUP(E137,[1]!Bookings[Booking Name],[1]!Bookings[Inventory Unit Status])</f>
        <v>SPA Executed</v>
      </c>
      <c r="N137" t="str">
        <f>XLOOKUP(E137,[1]!Bookings[Booking Name],[1]!Bookings[Booking Status])</f>
        <v>Rejected</v>
      </c>
      <c r="O137" t="str">
        <f>XLOOKUP(E137,[1]!Bookings[Booking Name],[1]!Bookings[Customer Name])</f>
        <v>reem a lkhalaf</v>
      </c>
      <c r="P137" t="str">
        <f>XLOOKUP(E137,[1]!Bookings[Booking Name],[1]!Bookings[Nationality])</f>
        <v>Canada</v>
      </c>
      <c r="Q137">
        <f>XLOOKUP(E137,[1]!Bookings[Booking Name],[1]!Bookings[Discount Amount])</f>
        <v>0</v>
      </c>
      <c r="R137">
        <f>XLOOKUP(E137,[1]!Bookings[Booking Name],[1]!Bookings[Discount Percentage])</f>
        <v>0</v>
      </c>
      <c r="S137">
        <f>XLOOKUP(E137,[1]!Bookings[Booking Name],[1]!Bookings[Final Sale Value After Discount])</f>
        <v>1184000</v>
      </c>
      <c r="T137">
        <f>XLOOKUP(E137,[1]!Bookings[Booking Name],[1]!Bookings[Inv Final Sale Value])</f>
        <v>1184000</v>
      </c>
      <c r="U137" t="str">
        <f>XLOOKUP(E137,[1]!Bookings[Booking Name],[1]!Bookings[Sales])</f>
        <v>Nehad Abdelmeguid</v>
      </c>
      <c r="V137" t="str">
        <f>XLOOKUP(E137,[1]!Bookings[Booking Name],[1]!Bookings[Agency Name])</f>
        <v>AHYAN REAL ESTATE BROKER</v>
      </c>
      <c r="W137" t="str">
        <f>XLOOKUP(E137,[1]!Bookings[Booking Name],[1]!Bookings[Booking ID])</f>
        <v>a03J6000009ogJ6</v>
      </c>
      <c r="X137" t="str">
        <f>XLOOKUP(E137,[1]!Bookings[Booking Name],[1]!Bookings[Oracle Id])</f>
        <v>-</v>
      </c>
      <c r="Y137" t="str">
        <v>Not Available on Finance Tracker</v>
      </c>
      <c r="Z137">
        <v>50000</v>
      </c>
      <c r="AA137">
        <v>0.04222972972972973</v>
      </c>
      <c r="AB137" t="str">
        <v>Yes</v>
      </c>
      <c r="AC137" t="str" xml:space="preserve">
        <v xml:space="preserve">Request received from Sales Team for Cancellation_x000d_
Customer has shared email with CRM manager stating to cancel the booking citing Financial Concerns</v>
      </c>
      <c r="AD137" t="str">
        <v>https://onedevelopmentuae-my.sharepoint.com/personal/n_araujo_oneuae_com/Documents/Desktop/Norton-Local/Requests/Rejected%20Bookings/Booking-874%20-%20Booking%20Rejection%20Request.msg</v>
      </c>
      <c r="AE137" t="str">
        <v>Customer requested to cancel</v>
      </c>
      <c r="AF137" t="str">
        <v>Customer is unable to continue with the Purchase - Refund Requested</v>
      </c>
    </row>
    <row r="138">
      <c r="B138" t="str">
        <v>August</v>
      </c>
      <c r="C138">
        <v>45895</v>
      </c>
      <c r="D138">
        <f>XLOOKUP(E138,[1]!Bookings[Booking Name],[1]!Bookings[Rejected Date])</f>
        <v>45895</v>
      </c>
      <c r="E138" t="str">
        <v>Booking-945</v>
      </c>
      <c r="F138" t="str">
        <f>XLOOKUP(E138,[1]!Bookings[Booking Name],[1]!Bookings[Booking Status])</f>
        <v>Rejected</v>
      </c>
      <c r="G138">
        <f>XLOOKUP(E138,[1]!Bookings[Booking Name],[1]!Bookings[Booking Date])</f>
        <v>45895</v>
      </c>
      <c r="H138">
        <f>XLOOKUP(E138,[1]!Bookings[Booking Name],[1]!Bookings[Booking Aging])</f>
        <v>164</v>
      </c>
      <c r="I138" t="str">
        <f>XLOOKUP(E138,[1]!Bookings[Booking Name],[1]!Bookings[Project Name])</f>
        <v>Laguna Residence</v>
      </c>
      <c r="J138" t="str">
        <f>XLOOKUP(E138,[1]!Bookings[Booking Name],[1]!Bookings[Building])</f>
        <v>Tower A</v>
      </c>
      <c r="K138" t="str">
        <f>XLOOKUP(E138,[1]!Bookings[Booking Name],[1]!Bookings[Bedrooms])</f>
        <v>1 Bedroom</v>
      </c>
      <c r="L138" t="str">
        <f>XLOOKUP(E138,[1]!Bookings[Booking Name],[1]!Bookings[Unit No.])</f>
        <v>A322</v>
      </c>
      <c r="M138" t="str">
        <f>XLOOKUP(E138,[1]!Bookings[Booking Name],[1]!Bookings[Inventory Unit Status])</f>
        <v>SPA Executed</v>
      </c>
      <c r="N138" t="str">
        <f>XLOOKUP(E138,[1]!Bookings[Booking Name],[1]!Bookings[Booking Status])</f>
        <v>Rejected</v>
      </c>
      <c r="O138" t="str">
        <f>XLOOKUP(E138,[1]!Bookings[Booking Name],[1]!Bookings[Customer Name])</f>
        <v>Batuhan Nuri Melek</v>
      </c>
      <c r="P138" t="str">
        <f>XLOOKUP(E138,[1]!Bookings[Booking Name],[1]!Bookings[Nationality])</f>
        <v>Turkey</v>
      </c>
      <c r="Q138">
        <f>XLOOKUP(E138,[1]!Bookings[Booking Name],[1]!Bookings[Discount Amount])</f>
        <v>0</v>
      </c>
      <c r="R138">
        <f>XLOOKUP(E138,[1]!Bookings[Booking Name],[1]!Bookings[Discount Percentage])</f>
        <v>0</v>
      </c>
      <c r="S138">
        <f>XLOOKUP(E138,[1]!Bookings[Booking Name],[1]!Bookings[Final Sale Value After Discount])</f>
        <v>1342000</v>
      </c>
      <c r="T138">
        <f>XLOOKUP(E138,[1]!Bookings[Booking Name],[1]!Bookings[Inv Final Sale Value])</f>
        <v>1342000</v>
      </c>
      <c r="U138" t="str">
        <f>XLOOKUP(E138,[1]!Bookings[Booking Name],[1]!Bookings[Sales])</f>
        <v>Mohamed El Shimy</v>
      </c>
      <c r="V138" t="str">
        <f>XLOOKUP(E138,[1]!Bookings[Booking Name],[1]!Bookings[Agency Name])</f>
        <v>PREMIA LIVINGS REAL ESTATE L.L.C</v>
      </c>
      <c r="W138" t="str">
        <f>XLOOKUP(E138,[1]!Bookings[Booking Name],[1]!Bookings[Booking ID])</f>
        <v>a03J600000BrZYd</v>
      </c>
      <c r="X138" t="str">
        <f>XLOOKUP(E138,[1]!Bookings[Booking Name],[1]!Bookings[Oracle Id])</f>
        <v>-</v>
      </c>
      <c r="Y138" t="str">
        <v>Not Available on Finance Tracker</v>
      </c>
      <c r="Z138" t="str">
        <v>No Payment</v>
      </c>
      <c r="AA138" t="str">
        <v>N/A</v>
      </c>
      <c r="AB138" t="str">
        <v>N/A</v>
      </c>
      <c r="AC138" t="str">
        <v>Error in Booking</v>
      </c>
      <c r="AD138" t="str">
        <v>No Email</v>
      </c>
      <c r="AE138" t="str">
        <v>Cancelled by Sales Operations as Wrong Payment Plan was selected</v>
      </c>
      <c r="AF138" t="str">
        <v>Cancelled by Sales Operations as Wrong Payment Plan was selected. Cancelled by IT without any Cancellation Approval Flow. Booking-947 created.</v>
      </c>
    </row>
    <row r="139">
      <c r="B139" t="str">
        <v>August</v>
      </c>
      <c r="C139">
        <v>45895</v>
      </c>
      <c r="D139">
        <f>XLOOKUP(E139,[1]!Bookings[Booking Name],[1]!Bookings[Rejected Date])</f>
        <v>45895</v>
      </c>
      <c r="E139" t="str">
        <v>Booking-944</v>
      </c>
      <c r="F139" t="str">
        <f>XLOOKUP(E139,[1]!Bookings[Booking Name],[1]!Bookings[Booking Status])</f>
        <v>Rejected</v>
      </c>
      <c r="G139">
        <f>XLOOKUP(E139,[1]!Bookings[Booking Name],[1]!Bookings[Booking Date])</f>
        <v>45895</v>
      </c>
      <c r="H139">
        <f>XLOOKUP(E139,[1]!Bookings[Booking Name],[1]!Bookings[Booking Aging])</f>
        <v>164</v>
      </c>
      <c r="I139" t="str">
        <f>XLOOKUP(E139,[1]!Bookings[Booking Name],[1]!Bookings[Project Name])</f>
        <v>Laguna Residence</v>
      </c>
      <c r="J139" t="str">
        <f>XLOOKUP(E139,[1]!Bookings[Booking Name],[1]!Bookings[Building])</f>
        <v>Tower A</v>
      </c>
      <c r="K139" t="str">
        <f>XLOOKUP(E139,[1]!Bookings[Booking Name],[1]!Bookings[Bedrooms])</f>
        <v>Studio</v>
      </c>
      <c r="L139" t="str">
        <f>XLOOKUP(E139,[1]!Bookings[Booking Name],[1]!Bookings[Unit No.])</f>
        <v>A2514</v>
      </c>
      <c r="M139" t="str">
        <f>XLOOKUP(E139,[1]!Bookings[Booking Name],[1]!Bookings[Inventory Unit Status])</f>
        <v>SPA Executed</v>
      </c>
      <c r="N139" t="str">
        <f>XLOOKUP(E139,[1]!Bookings[Booking Name],[1]!Bookings[Booking Status])</f>
        <v>Rejected</v>
      </c>
      <c r="O139" t="str">
        <f>XLOOKUP(E139,[1]!Bookings[Booking Name],[1]!Bookings[Customer Name])</f>
        <v>Shon Philip Koshy</v>
      </c>
      <c r="P139" t="str">
        <f>XLOOKUP(E139,[1]!Bookings[Booking Name],[1]!Bookings[Nationality])</f>
        <v>India</v>
      </c>
      <c r="Q139">
        <f>XLOOKUP(E139,[1]!Bookings[Booking Name],[1]!Bookings[Discount Amount])</f>
        <v>0</v>
      </c>
      <c r="R139">
        <f>XLOOKUP(E139,[1]!Bookings[Booking Name],[1]!Bookings[Discount Percentage])</f>
        <v>0</v>
      </c>
      <c r="S139">
        <f>XLOOKUP(E139,[1]!Bookings[Booking Name],[1]!Bookings[Final Sale Value After Discount])</f>
        <v>787000</v>
      </c>
      <c r="T139">
        <f>XLOOKUP(E139,[1]!Bookings[Booking Name],[1]!Bookings[Inv Final Sale Value])</f>
        <v>787000</v>
      </c>
      <c r="U139" t="str">
        <f>XLOOKUP(E139,[1]!Bookings[Booking Name],[1]!Bookings[Sales])</f>
        <v>Mohamed El Shimy</v>
      </c>
      <c r="V139" t="str">
        <f>XLOOKUP(E139,[1]!Bookings[Booking Name],[1]!Bookings[Agency Name])</f>
        <v>PREMIA LIVINGS REAL ESTATE L.L.C</v>
      </c>
      <c r="W139" t="str">
        <f>XLOOKUP(E139,[1]!Bookings[Booking Name],[1]!Bookings[Booking ID])</f>
        <v>a03J600000BrYy2</v>
      </c>
      <c r="X139" t="str">
        <f>XLOOKUP(E139,[1]!Bookings[Booking Name],[1]!Bookings[Oracle Id])</f>
        <v>-</v>
      </c>
      <c r="Y139" t="str">
        <v>Not Available on Finance Tracker</v>
      </c>
      <c r="Z139" t="str">
        <v>No Payment</v>
      </c>
      <c r="AA139" t="str">
        <v>N/A</v>
      </c>
      <c r="AB139" t="str">
        <v>N/A</v>
      </c>
      <c r="AC139" t="str">
        <v>Error in Booking</v>
      </c>
      <c r="AD139" t="str">
        <v>No Email</v>
      </c>
      <c r="AE139" t="str">
        <v>Cancelled by Sales Operations as Wrong Payment Plan was selected</v>
      </c>
      <c r="AF139" t="str">
        <v>Cancelled by Sales Operations as Wrong Payment Plan was selected. Cancelled by IT without any Cancellation Approval Flow. Booking-947 created.</v>
      </c>
    </row>
    <row r="140">
      <c r="B140" t="str">
        <v>August</v>
      </c>
      <c r="C140">
        <v>45895</v>
      </c>
      <c r="D140">
        <f>XLOOKUP(E140,[1]!Bookings[Booking Name],[1]!Bookings[Rejected Date])</f>
        <v>45895</v>
      </c>
      <c r="E140" t="str">
        <v>Booking-853</v>
      </c>
      <c r="F140" t="str">
        <f>XLOOKUP(E140,[1]!Bookings[Booking Name],[1]!Bookings[Booking Status])</f>
        <v>Rejected</v>
      </c>
      <c r="G140">
        <f>XLOOKUP(E140,[1]!Bookings[Booking Name],[1]!Bookings[Booking Date])</f>
        <v>45869</v>
      </c>
      <c r="H140">
        <f>XLOOKUP(E140,[1]!Bookings[Booking Name],[1]!Bookings[Booking Aging])</f>
        <v>190</v>
      </c>
      <c r="I140" t="str">
        <f>XLOOKUP(E140,[1]!Bookings[Booking Name],[1]!Bookings[Project Name])</f>
        <v>Laguna Residence</v>
      </c>
      <c r="J140" t="str">
        <f>XLOOKUP(E140,[1]!Bookings[Booking Name],[1]!Bookings[Building])</f>
        <v>Tower A</v>
      </c>
      <c r="K140" t="str">
        <f>XLOOKUP(E140,[1]!Bookings[Booking Name],[1]!Bookings[Bedrooms])</f>
        <v>1 Bedroom</v>
      </c>
      <c r="L140" t="str">
        <f>XLOOKUP(E140,[1]!Bookings[Booking Name],[1]!Bookings[Unit No.])</f>
        <v>A322</v>
      </c>
      <c r="M140" t="str">
        <f>XLOOKUP(E140,[1]!Bookings[Booking Name],[1]!Bookings[Inventory Unit Status])</f>
        <v>SPA Executed</v>
      </c>
      <c r="N140" t="str">
        <f>XLOOKUP(E140,[1]!Bookings[Booking Name],[1]!Bookings[Booking Status])</f>
        <v>Rejected</v>
      </c>
      <c r="O140" t="str">
        <f>XLOOKUP(E140,[1]!Bookings[Booking Name],[1]!Bookings[Customer Name])</f>
        <v>Shon Philip Koshy</v>
      </c>
      <c r="P140" t="str">
        <f>XLOOKUP(E140,[1]!Bookings[Booking Name],[1]!Bookings[Nationality])</f>
        <v>India</v>
      </c>
      <c r="Q140">
        <f>XLOOKUP(E140,[1]!Bookings[Booking Name],[1]!Bookings[Discount Amount])</f>
        <v>67100</v>
      </c>
      <c r="R140">
        <f>XLOOKUP(E140,[1]!Bookings[Booking Name],[1]!Bookings[Discount Percentage])</f>
        <v>0.05</v>
      </c>
      <c r="S140">
        <f>XLOOKUP(E140,[1]!Bookings[Booking Name],[1]!Bookings[Final Sale Value After Discount])</f>
        <v>1274900</v>
      </c>
      <c r="T140">
        <f>XLOOKUP(E140,[1]!Bookings[Booking Name],[1]!Bookings[Inv Final Sale Value])</f>
        <v>1342000</v>
      </c>
      <c r="U140" t="str">
        <f>XLOOKUP(E140,[1]!Bookings[Booking Name],[1]!Bookings[Sales])</f>
        <v>Mohamed El Shimy</v>
      </c>
      <c r="V140" t="str">
        <f>XLOOKUP(E140,[1]!Bookings[Booking Name],[1]!Bookings[Agency Name])</f>
        <v>PREMIA LIVINGS REAL ESTATE L.L.C</v>
      </c>
      <c r="W140" t="str">
        <f>XLOOKUP(E140,[1]!Bookings[Booking Name],[1]!Bookings[Booking ID])</f>
        <v>a03J6000009oMOO</v>
      </c>
      <c r="X140" t="str">
        <f>XLOOKUP(E140,[1]!Bookings[Booking Name],[1]!Bookings[Oracle Id])</f>
        <v>-</v>
      </c>
      <c r="Y140" t="str">
        <v>Not Available on Finance Tracker</v>
      </c>
      <c r="Z140">
        <v>25000</v>
      </c>
      <c r="AA140">
        <v>0.018628912071535022</v>
      </c>
      <c r="AB140" t="str">
        <v>No</v>
      </c>
      <c r="AC140" t="str">
        <v>Request recevied from Sales Team for Cancellation and Reallocation</v>
      </c>
      <c r="AD140" t="str">
        <v>https://onedevelopmentuae-my.sharepoint.com/personal/n_araujo_oneuae_com/Documents/Desktop/Norton-Local/Requests/Rejected%20Bookings/Booking-853%20-%20Booking%20Rejection%20Request.msg</v>
      </c>
      <c r="AE140" t="str">
        <v>Unit Swap - Approved by Management</v>
      </c>
      <c r="AF140" t="str">
        <v>Swapped from A322 to A2514</v>
      </c>
    </row>
    <row r="141">
      <c r="B141" t="str">
        <v>August</v>
      </c>
      <c r="C141">
        <v>45894</v>
      </c>
      <c r="D141">
        <f>XLOOKUP(E141,[1]!Bookings[Booking Name],[1]!Bookings[Rejected Date])</f>
        <v>45895</v>
      </c>
      <c r="E141" t="str">
        <v>Booking-836</v>
      </c>
      <c r="F141" t="str">
        <f>XLOOKUP(E141,[1]!Bookings[Booking Name],[1]!Bookings[Booking Status])</f>
        <v>Rejected</v>
      </c>
      <c r="G141">
        <f>XLOOKUP(E141,[1]!Bookings[Booking Name],[1]!Bookings[Booking Date])</f>
        <v>45856</v>
      </c>
      <c r="H141">
        <f>XLOOKUP(E141,[1]!Bookings[Booking Name],[1]!Bookings[Booking Aging])</f>
        <v>203</v>
      </c>
      <c r="I141" t="str">
        <f>XLOOKUP(E141,[1]!Bookings[Booking Name],[1]!Bookings[Project Name])</f>
        <v>Laguna Residence</v>
      </c>
      <c r="J141" t="str">
        <f>XLOOKUP(E141,[1]!Bookings[Booking Name],[1]!Bookings[Building])</f>
        <v>Tower A</v>
      </c>
      <c r="K141" t="str">
        <f>XLOOKUP(E141,[1]!Bookings[Booking Name],[1]!Bookings[Bedrooms])</f>
        <v>Studio</v>
      </c>
      <c r="L141" t="str">
        <f>XLOOKUP(E141,[1]!Bookings[Booking Name],[1]!Bookings[Unit No.])</f>
        <v>A2514</v>
      </c>
      <c r="M141" t="str">
        <f>XLOOKUP(E141,[1]!Bookings[Booking Name],[1]!Bookings[Inventory Unit Status])</f>
        <v>SPA Executed</v>
      </c>
      <c r="N141" t="str">
        <f>XLOOKUP(E141,[1]!Bookings[Booking Name],[1]!Bookings[Booking Status])</f>
        <v>Rejected</v>
      </c>
      <c r="O141" t="str">
        <f>XLOOKUP(E141,[1]!Bookings[Booking Name],[1]!Bookings[Customer Name])</f>
        <v>Omar Rezgani</v>
      </c>
      <c r="P141" t="str">
        <f>XLOOKUP(E141,[1]!Bookings[Booking Name],[1]!Bookings[Nationality])</f>
        <v>Tunisia</v>
      </c>
      <c r="Q141">
        <f>XLOOKUP(E141,[1]!Bookings[Booking Name],[1]!Bookings[Discount Amount])</f>
        <v>39350</v>
      </c>
      <c r="R141">
        <f>XLOOKUP(E141,[1]!Bookings[Booking Name],[1]!Bookings[Discount Percentage])</f>
        <v>0.05</v>
      </c>
      <c r="S141">
        <f>XLOOKUP(E141,[1]!Bookings[Booking Name],[1]!Bookings[Final Sale Value After Discount])</f>
        <v>747650</v>
      </c>
      <c r="T141">
        <f>XLOOKUP(E141,[1]!Bookings[Booking Name],[1]!Bookings[Inv Final Sale Value])</f>
        <v>787000</v>
      </c>
      <c r="U141" t="str">
        <f>XLOOKUP(E141,[1]!Bookings[Booking Name],[1]!Bookings[Sales])</f>
        <v>Mohamed El Shimy</v>
      </c>
      <c r="V141" t="str">
        <f>XLOOKUP(E141,[1]!Bookings[Booking Name],[1]!Bookings[Agency Name])</f>
        <v>Eleva Properties LLC</v>
      </c>
      <c r="W141" t="str">
        <f>XLOOKUP(E141,[1]!Bookings[Booking Name],[1]!Bookings[Booking ID])</f>
        <v>a03J6000009nfhe</v>
      </c>
      <c r="X141" t="str">
        <f>XLOOKUP(E141,[1]!Bookings[Booking Name],[1]!Bookings[Oracle Id])</f>
        <v>-</v>
      </c>
      <c r="Y141" t="str">
        <v>Not Available on Finance Tracker</v>
      </c>
      <c r="Z141">
        <v>5000</v>
      </c>
      <c r="AA141">
        <v>0.0063532401524777635</v>
      </c>
      <c r="AB141" t="str">
        <v>No</v>
      </c>
      <c r="AC141" t="str">
        <v>Customer requested to Change Ownership</v>
      </c>
      <c r="AD141" t="str">
        <v>https://onedevelopmentuae-my.sharepoint.com/personal/n_araujo_oneuae_com/Documents/Desktop/Norton-Local/Requests/Rejected%20Bookings/Booking-836%20-%20Booking%20Rejection%20Request.msg</v>
      </c>
      <c r="AE141" t="str">
        <v>Customer requested for Change of Ownership</v>
      </c>
      <c r="AF141" t="str">
        <v>From Omar Rezgani to Hossam ibraheem</v>
      </c>
    </row>
    <row r="142">
      <c r="B142" t="str">
        <v>August</v>
      </c>
      <c r="C142">
        <v>45894</v>
      </c>
      <c r="D142">
        <f>XLOOKUP(E142,[1]!Bookings[Booking Name],[1]!Bookings[Rejected Date])</f>
        <v>45903</v>
      </c>
      <c r="E142" t="str">
        <v>Booking-587</v>
      </c>
      <c r="F142" t="str">
        <f>XLOOKUP(E142,[1]!Bookings[Booking Name],[1]!Bookings[Booking Status])</f>
        <v>Rejected</v>
      </c>
      <c r="G142">
        <f>XLOOKUP(E142,[1]!Bookings[Booking Name],[1]!Bookings[Booking Date])</f>
        <v>45756</v>
      </c>
      <c r="H142">
        <f>XLOOKUP(E142,[1]!Bookings[Booking Name],[1]!Bookings[Booking Aging])</f>
        <v>303</v>
      </c>
      <c r="I142" t="str">
        <f>XLOOKUP(E142,[1]!Bookings[Booking Name],[1]!Bookings[Project Name])</f>
        <v>Laguna Residence</v>
      </c>
      <c r="J142" t="str">
        <f>XLOOKUP(E142,[1]!Bookings[Booking Name],[1]!Bookings[Building])</f>
        <v>Tower B</v>
      </c>
      <c r="K142" t="str">
        <f>XLOOKUP(E142,[1]!Bookings[Booking Name],[1]!Bookings[Bedrooms])</f>
        <v>Studio</v>
      </c>
      <c r="L142" t="str">
        <f>XLOOKUP(E142,[1]!Bookings[Booking Name],[1]!Bookings[Unit No.])</f>
        <v>B1720</v>
      </c>
      <c r="M142" t="str">
        <f>XLOOKUP(E142,[1]!Bookings[Booking Name],[1]!Bookings[Inventory Unit Status])</f>
        <v>SPA Executed</v>
      </c>
      <c r="N142" t="str">
        <f>XLOOKUP(E142,[1]!Bookings[Booking Name],[1]!Bookings[Booking Status])</f>
        <v>Rejected</v>
      </c>
      <c r="O142" t="str">
        <f>XLOOKUP(E142,[1]!Bookings[Booking Name],[1]!Bookings[Customer Name])</f>
        <v>GUSTAV SJUNNESSON</v>
      </c>
      <c r="P142" t="str">
        <f>XLOOKUP(E142,[1]!Bookings[Booking Name],[1]!Bookings[Nationality])</f>
        <v>Sweden</v>
      </c>
      <c r="Q142">
        <f>XLOOKUP(E142,[1]!Bookings[Booking Name],[1]!Bookings[Discount Amount])</f>
        <v>0</v>
      </c>
      <c r="R142">
        <f>XLOOKUP(E142,[1]!Bookings[Booking Name],[1]!Bookings[Discount Percentage])</f>
        <v>0</v>
      </c>
      <c r="S142">
        <f>XLOOKUP(E142,[1]!Bookings[Booking Name],[1]!Bookings[Final Sale Value After Discount])</f>
        <v>710000</v>
      </c>
      <c r="T142">
        <f>XLOOKUP(E142,[1]!Bookings[Booking Name],[1]!Bookings[Inv Final Sale Value])</f>
        <v>710000</v>
      </c>
      <c r="U142" t="str">
        <f>XLOOKUP(E142,[1]!Bookings[Booking Name],[1]!Bookings[Sales])</f>
        <v>Karen Altabaa</v>
      </c>
      <c r="V142" t="str">
        <f>XLOOKUP(E142,[1]!Bookings[Booking Name],[1]!Bookings[Agency Name])</f>
        <v>S B H PROPERTIES FZE</v>
      </c>
      <c r="W142" t="str">
        <f>XLOOKUP(E142,[1]!Bookings[Booking Name],[1]!Bookings[Booking ID])</f>
        <v>a03J60000081BOq</v>
      </c>
      <c r="X142" t="str">
        <f>XLOOKUP(E142,[1]!Bookings[Booking Name],[1]!Bookings[Oracle Id])</f>
        <v>26802</v>
      </c>
      <c r="Y142" t="str">
        <v>Not Available on Finance Tracker</v>
      </c>
      <c r="Z142">
        <v>183000</v>
      </c>
      <c r="AA142">
        <v>0.2577464788732394</v>
      </c>
      <c r="AB142" t="str">
        <v>No</v>
      </c>
      <c r="AC142" t="str">
        <v>Customer requested to Change Ownership</v>
      </c>
      <c r="AD142" t="str">
        <v>https://onedevelopmentuae-my.sharepoint.com/personal/n_araujo_oneuae_com/Documents/Desktop/Norton-Local/Requests/Rejected%20Bookings/Booking-587%20-%20Booking%20Rejection%20Request.msg</v>
      </c>
      <c r="AE142" t="str">
        <v>Customer requested for Change of Ownership</v>
      </c>
      <c r="AF142" t="str">
        <v>From GUSTAV SJUNNESSON to Mohammed Adam Metto</v>
      </c>
    </row>
    <row r="143">
      <c r="B143" t="str">
        <v>August</v>
      </c>
      <c r="C143">
        <v>45894</v>
      </c>
      <c r="D143">
        <f>XLOOKUP(E143,[1]!Bookings[Booking Name],[1]!Bookings[Rejected Date])</f>
        <v>45904</v>
      </c>
      <c r="E143" t="str">
        <v>Booking-726</v>
      </c>
      <c r="F143" t="str">
        <f>XLOOKUP(E143,[1]!Bookings[Booking Name],[1]!Bookings[Booking Status])</f>
        <v>Rejected</v>
      </c>
      <c r="G143">
        <f>XLOOKUP(E143,[1]!Bookings[Booking Name],[1]!Bookings[Booking Date])</f>
        <v>45818</v>
      </c>
      <c r="H143">
        <f>XLOOKUP(E143,[1]!Bookings[Booking Name],[1]!Bookings[Booking Aging])</f>
        <v>241</v>
      </c>
      <c r="I143" t="str">
        <f>XLOOKUP(E143,[1]!Bookings[Booking Name],[1]!Bookings[Project Name])</f>
        <v>Do Dubai Island</v>
      </c>
      <c r="J143" t="str">
        <f>XLOOKUP(E143,[1]!Bookings[Booking Name],[1]!Bookings[Building])</f>
        <v>Tower 1</v>
      </c>
      <c r="K143" t="str">
        <f>XLOOKUP(E143,[1]!Bookings[Booking Name],[1]!Bookings[Bedrooms])</f>
        <v>2 Bedroom</v>
      </c>
      <c r="L143" t="str">
        <f>XLOOKUP(E143,[1]!Bookings[Booking Name],[1]!Bookings[Unit No.])</f>
        <v>601</v>
      </c>
      <c r="M143" t="str">
        <f>XLOOKUP(E143,[1]!Bookings[Booking Name],[1]!Bookings[Inventory Unit Status])</f>
        <v>Blocked</v>
      </c>
      <c r="N143" t="str">
        <f>XLOOKUP(E143,[1]!Bookings[Booking Name],[1]!Bookings[Booking Status])</f>
        <v>Rejected</v>
      </c>
      <c r="O143" t="str">
        <f>XLOOKUP(E143,[1]!Bookings[Booking Name],[1]!Bookings[Customer Name])</f>
        <v>UNDINE ELISABETH GELPKE</v>
      </c>
      <c r="P143" t="str">
        <f>XLOOKUP(E143,[1]!Bookings[Booking Name],[1]!Bookings[Nationality])</f>
        <v>Germany</v>
      </c>
      <c r="Q143">
        <f>XLOOKUP(E143,[1]!Bookings[Booking Name],[1]!Bookings[Discount Amount])</f>
        <v>1000000</v>
      </c>
      <c r="R143">
        <f>XLOOKUP(E143,[1]!Bookings[Booking Name],[1]!Bookings[Discount Percentage])</f>
        <v>0.16393442622950818</v>
      </c>
      <c r="S143">
        <f>XLOOKUP(E143,[1]!Bookings[Booking Name],[1]!Bookings[Final Sale Value After Discount])</f>
        <v>5100000</v>
      </c>
      <c r="T143">
        <f>XLOOKUP(E143,[1]!Bookings[Booking Name],[1]!Bookings[Inv Final Sale Value])</f>
        <v>6100000</v>
      </c>
      <c r="U143" t="str">
        <f>XLOOKUP(E143,[1]!Bookings[Booking Name],[1]!Bookings[Sales])</f>
        <v>Aiham Addi</v>
      </c>
      <c r="V143" t="str">
        <f>XLOOKUP(E143,[1]!Bookings[Booking Name],[1]!Bookings[Agency Name])</f>
        <v>P E R A REAL ESTATE L.L.C</v>
      </c>
      <c r="W143" t="str">
        <f>XLOOKUP(E143,[1]!Bookings[Booking Name],[1]!Bookings[Booking ID])</f>
        <v>a03J6000009lYbm</v>
      </c>
      <c r="X143" t="str">
        <f>XLOOKUP(E143,[1]!Bookings[Booking Name],[1]!Bookings[Oracle Id])</f>
        <v>-</v>
      </c>
      <c r="Y143" t="str">
        <v>Not Available on Finance Tracker</v>
      </c>
      <c r="Z143">
        <v>100000</v>
      </c>
      <c r="AA143">
        <v>0.0196078431372549</v>
      </c>
      <c r="AB143" t="str">
        <v>No</v>
      </c>
      <c r="AC143" t="str">
        <v>Customer requested to cancel the booking and refund the paid amount</v>
      </c>
      <c r="AD143" t="str">
        <v>https://onedevelopmentuae-my.sharepoint.com/personal/n_araujo_oneuae_com/Documents/Desktop/Norton-Local/Requests/Rejected%20Bookings/Booking-726%20-%20Booking%20Rejection%20Request.msg</v>
      </c>
      <c r="AE143" t="str">
        <v>Customer requested to cancel</v>
      </c>
      <c r="AF143" t="str">
        <v>Customer is unable to continue with the Purchase - No Refund</v>
      </c>
    </row>
    <row r="144">
      <c r="B144" t="str">
        <v>August</v>
      </c>
      <c r="C144">
        <v>45894</v>
      </c>
      <c r="D144">
        <f>XLOOKUP(E144,[1]!Bookings[Booking Name],[1]!Bookings[Rejected Date])</f>
        <v>45904</v>
      </c>
      <c r="E144" t="str">
        <v>Booking-865</v>
      </c>
      <c r="F144" t="str">
        <f>XLOOKUP(E144,[1]!Bookings[Booking Name],[1]!Bookings[Booking Status])</f>
        <v>Rejected</v>
      </c>
      <c r="G144">
        <f>XLOOKUP(E144,[1]!Bookings[Booking Name],[1]!Bookings[Booking Date])</f>
        <v>45872</v>
      </c>
      <c r="H144">
        <f>XLOOKUP(E144,[1]!Bookings[Booking Name],[1]!Bookings[Booking Aging])</f>
        <v>187</v>
      </c>
      <c r="I144" t="str">
        <f>XLOOKUP(E144,[1]!Bookings[Booking Name],[1]!Bookings[Project Name])</f>
        <v>Do Dubai Island</v>
      </c>
      <c r="J144" t="str">
        <f>XLOOKUP(E144,[1]!Bookings[Booking Name],[1]!Bookings[Building])</f>
        <v>Tower 1</v>
      </c>
      <c r="K144" t="str">
        <f>XLOOKUP(E144,[1]!Bookings[Booking Name],[1]!Bookings[Bedrooms])</f>
        <v>Studio</v>
      </c>
      <c r="L144" t="str">
        <f>XLOOKUP(E144,[1]!Bookings[Booking Name],[1]!Bookings[Unit No.])</f>
        <v>314</v>
      </c>
      <c r="M144" t="str">
        <f>XLOOKUP(E144,[1]!Bookings[Booking Name],[1]!Bookings[Inventory Unit Status])</f>
        <v>SPA Executed</v>
      </c>
      <c r="N144" t="str">
        <f>XLOOKUP(E144,[1]!Bookings[Booking Name],[1]!Bookings[Booking Status])</f>
        <v>Rejected</v>
      </c>
      <c r="O144" t="str">
        <f>XLOOKUP(E144,[1]!Bookings[Booking Name],[1]!Bookings[Customer Name])</f>
        <v>Daniel Koluman</v>
      </c>
      <c r="P144" t="str">
        <f>XLOOKUP(E144,[1]!Bookings[Booking Name],[1]!Bookings[Nationality])</f>
        <v>Sweden</v>
      </c>
      <c r="Q144">
        <f>XLOOKUP(E144,[1]!Bookings[Booking Name],[1]!Bookings[Discount Amount])</f>
        <v>22980</v>
      </c>
      <c r="R144">
        <f>XLOOKUP(E144,[1]!Bookings[Booking Name],[1]!Bookings[Discount Percentage])</f>
        <v>0.02</v>
      </c>
      <c r="S144">
        <f>XLOOKUP(E144,[1]!Bookings[Booking Name],[1]!Bookings[Final Sale Value After Discount])</f>
        <v>1126020</v>
      </c>
      <c r="T144">
        <f>XLOOKUP(E144,[1]!Bookings[Booking Name],[1]!Bookings[Inv Final Sale Value])</f>
        <v>1149000</v>
      </c>
      <c r="U144" t="str">
        <f>XLOOKUP(E144,[1]!Bookings[Booking Name],[1]!Bookings[Sales])</f>
        <v>Karen Altabaa</v>
      </c>
      <c r="V144" t="str">
        <f>XLOOKUP(E144,[1]!Bookings[Booking Name],[1]!Bookings[Agency Name])</f>
        <v>GUROVA REAL ESTATE LLC</v>
      </c>
      <c r="W144" t="str">
        <f>XLOOKUP(E144,[1]!Bookings[Booking Name],[1]!Bookings[Booking ID])</f>
        <v>a03J6000009oU6U</v>
      </c>
      <c r="X144" t="str">
        <f>XLOOKUP(E144,[1]!Bookings[Booking Name],[1]!Bookings[Oracle Id])</f>
        <v>-</v>
      </c>
      <c r="Y144" t="str">
        <v>Not Available on Finance Tracker</v>
      </c>
      <c r="Z144">
        <v>4000</v>
      </c>
      <c r="AA144">
        <v>0.0034812880765883376</v>
      </c>
      <c r="AB144" t="str">
        <v>N/A</v>
      </c>
      <c r="AC144" t="str">
        <v>Cancellation request received from VP of Sales. Request to cancel the booking and to block the unit against another Sales Manager.</v>
      </c>
      <c r="AD144" t="str">
        <v>https://onedevelopmentuae-my.sharepoint.com/personal/n_araujo_oneuae_com/Documents/Desktop/Norton-Local/Requests/Rejected%20Bookings/Booking-865%20-%20Booking%20Rejection%20Request.msg</v>
      </c>
      <c r="AE144" t="str">
        <v>Cancelled due to Non Payment</v>
      </c>
      <c r="AF144" t="str">
        <v>Cancellation Request raised by VP-Sales</v>
      </c>
    </row>
    <row r="145">
      <c r="B145" t="str">
        <v>August</v>
      </c>
      <c r="C145">
        <v>45873</v>
      </c>
      <c r="D145">
        <f>XLOOKUP(E145,[1]!Bookings[Booking Name],[1]!Bookings[Rejected Date])</f>
        <v>45876</v>
      </c>
      <c r="E145" t="str">
        <v>Booking-844</v>
      </c>
      <c r="F145" t="str">
        <f>XLOOKUP(E145,[1]!Bookings[Booking Name],[1]!Bookings[Booking Status])</f>
        <v>Rejected</v>
      </c>
      <c r="G145">
        <f>XLOOKUP(E145,[1]!Bookings[Booking Name],[1]!Bookings[Booking Date])</f>
        <v>45859</v>
      </c>
      <c r="H145">
        <f>XLOOKUP(E145,[1]!Bookings[Booking Name],[1]!Bookings[Booking Aging])</f>
        <v>200</v>
      </c>
      <c r="I145" t="str">
        <f>XLOOKUP(E145,[1]!Bookings[Booking Name],[1]!Bookings[Project Name])</f>
        <v>Laguna Residence</v>
      </c>
      <c r="J145" t="str">
        <f>XLOOKUP(E145,[1]!Bookings[Booking Name],[1]!Bookings[Building])</f>
        <v>Tower A</v>
      </c>
      <c r="K145" t="str">
        <f>XLOOKUP(E145,[1]!Bookings[Booking Name],[1]!Bookings[Bedrooms])</f>
        <v>2 Bedroom</v>
      </c>
      <c r="L145" t="str">
        <f>XLOOKUP(E145,[1]!Bookings[Booking Name],[1]!Bookings[Unit No.])</f>
        <v>A417</v>
      </c>
      <c r="M145" t="str">
        <f>XLOOKUP(E145,[1]!Bookings[Booking Name],[1]!Bookings[Inventory Unit Status])</f>
        <v>Booked</v>
      </c>
      <c r="N145" t="str">
        <f>XLOOKUP(E145,[1]!Bookings[Booking Name],[1]!Bookings[Booking Status])</f>
        <v>Rejected</v>
      </c>
      <c r="O145" t="str">
        <f>XLOOKUP(E145,[1]!Bookings[Booking Name],[1]!Bookings[Customer Name])</f>
        <v>Ephraim Pelino Cosinero</v>
      </c>
      <c r="P145" t="str">
        <f>XLOOKUP(E145,[1]!Bookings[Booking Name],[1]!Bookings[Nationality])</f>
        <v>Philippines</v>
      </c>
      <c r="Q145">
        <f>XLOOKUP(E145,[1]!Bookings[Booking Name],[1]!Bookings[Discount Amount])</f>
        <v>155850</v>
      </c>
      <c r="R145">
        <f>XLOOKUP(E145,[1]!Bookings[Booking Name],[1]!Bookings[Discount Percentage])</f>
        <v>0.09532110091743119</v>
      </c>
      <c r="S145">
        <f>XLOOKUP(E145,[1]!Bookings[Booking Name],[1]!Bookings[Final Sale Value After Discount])</f>
        <v>1479150</v>
      </c>
      <c r="T145">
        <f>XLOOKUP(E145,[1]!Bookings[Booking Name],[1]!Bookings[Inv Final Sale Value])</f>
        <v>1635000</v>
      </c>
      <c r="U145" t="str">
        <f>XLOOKUP(E145,[1]!Bookings[Booking Name],[1]!Bookings[Sales])</f>
        <v>Ahmed Eissa</v>
      </c>
      <c r="V145" t="str">
        <f>XLOOKUP(E145,[1]!Bookings[Booking Name],[1]!Bookings[Agency Name])</f>
        <v>PREMIA LIVINGS REAL ESTATE L.L.C</v>
      </c>
      <c r="W145" t="str">
        <f>XLOOKUP(E145,[1]!Bookings[Booking Name],[1]!Bookings[Booking ID])</f>
        <v>a03J6000009no2b</v>
      </c>
      <c r="X145" t="str">
        <f>XLOOKUP(E145,[1]!Bookings[Booking Name],[1]!Bookings[Oracle Id])</f>
        <v>-</v>
      </c>
      <c r="Y145" t="str">
        <v>Not Available on Finance Tracker</v>
      </c>
      <c r="Z145" t="str">
        <v>No Payment</v>
      </c>
      <c r="AA145" t="str">
        <v>N/A</v>
      </c>
      <c r="AB145" t="str">
        <v>N/A</v>
      </c>
      <c r="AC145" t="str">
        <v xml:space="preserve">Customer requested to cancel as he has declined the offer. VP Sales advised to cancel and release back to inventory as per attached email. </v>
      </c>
      <c r="AD145" t="str">
        <v>https://onedevelopmentuae-my.sharepoint.com/personal/n_araujo_oneuae_com/Documents/Desktop/Norton-Local/Requests/Rejected%20Bookings/Booking-844%20-%20Booking%20Rejection%20Request.msg</v>
      </c>
      <c r="AE145" t="str">
        <v>Customer requested to cancel</v>
      </c>
      <c r="AF145" t="str">
        <v>Customer is unable to continue with the Purchase</v>
      </c>
    </row>
    <row r="146">
      <c r="B146" t="str">
        <v>July</v>
      </c>
      <c r="C146">
        <v>45853</v>
      </c>
      <c r="D146">
        <f>XLOOKUP(E146,[1]!Bookings[Booking Name],[1]!Bookings[Rejected Date])</f>
        <v>45859</v>
      </c>
      <c r="E146" t="str">
        <v>Booking-806</v>
      </c>
      <c r="F146" t="str">
        <f>XLOOKUP(E146,[1]!Bookings[Booking Name],[1]!Bookings[Booking Status])</f>
        <v>Rejected</v>
      </c>
      <c r="G146">
        <f>XLOOKUP(E146,[1]!Bookings[Booking Name],[1]!Bookings[Booking Date])</f>
        <v>45843</v>
      </c>
      <c r="H146">
        <f>XLOOKUP(E146,[1]!Bookings[Booking Name],[1]!Bookings[Booking Aging])</f>
        <v>216</v>
      </c>
      <c r="I146" t="str">
        <f>XLOOKUP(E146,[1]!Bookings[Booking Name],[1]!Bookings[Project Name])</f>
        <v>Do Dubai Island</v>
      </c>
      <c r="J146" t="str">
        <f>XLOOKUP(E146,[1]!Bookings[Booking Name],[1]!Bookings[Building])</f>
        <v>Tower 1</v>
      </c>
      <c r="K146" t="str">
        <f>XLOOKUP(E146,[1]!Bookings[Booking Name],[1]!Bookings[Bedrooms])</f>
        <v>Studio</v>
      </c>
      <c r="L146" t="str">
        <f>XLOOKUP(E146,[1]!Bookings[Booking Name],[1]!Bookings[Unit No.])</f>
        <v>107</v>
      </c>
      <c r="M146" t="str">
        <f>XLOOKUP(E146,[1]!Bookings[Booking Name],[1]!Bookings[Inventory Unit Status])</f>
        <v>SPA Executed</v>
      </c>
      <c r="N146" t="str">
        <f>XLOOKUP(E146,[1]!Bookings[Booking Name],[1]!Bookings[Booking Status])</f>
        <v>Rejected</v>
      </c>
      <c r="O146" t="str">
        <f>XLOOKUP(E146,[1]!Bookings[Booking Name],[1]!Bookings[Customer Name])</f>
        <v>Mohanad Adel Abdo Saif</v>
      </c>
      <c r="P146" t="str">
        <f>XLOOKUP(E146,[1]!Bookings[Booking Name],[1]!Bookings[Nationality])</f>
        <v>Yemen</v>
      </c>
      <c r="Q146">
        <f>XLOOKUP(E146,[1]!Bookings[Booking Name],[1]!Bookings[Discount Amount])</f>
        <v>0</v>
      </c>
      <c r="R146">
        <f>XLOOKUP(E146,[1]!Bookings[Booking Name],[1]!Bookings[Discount Percentage])</f>
        <v>0</v>
      </c>
      <c r="S146">
        <f>XLOOKUP(E146,[1]!Bookings[Booking Name],[1]!Bookings[Final Sale Value After Discount])</f>
        <v>1296000</v>
      </c>
      <c r="T146">
        <f>XLOOKUP(E146,[1]!Bookings[Booking Name],[1]!Bookings[Inv Final Sale Value])</f>
        <v>1296000</v>
      </c>
      <c r="U146" t="str">
        <f>XLOOKUP(E146,[1]!Bookings[Booking Name],[1]!Bookings[Sales])</f>
        <v>Ramy Abdelsalam</v>
      </c>
      <c r="V146" t="str">
        <f>XLOOKUP(E146,[1]!Bookings[Booking Name],[1]!Bookings[Agency Name])</f>
        <v>STARS AND SANDS PROPERTIES L.L.C</v>
      </c>
      <c r="W146" t="str">
        <f>XLOOKUP(E146,[1]!Bookings[Booking Name],[1]!Bookings[Booking ID])</f>
        <v>a03J6000009mxJ1</v>
      </c>
      <c r="X146" t="str">
        <f>XLOOKUP(E146,[1]!Bookings[Booking Name],[1]!Bookings[Oracle Id])</f>
        <v>-</v>
      </c>
      <c r="Y146" t="str">
        <v>Not Available on Finance Tracker</v>
      </c>
      <c r="Z146" t="str">
        <v>No Payment</v>
      </c>
      <c r="AA146" t="str">
        <v>N/A</v>
      </c>
      <c r="AB146" t="str">
        <v>N/A</v>
      </c>
      <c r="AC146" t="str">
        <v>Customer requested to cancel and purchase only 1 unit (Laguna-B205 - Booking-800)</v>
      </c>
      <c r="AD146" t="str">
        <v>https://onedevelopmentuae-my.sharepoint.com/personal/n_araujo_oneuae_com/Documents/Desktop/Norton-Local/Requests/Rejected%20Bookings/Booking-804%20%26amp%3B%20Booking-806%20-%20Booking%20Rejection%20Request.msg</v>
      </c>
      <c r="AE146" t="str">
        <v>Customer requested to cancel</v>
      </c>
      <c r="AF146" t="str">
        <v>Customer only wants to proceed with unit B205 only</v>
      </c>
    </row>
    <row r="147">
      <c r="B147" t="str">
        <v>July</v>
      </c>
      <c r="C147">
        <v>45853</v>
      </c>
      <c r="D147">
        <f>XLOOKUP(E147,[1]!Bookings[Booking Name],[1]!Bookings[Rejected Date])</f>
        <v>45859</v>
      </c>
      <c r="E147" t="str">
        <v>Booking-804</v>
      </c>
      <c r="F147" t="str">
        <f>XLOOKUP(E147,[1]!Bookings[Booking Name],[1]!Bookings[Booking Status])</f>
        <v>Rejected</v>
      </c>
      <c r="G147">
        <f>XLOOKUP(E147,[1]!Bookings[Booking Name],[1]!Bookings[Booking Date])</f>
        <v>45843</v>
      </c>
      <c r="H147">
        <f>XLOOKUP(E147,[1]!Bookings[Booking Name],[1]!Bookings[Booking Aging])</f>
        <v>216</v>
      </c>
      <c r="I147" t="str">
        <f>XLOOKUP(E147,[1]!Bookings[Booking Name],[1]!Bookings[Project Name])</f>
        <v>Do Dubai Island</v>
      </c>
      <c r="J147" t="str">
        <f>XLOOKUP(E147,[1]!Bookings[Booking Name],[1]!Bookings[Building])</f>
        <v>Tower 1</v>
      </c>
      <c r="K147" t="str">
        <f>XLOOKUP(E147,[1]!Bookings[Booking Name],[1]!Bookings[Bedrooms])</f>
        <v>1 Bedroom</v>
      </c>
      <c r="L147" t="str">
        <f>XLOOKUP(E147,[1]!Bookings[Booking Name],[1]!Bookings[Unit No.])</f>
        <v>216</v>
      </c>
      <c r="M147" t="str">
        <f>XLOOKUP(E147,[1]!Bookings[Booking Name],[1]!Bookings[Inventory Unit Status])</f>
        <v>Available</v>
      </c>
      <c r="N147" t="str">
        <f>XLOOKUP(E147,[1]!Bookings[Booking Name],[1]!Bookings[Booking Status])</f>
        <v>Rejected</v>
      </c>
      <c r="O147" t="str">
        <f>XLOOKUP(E147,[1]!Bookings[Booking Name],[1]!Bookings[Customer Name])</f>
        <v>Mohanad Adel Abdo Saif</v>
      </c>
      <c r="P147" t="str">
        <f>XLOOKUP(E147,[1]!Bookings[Booking Name],[1]!Bookings[Nationality])</f>
        <v>Yemen</v>
      </c>
      <c r="Q147">
        <f>XLOOKUP(E147,[1]!Bookings[Booking Name],[1]!Bookings[Discount Amount])</f>
        <v>0</v>
      </c>
      <c r="R147">
        <f>XLOOKUP(E147,[1]!Bookings[Booking Name],[1]!Bookings[Discount Percentage])</f>
        <v>0</v>
      </c>
      <c r="S147">
        <f>XLOOKUP(E147,[1]!Bookings[Booking Name],[1]!Bookings[Final Sale Value After Discount])</f>
        <v>2191000</v>
      </c>
      <c r="T147">
        <f>XLOOKUP(E147,[1]!Bookings[Booking Name],[1]!Bookings[Inv Final Sale Value])</f>
        <v>2191000</v>
      </c>
      <c r="U147" t="str">
        <f>XLOOKUP(E147,[1]!Bookings[Booking Name],[1]!Bookings[Sales])</f>
        <v>Ramy Abdelsalam</v>
      </c>
      <c r="V147" t="str">
        <f>XLOOKUP(E147,[1]!Bookings[Booking Name],[1]!Bookings[Agency Name])</f>
        <v>STARS AND SANDS PROPERTIES L.L.C</v>
      </c>
      <c r="W147" t="str">
        <f>XLOOKUP(E147,[1]!Bookings[Booking Name],[1]!Bookings[Booking ID])</f>
        <v>a03J6000009mxIc</v>
      </c>
      <c r="X147" t="str">
        <f>XLOOKUP(E147,[1]!Bookings[Booking Name],[1]!Bookings[Oracle Id])</f>
        <v>-</v>
      </c>
      <c r="Y147" t="str">
        <v>Not Available on Finance Tracker</v>
      </c>
      <c r="Z147" t="str">
        <v>No Payment</v>
      </c>
      <c r="AC147" t="str">
        <v>Customer requested to cancel and purchase only 1 unit (Laguna-B205 - Booking-800)</v>
      </c>
      <c r="AD147" t="str">
        <v>https://onedevelopmentuae-my.sharepoint.com/personal/n_araujo_oneuae_com/Documents/Desktop/Norton-Local/Requests/Rejected%20Bookings/Booking-804%20%26amp%3B%20Booking-806%20-%20Booking%20Rejection%20Request.msg</v>
      </c>
      <c r="AE147" t="str">
        <v>Customer requested to cancel</v>
      </c>
      <c r="AF147" t="str">
        <v>Customer only wants to proceed with unit B205 only</v>
      </c>
    </row>
    <row r="148">
      <c r="B148" t="str">
        <v>July</v>
      </c>
      <c r="C148">
        <v>45853</v>
      </c>
      <c r="D148">
        <f>XLOOKUP(E148,[1]!Bookings[Booking Name],[1]!Bookings[Rejected Date])</f>
        <v>45859</v>
      </c>
      <c r="E148" t="str">
        <v>Booking-795</v>
      </c>
      <c r="F148" t="str">
        <f>XLOOKUP(E148,[1]!Bookings[Booking Name],[1]!Bookings[Booking Status])</f>
        <v>Rejected</v>
      </c>
      <c r="G148">
        <f>XLOOKUP(E148,[1]!Bookings[Booking Name],[1]!Bookings[Booking Date])</f>
        <v>45837</v>
      </c>
      <c r="H148">
        <f>XLOOKUP(E148,[1]!Bookings[Booking Name],[1]!Bookings[Booking Aging])</f>
        <v>222</v>
      </c>
      <c r="I148" t="str">
        <f>XLOOKUP(E148,[1]!Bookings[Booking Name],[1]!Bookings[Project Name])</f>
        <v>Laguna Residence</v>
      </c>
      <c r="J148" t="str">
        <f>XLOOKUP(E148,[1]!Bookings[Booking Name],[1]!Bookings[Building])</f>
        <v>Tower A</v>
      </c>
      <c r="K148" t="str">
        <f>XLOOKUP(E148,[1]!Bookings[Booking Name],[1]!Bookings[Bedrooms])</f>
        <v>Studio</v>
      </c>
      <c r="L148" t="str">
        <f>XLOOKUP(E148,[1]!Bookings[Booking Name],[1]!Bookings[Unit No.])</f>
        <v>A2110</v>
      </c>
      <c r="M148" t="str">
        <f>XLOOKUP(E148,[1]!Bookings[Booking Name],[1]!Bookings[Inventory Unit Status])</f>
        <v>Booked</v>
      </c>
      <c r="N148" t="str">
        <f>XLOOKUP(E148,[1]!Bookings[Booking Name],[1]!Bookings[Booking Status])</f>
        <v>Rejected</v>
      </c>
      <c r="O148" t="str">
        <f>XLOOKUP(E148,[1]!Bookings[Booking Name],[1]!Bookings[Customer Name])</f>
        <v>Aziz Ghassan Saba</v>
      </c>
      <c r="P148" t="str">
        <f>XLOOKUP(E148,[1]!Bookings[Booking Name],[1]!Bookings[Nationality])</f>
        <v>Canada</v>
      </c>
      <c r="Q148">
        <f>XLOOKUP(E148,[1]!Bookings[Booking Name],[1]!Bookings[Discount Amount])</f>
        <v>53000</v>
      </c>
      <c r="R148">
        <f>XLOOKUP(E148,[1]!Bookings[Booking Name],[1]!Bookings[Discount Percentage])</f>
        <v>0.0655940594059406</v>
      </c>
      <c r="S148">
        <f>XLOOKUP(E148,[1]!Bookings[Booking Name],[1]!Bookings[Final Sale Value After Discount])</f>
        <v>755000</v>
      </c>
      <c r="T148">
        <f>XLOOKUP(E148,[1]!Bookings[Booking Name],[1]!Bookings[Inv Final Sale Value])</f>
        <v>808000</v>
      </c>
      <c r="U148" t="str">
        <f>XLOOKUP(E148,[1]!Bookings[Booking Name],[1]!Bookings[Sales])</f>
        <v>Ahmed Eissa</v>
      </c>
      <c r="V148" t="str">
        <f>XLOOKUP(E148,[1]!Bookings[Booking Name],[1]!Bookings[Agency Name])</f>
        <v>PREMIA LIVINGS REAL ESTATE L.L.C</v>
      </c>
      <c r="W148" t="str">
        <f>XLOOKUP(E148,[1]!Bookings[Booking Name],[1]!Bookings[Booking ID])</f>
        <v>a03J6000009mayR</v>
      </c>
      <c r="X148" t="str">
        <f>XLOOKUP(E148,[1]!Bookings[Booking Name],[1]!Bookings[Oracle Id])</f>
        <v>-</v>
      </c>
      <c r="Y148" t="str">
        <v>Not Available on Finance Tracker</v>
      </c>
      <c r="Z148">
        <v>15100</v>
      </c>
      <c r="AA148">
        <v>0.018688118811881187</v>
      </c>
      <c r="AB148" t="str">
        <v>No</v>
      </c>
      <c r="AC148" t="str">
        <v>Customer requested to cancel</v>
      </c>
      <c r="AD148" t="str">
        <v>https://onedevelopmentuae-my.sharepoint.com/personal/n_araujo_oneuae_com/Documents/Desktop/Norton-Local/Requests/Rejected%20Bookings/Booking-795%20-%20Booking%20Rejection%20Request.msg</v>
      </c>
      <c r="AE148" t="str">
        <v>Customer requested to cancel</v>
      </c>
      <c r="AF148" t="str">
        <v>Customer is unable to continue with the Purchase</v>
      </c>
    </row>
    <row r="149">
      <c r="B149" t="str">
        <v>July</v>
      </c>
      <c r="C149">
        <v>45853</v>
      </c>
      <c r="D149">
        <f>XLOOKUP(E149,[1]!Bookings[Booking Name],[1]!Bookings[Rejected Date])</f>
        <v>45859</v>
      </c>
      <c r="E149" t="str">
        <v>Booking-786</v>
      </c>
      <c r="F149" t="str">
        <f>XLOOKUP(E149,[1]!Bookings[Booking Name],[1]!Bookings[Booking Status])</f>
        <v>Rejected</v>
      </c>
      <c r="G149">
        <f>XLOOKUP(E149,[1]!Bookings[Booking Name],[1]!Bookings[Booking Date])</f>
        <v>45833</v>
      </c>
      <c r="H149">
        <f>XLOOKUP(E149,[1]!Bookings[Booking Name],[1]!Bookings[Booking Aging])</f>
        <v>226</v>
      </c>
      <c r="I149" t="str">
        <f>XLOOKUP(E149,[1]!Bookings[Booking Name],[1]!Bookings[Project Name])</f>
        <v>Do Dubai Island</v>
      </c>
      <c r="J149" t="str">
        <f>XLOOKUP(E149,[1]!Bookings[Booking Name],[1]!Bookings[Building])</f>
        <v>Tower 1</v>
      </c>
      <c r="K149" t="str">
        <f>XLOOKUP(E149,[1]!Bookings[Booking Name],[1]!Bookings[Bedrooms])</f>
        <v>Studio</v>
      </c>
      <c r="L149" t="str">
        <f>XLOOKUP(E149,[1]!Bookings[Booking Name],[1]!Bookings[Unit No.])</f>
        <v>618</v>
      </c>
      <c r="M149" t="str">
        <f>XLOOKUP(E149,[1]!Bookings[Booking Name],[1]!Bookings[Inventory Unit Status])</f>
        <v>SPA Executed</v>
      </c>
      <c r="N149" t="str">
        <f>XLOOKUP(E149,[1]!Bookings[Booking Name],[1]!Bookings[Booking Status])</f>
        <v>Rejected</v>
      </c>
      <c r="O149" t="str">
        <f>XLOOKUP(E149,[1]!Bookings[Booking Name],[1]!Bookings[Customer Name])</f>
        <v>GIORGIO SAIU</v>
      </c>
      <c r="P149" t="str">
        <f>XLOOKUP(E149,[1]!Bookings[Booking Name],[1]!Bookings[Nationality])</f>
        <v>Italy</v>
      </c>
      <c r="Q149">
        <f>XLOOKUP(E149,[1]!Bookings[Booking Name],[1]!Bookings[Discount Amount])</f>
        <v>0</v>
      </c>
      <c r="R149">
        <f>XLOOKUP(E149,[1]!Bookings[Booking Name],[1]!Bookings[Discount Percentage])</f>
        <v>0</v>
      </c>
      <c r="S149">
        <f>XLOOKUP(E149,[1]!Bookings[Booking Name],[1]!Bookings[Final Sale Value After Discount])</f>
        <v>1184000</v>
      </c>
      <c r="T149">
        <f>XLOOKUP(E149,[1]!Bookings[Booking Name],[1]!Bookings[Inv Final Sale Value])</f>
        <v>1184000</v>
      </c>
      <c r="U149" t="str">
        <f>XLOOKUP(E149,[1]!Bookings[Booking Name],[1]!Bookings[Sales])</f>
        <v>Amal El Gendy</v>
      </c>
      <c r="V149" t="str">
        <f>XLOOKUP(E149,[1]!Bookings[Booking Name],[1]!Bookings[Agency Name])</f>
        <v>Aarniko Consulting/Mr. FELICE LAFORZA</v>
      </c>
      <c r="W149" t="str">
        <f>XLOOKUP(E149,[1]!Bookings[Booking Name],[1]!Bookings[Booking ID])</f>
        <v>a03J6000009mQVN</v>
      </c>
      <c r="X149" t="str">
        <f>XLOOKUP(E149,[1]!Bookings[Booking Name],[1]!Bookings[Oracle Id])</f>
        <v>-</v>
      </c>
      <c r="Y149" t="str">
        <v>Not Available on Finance Tracker</v>
      </c>
      <c r="Z149" t="str">
        <v>No Payment</v>
      </c>
      <c r="AA149" t="str">
        <v>N/A</v>
      </c>
      <c r="AB149" t="str">
        <v>N/A</v>
      </c>
      <c r="AC149" t="str">
        <v>Request received from Sales Director</v>
      </c>
      <c r="AD149" t="str">
        <v>https://onedevelopmentuae-my.sharepoint.com/personal/n_araujo_oneuae_com/Documents/Desktop/Norton-Local/Requests/Rejected%20Bookings/Booking-786%20-%20Booking%20Rejection%20Request.msg</v>
      </c>
      <c r="AE149" t="str">
        <v>Cancellation raised by Sales Director</v>
      </c>
      <c r="AF149" t="str">
        <v>Amal El Gendy</v>
      </c>
    </row>
    <row r="150">
      <c r="B150" t="str">
        <v>July</v>
      </c>
      <c r="C150">
        <v>45853</v>
      </c>
      <c r="D150">
        <f>XLOOKUP(E150,[1]!Bookings[Booking Name],[1]!Bookings[Rejected Date])</f>
        <v>45859</v>
      </c>
      <c r="E150" t="str">
        <v>Booking-735</v>
      </c>
      <c r="F150" t="str">
        <f>XLOOKUP(E150,[1]!Bookings[Booking Name],[1]!Bookings[Booking Status])</f>
        <v>Rejected</v>
      </c>
      <c r="G150">
        <f>XLOOKUP(E150,[1]!Bookings[Booking Name],[1]!Bookings[Booking Date])</f>
        <v>45818</v>
      </c>
      <c r="H150">
        <f>XLOOKUP(E150,[1]!Bookings[Booking Name],[1]!Bookings[Booking Aging])</f>
        <v>241</v>
      </c>
      <c r="I150" t="str">
        <f>XLOOKUP(E150,[1]!Bookings[Booking Name],[1]!Bookings[Project Name])</f>
        <v>Do Dubai Island</v>
      </c>
      <c r="J150" t="str">
        <f>XLOOKUP(E150,[1]!Bookings[Booking Name],[1]!Bookings[Building])</f>
        <v>Tower 1</v>
      </c>
      <c r="K150" t="str">
        <f>XLOOKUP(E150,[1]!Bookings[Booking Name],[1]!Bookings[Bedrooms])</f>
        <v>1 Bedroom</v>
      </c>
      <c r="L150" t="str">
        <f>XLOOKUP(E150,[1]!Bookings[Booking Name],[1]!Bookings[Unit No.])</f>
        <v>509</v>
      </c>
      <c r="M150" t="str">
        <f>XLOOKUP(E150,[1]!Bookings[Booking Name],[1]!Bookings[Inventory Unit Status])</f>
        <v>SPA Executed</v>
      </c>
      <c r="N150" t="str">
        <f>XLOOKUP(E150,[1]!Bookings[Booking Name],[1]!Bookings[Booking Status])</f>
        <v>Rejected</v>
      </c>
      <c r="O150" t="str">
        <f>XLOOKUP(E150,[1]!Bookings[Booking Name],[1]!Bookings[Customer Name])</f>
        <v>Ramazan ozturk</v>
      </c>
      <c r="P150" t="str">
        <f>XLOOKUP(E150,[1]!Bookings[Booking Name],[1]!Bookings[Nationality])</f>
        <v>Turkey</v>
      </c>
      <c r="Q150">
        <f>XLOOKUP(E150,[1]!Bookings[Booking Name],[1]!Bookings[Discount Amount])</f>
        <v>0</v>
      </c>
      <c r="R150">
        <f>XLOOKUP(E150,[1]!Bookings[Booking Name],[1]!Bookings[Discount Percentage])</f>
        <v>0</v>
      </c>
      <c r="S150">
        <f>XLOOKUP(E150,[1]!Bookings[Booking Name],[1]!Bookings[Final Sale Value After Discount])</f>
        <v>2274000</v>
      </c>
      <c r="T150">
        <f>XLOOKUP(E150,[1]!Bookings[Booking Name],[1]!Bookings[Inv Final Sale Value])</f>
        <v>2274000</v>
      </c>
      <c r="U150" t="str">
        <f>XLOOKUP(E150,[1]!Bookings[Booking Name],[1]!Bookings[Sales])</f>
        <v>Zeynep Mustekin</v>
      </c>
      <c r="V150" t="str">
        <f>XLOOKUP(E150,[1]!Bookings[Booking Name],[1]!Bookings[Agency Name])</f>
        <v>Seven Luxury Real Estate L.L.C</v>
      </c>
      <c r="W150" t="str">
        <f>XLOOKUP(E150,[1]!Bookings[Booking Name],[1]!Bookings[Booking ID])</f>
        <v>a03J6000009la3Y</v>
      </c>
      <c r="X150" t="str">
        <f>XLOOKUP(E150,[1]!Bookings[Booking Name],[1]!Bookings[Oracle Id])</f>
        <v>-</v>
      </c>
      <c r="Y150" t="str">
        <v>Not Available on Finance Tracker</v>
      </c>
      <c r="Z150" t="str">
        <v>No Payment</v>
      </c>
      <c r="AA150" t="str">
        <v>N/A</v>
      </c>
      <c r="AB150" t="str">
        <v>No</v>
      </c>
      <c r="AC150" t="str">
        <v>Cancellation requested by Hussien</v>
      </c>
      <c r="AD150" t="str">
        <v>https://onedevelopmentuae-my.sharepoint.com/personal/n_araujo_oneuae_com/Documents/Desktop/Norton-Local/Requests/Rejected%20Bookings/Booking-734%20%26amp%3B%20Booking-735%20-%20Booking%20Rejection%20Request.msg</v>
      </c>
      <c r="AE150" t="str">
        <v>Cancelled due to Non Payment</v>
      </c>
      <c r="AF150" t="str">
        <v>Cancellation Request raised by Collections Team</v>
      </c>
    </row>
    <row r="151">
      <c r="B151" t="str">
        <v>July</v>
      </c>
      <c r="C151">
        <v>45853</v>
      </c>
      <c r="D151">
        <f>XLOOKUP(E151,[1]!Bookings[Booking Name],[1]!Bookings[Rejected Date])</f>
        <v>45859</v>
      </c>
      <c r="E151" t="str">
        <v>Booking-734</v>
      </c>
      <c r="F151" t="str">
        <f>XLOOKUP(E151,[1]!Bookings[Booking Name],[1]!Bookings[Booking Status])</f>
        <v>Rejected</v>
      </c>
      <c r="G151">
        <f>XLOOKUP(E151,[1]!Bookings[Booking Name],[1]!Bookings[Booking Date])</f>
        <v>45818</v>
      </c>
      <c r="H151">
        <f>XLOOKUP(E151,[1]!Bookings[Booking Name],[1]!Bookings[Booking Aging])</f>
        <v>241</v>
      </c>
      <c r="I151" t="str">
        <f>XLOOKUP(E151,[1]!Bookings[Booking Name],[1]!Bookings[Project Name])</f>
        <v>Do Dubai Island</v>
      </c>
      <c r="J151" t="str">
        <f>XLOOKUP(E151,[1]!Bookings[Booking Name],[1]!Bookings[Building])</f>
        <v>Tower 1</v>
      </c>
      <c r="K151" t="str">
        <f>XLOOKUP(E151,[1]!Bookings[Booking Name],[1]!Bookings[Bedrooms])</f>
        <v>Studio</v>
      </c>
      <c r="L151" t="str">
        <f>XLOOKUP(E151,[1]!Bookings[Booking Name],[1]!Bookings[Unit No.])</f>
        <v>612</v>
      </c>
      <c r="M151" t="str">
        <f>XLOOKUP(E151,[1]!Bookings[Booking Name],[1]!Bookings[Inventory Unit Status])</f>
        <v>SPA Executed</v>
      </c>
      <c r="N151" t="str">
        <f>XLOOKUP(E151,[1]!Bookings[Booking Name],[1]!Bookings[Booking Status])</f>
        <v>Rejected</v>
      </c>
      <c r="O151" t="str">
        <f>XLOOKUP(E151,[1]!Bookings[Booking Name],[1]!Bookings[Customer Name])</f>
        <v>Ahmed Bharkhat Roheb</v>
      </c>
      <c r="P151" t="str">
        <f>XLOOKUP(E151,[1]!Bookings[Booking Name],[1]!Bookings[Nationality])</f>
        <v>United Kingdom</v>
      </c>
      <c r="Q151">
        <f>XLOOKUP(E151,[1]!Bookings[Booking Name],[1]!Bookings[Discount Amount])</f>
        <v>0</v>
      </c>
      <c r="R151">
        <f>XLOOKUP(E151,[1]!Bookings[Booking Name],[1]!Bookings[Discount Percentage])</f>
        <v>0</v>
      </c>
      <c r="S151">
        <f>XLOOKUP(E151,[1]!Bookings[Booking Name],[1]!Bookings[Final Sale Value After Discount])</f>
        <v>1215000</v>
      </c>
      <c r="T151">
        <f>XLOOKUP(E151,[1]!Bookings[Booking Name],[1]!Bookings[Inv Final Sale Value])</f>
        <v>1215000</v>
      </c>
      <c r="U151" t="str">
        <f>XLOOKUP(E151,[1]!Bookings[Booking Name],[1]!Bookings[Sales])</f>
        <v>Claire Moussa</v>
      </c>
      <c r="V151" t="str">
        <f>XLOOKUP(E151,[1]!Bookings[Booking Name],[1]!Bookings[Agency Name])</f>
        <v>GOLD MILE PROPERTIES</v>
      </c>
      <c r="W151" t="str">
        <f>XLOOKUP(E151,[1]!Bookings[Booking Name],[1]!Bookings[Booking ID])</f>
        <v>a03J6000009la30</v>
      </c>
      <c r="X151" t="str">
        <f>XLOOKUP(E151,[1]!Bookings[Booking Name],[1]!Bookings[Oracle Id])</f>
        <v>-</v>
      </c>
      <c r="Y151" t="str">
        <v>Not Available on Finance Tracker</v>
      </c>
      <c r="Z151">
        <v>50010</v>
      </c>
      <c r="AA151">
        <v>0.04116049382716049</v>
      </c>
      <c r="AB151" t="str">
        <v>Yes</v>
      </c>
      <c r="AC151" t="str">
        <v>Cancellation requested by Hussien</v>
      </c>
      <c r="AD151" t="str">
        <v>https://onedevelopmentuae-my.sharepoint.com/personal/n_araujo_oneuae_com/Documents/Desktop/Norton-Local/Requests/Rejected%20Bookings/Booking-734%20%26amp%3B%20Booking-735%20-%20Booking%20Rejection%20Request.msg</v>
      </c>
      <c r="AE151" t="str">
        <v>Cancelled due to Non Payment</v>
      </c>
      <c r="AF151" t="str">
        <v>Cancellation Request raised by Collections Team</v>
      </c>
    </row>
    <row r="152">
      <c r="B152" t="str">
        <v>July</v>
      </c>
      <c r="C152">
        <v>45853</v>
      </c>
      <c r="D152">
        <f>XLOOKUP(E152,[1]!Bookings[Booking Name],[1]!Bookings[Rejected Date])</f>
        <v>45855</v>
      </c>
      <c r="E152" t="str">
        <v>Booking-722</v>
      </c>
      <c r="F152" t="str">
        <f>XLOOKUP(E152,[1]!Bookings[Booking Name],[1]!Bookings[Booking Status])</f>
        <v>Rejected</v>
      </c>
      <c r="G152">
        <f>XLOOKUP(E152,[1]!Bookings[Booking Name],[1]!Bookings[Booking Date])</f>
        <v>45817</v>
      </c>
      <c r="H152">
        <f>XLOOKUP(E152,[1]!Bookings[Booking Name],[1]!Bookings[Booking Aging])</f>
        <v>242</v>
      </c>
      <c r="I152" t="str">
        <f>XLOOKUP(E152,[1]!Bookings[Booking Name],[1]!Bookings[Project Name])</f>
        <v>Do Dubai Island</v>
      </c>
      <c r="J152" t="str">
        <f>XLOOKUP(E152,[1]!Bookings[Booking Name],[1]!Bookings[Building])</f>
        <v>Tower 1</v>
      </c>
      <c r="K152" t="str">
        <f>XLOOKUP(E152,[1]!Bookings[Booking Name],[1]!Bookings[Bedrooms])</f>
        <v>1 Bedroom</v>
      </c>
      <c r="L152" t="str">
        <f>XLOOKUP(E152,[1]!Bookings[Booking Name],[1]!Bookings[Unit No.])</f>
        <v>502</v>
      </c>
      <c r="M152" t="str">
        <f>XLOOKUP(E152,[1]!Bookings[Booking Name],[1]!Bookings[Inventory Unit Status])</f>
        <v>SPA Executed</v>
      </c>
      <c r="N152" t="str">
        <f>XLOOKUP(E152,[1]!Bookings[Booking Name],[1]!Bookings[Booking Status])</f>
        <v>Rejected</v>
      </c>
      <c r="O152" t="str">
        <f>XLOOKUP(E152,[1]!Bookings[Booking Name],[1]!Bookings[Customer Name])</f>
        <v>MAXIMILIAN WINZLMEIER</v>
      </c>
      <c r="P152" t="str">
        <f>XLOOKUP(E152,[1]!Bookings[Booking Name],[1]!Bookings[Nationality])</f>
        <v>Germany</v>
      </c>
      <c r="Q152">
        <f>XLOOKUP(E152,[1]!Bookings[Booking Name],[1]!Bookings[Discount Amount])</f>
        <v>0</v>
      </c>
      <c r="R152">
        <f>XLOOKUP(E152,[1]!Bookings[Booking Name],[1]!Bookings[Discount Percentage])</f>
        <v>0</v>
      </c>
      <c r="S152">
        <f>XLOOKUP(E152,[1]!Bookings[Booking Name],[1]!Bookings[Final Sale Value After Discount])</f>
        <v>2654000</v>
      </c>
      <c r="T152">
        <f>XLOOKUP(E152,[1]!Bookings[Booking Name],[1]!Bookings[Inv Final Sale Value])</f>
        <v>2654000</v>
      </c>
      <c r="U152" t="str">
        <f>XLOOKUP(E152,[1]!Bookings[Booking Name],[1]!Bookings[Sales])</f>
        <v>Amal El Gendy</v>
      </c>
      <c r="V152" t="str">
        <f>XLOOKUP(E152,[1]!Bookings[Booking Name],[1]!Bookings[Agency Name])</f>
        <v>H&amp;S REAL ESTATE LLC</v>
      </c>
      <c r="W152" t="str">
        <f>XLOOKUP(E152,[1]!Bookings[Booking Name],[1]!Bookings[Booking ID])</f>
        <v>a03J6000009lWlJ</v>
      </c>
      <c r="X152" t="str">
        <f>XLOOKUP(E152,[1]!Bookings[Booking Name],[1]!Bookings[Oracle Id])</f>
        <v>-</v>
      </c>
      <c r="Y152" t="str">
        <v>Not Available on Finance Tracker</v>
      </c>
      <c r="Z152">
        <v>199268.78</v>
      </c>
      <c r="AA152">
        <v>0.07508243406179352</v>
      </c>
      <c r="AB152" t="str">
        <v>Yes</v>
      </c>
      <c r="AC152" t="str">
        <v>Request received from Sales Director as customer requested to cancel</v>
      </c>
      <c r="AD152" t="str">
        <v>https://onedevelopmentuae-my.sharepoint.com/personal/n_araujo_oneuae_com/Documents/Desktop/Norton-Local/Requests/Rejected%20Bookings/Booking-722%20-%20Booking%20Rejection%20Request.msg</v>
      </c>
      <c r="AE152" t="str">
        <v>Customer requested to cancel</v>
      </c>
      <c r="AF152" t="str">
        <v>Customer is unable to continue with the Purchase - Refund Request Approved</v>
      </c>
    </row>
    <row r="153">
      <c r="B153" t="str">
        <v>July</v>
      </c>
      <c r="C153">
        <v>45853</v>
      </c>
      <c r="D153">
        <f>XLOOKUP(E153,[1]!Bookings[Booking Name],[1]!Bookings[Rejected Date])</f>
        <v>45859</v>
      </c>
      <c r="E153" t="str">
        <v>Booking-541</v>
      </c>
      <c r="F153" t="str">
        <f>XLOOKUP(E153,[1]!Bookings[Booking Name],[1]!Bookings[Booking Status])</f>
        <v>Rejected</v>
      </c>
      <c r="G153">
        <f>XLOOKUP(E153,[1]!Bookings[Booking Name],[1]!Bookings[Booking Date])</f>
        <v>45740</v>
      </c>
      <c r="H153">
        <f>XLOOKUP(E153,[1]!Bookings[Booking Name],[1]!Bookings[Booking Aging])</f>
        <v>319</v>
      </c>
      <c r="I153" t="str">
        <f>XLOOKUP(E153,[1]!Bookings[Booking Name],[1]!Bookings[Project Name])</f>
        <v>Laguna Residence</v>
      </c>
      <c r="J153" t="str">
        <f>XLOOKUP(E153,[1]!Bookings[Booking Name],[1]!Bookings[Building])</f>
        <v>Tower A</v>
      </c>
      <c r="K153" t="str">
        <f>XLOOKUP(E153,[1]!Bookings[Booking Name],[1]!Bookings[Bedrooms])</f>
        <v>Studio</v>
      </c>
      <c r="L153" t="str">
        <f>XLOOKUP(E153,[1]!Bookings[Booking Name],[1]!Bookings[Unit No.])</f>
        <v>A918</v>
      </c>
      <c r="M153" t="str">
        <f>XLOOKUP(E153,[1]!Bookings[Booking Name],[1]!Bookings[Inventory Unit Status])</f>
        <v>Booked</v>
      </c>
      <c r="N153" t="str">
        <f>XLOOKUP(E153,[1]!Bookings[Booking Name],[1]!Bookings[Booking Status])</f>
        <v>Rejected</v>
      </c>
      <c r="O153" t="str">
        <f>XLOOKUP(E153,[1]!Bookings[Booking Name],[1]!Bookings[Customer Name])</f>
        <v>Hayah Mohammed Abdulla Mohamed Alnuaimi</v>
      </c>
      <c r="P153" t="str">
        <f>XLOOKUP(E153,[1]!Bookings[Booking Name],[1]!Bookings[Nationality])</f>
        <v>United Arab Emirates</v>
      </c>
      <c r="Q153">
        <f>XLOOKUP(E153,[1]!Bookings[Booking Name],[1]!Bookings[Discount Amount])</f>
        <v>52000</v>
      </c>
      <c r="R153">
        <f>XLOOKUP(E153,[1]!Bookings[Booking Name],[1]!Bookings[Discount Percentage])</f>
        <v>0.06582278481012659</v>
      </c>
      <c r="S153">
        <f>XLOOKUP(E153,[1]!Bookings[Booking Name],[1]!Bookings[Final Sale Value After Discount])</f>
        <v>738000</v>
      </c>
      <c r="T153">
        <f>XLOOKUP(E153,[1]!Bookings[Booking Name],[1]!Bookings[Inv Final Sale Value])</f>
        <v>790000</v>
      </c>
      <c r="U153" t="str">
        <f>XLOOKUP(E153,[1]!Bookings[Booking Name],[1]!Bookings[Sales])</f>
        <v>Feriel Dridi</v>
      </c>
      <c r="V153" t="str">
        <f>XLOOKUP(E153,[1]!Bookings[Booking Name],[1]!Bookings[Agency Name])</f>
        <v>AHYAN REAL ESTATE BROKER</v>
      </c>
      <c r="W153" t="str">
        <f>XLOOKUP(E153,[1]!Bookings[Booking Name],[1]!Bookings[Booking ID])</f>
        <v>a03J60000080F5C</v>
      </c>
      <c r="X153" t="str">
        <f>XLOOKUP(E153,[1]!Bookings[Booking Name],[1]!Bookings[Oracle Id])</f>
        <v>23702</v>
      </c>
      <c r="Y153" t="str">
        <v>Not Available on Finance Tracker</v>
      </c>
      <c r="Z153">
        <v>20000</v>
      </c>
      <c r="AA153">
        <v>0.02531645569620253</v>
      </c>
      <c r="AB153" t="str">
        <v>No</v>
      </c>
      <c r="AC153" t="str">
        <v>Request received from Hussien</v>
      </c>
      <c r="AD153" t="str">
        <v>https://onedevelopmentuae-my.sharepoint.com/personal/n_araujo_oneuae_com/Documents/Desktop/Norton-Local/Requests/Rejected%20Bookings/Booking-541%20-%20Booking%20Rejection%20Request.msg</v>
      </c>
      <c r="AE153" t="str">
        <v>Cancelled due to Non Payment</v>
      </c>
      <c r="AF153" t="str">
        <v>Cancellation Request raised by Collections Team</v>
      </c>
    </row>
    <row r="154">
      <c r="B154" t="str">
        <v>July</v>
      </c>
      <c r="C154">
        <v>45853</v>
      </c>
      <c r="D154">
        <f>XLOOKUP(E154,[1]!Bookings[Booking Name],[1]!Bookings[Rejected Date])</f>
        <v>45859</v>
      </c>
      <c r="E154" t="str">
        <v>Booking-208</v>
      </c>
      <c r="F154" t="str">
        <f>XLOOKUP(E154,[1]!Bookings[Booking Name],[1]!Bookings[Booking Status])</f>
        <v>Rejected</v>
      </c>
      <c r="G154">
        <f>XLOOKUP(E154,[1]!Bookings[Booking Name],[1]!Bookings[Booking Date])</f>
        <v>45630</v>
      </c>
      <c r="H154">
        <f>XLOOKUP(E154,[1]!Bookings[Booking Name],[1]!Bookings[Booking Aging])</f>
        <v>429</v>
      </c>
      <c r="I154" t="str">
        <f>XLOOKUP(E154,[1]!Bookings[Booking Name],[1]!Bookings[Project Name])</f>
        <v>Laguna Residence</v>
      </c>
      <c r="J154" t="str">
        <f>XLOOKUP(E154,[1]!Bookings[Booking Name],[1]!Bookings[Building])</f>
        <v>Tower A</v>
      </c>
      <c r="K154" t="str">
        <f>XLOOKUP(E154,[1]!Bookings[Booking Name],[1]!Bookings[Bedrooms])</f>
        <v>3 Bedroom</v>
      </c>
      <c r="L154" t="str">
        <f>XLOOKUP(E154,[1]!Bookings[Booking Name],[1]!Bookings[Unit No.])</f>
        <v>A4001</v>
      </c>
      <c r="M154" t="str">
        <f>XLOOKUP(E154,[1]!Bookings[Booking Name],[1]!Bookings[Inventory Unit Status])</f>
        <v>Blocked</v>
      </c>
      <c r="N154" t="str">
        <f>XLOOKUP(E154,[1]!Bookings[Booking Name],[1]!Bookings[Booking Status])</f>
        <v>Rejected</v>
      </c>
      <c r="O154" t="str">
        <f>XLOOKUP(E154,[1]!Bookings[Booking Name],[1]!Bookings[Customer Name])</f>
        <v>Alem Mengstu Meles</v>
      </c>
      <c r="P154" t="str">
        <f>XLOOKUP(E154,[1]!Bookings[Booking Name],[1]!Bookings[Nationality])</f>
        <v>Ethiopia</v>
      </c>
      <c r="Q154">
        <f>XLOOKUP(E154,[1]!Bookings[Booking Name],[1]!Bookings[Discount Amount])</f>
        <v>797000</v>
      </c>
      <c r="R154">
        <f>XLOOKUP(E154,[1]!Bookings[Booking Name],[1]!Bookings[Discount Percentage])</f>
        <v>0.15046252595808948</v>
      </c>
      <c r="S154">
        <f>XLOOKUP(E154,[1]!Bookings[Booking Name],[1]!Bookings[Final Sale Value After Discount])</f>
        <v>4500000</v>
      </c>
      <c r="T154">
        <f>XLOOKUP(E154,[1]!Bookings[Booking Name],[1]!Bookings[Inv Final Sale Value])</f>
        <v>5297000</v>
      </c>
      <c r="U154" t="str">
        <f>XLOOKUP(E154,[1]!Bookings[Booking Name],[1]!Bookings[Sales])</f>
        <v>Aiham Addi</v>
      </c>
      <c r="V154" t="str">
        <f>XLOOKUP(E154,[1]!Bookings[Booking Name],[1]!Bookings[Agency Name])</f>
        <v>GLOBEX REAL ESTATE L L C</v>
      </c>
      <c r="W154" t="str">
        <f>XLOOKUP(E154,[1]!Bookings[Booking Name],[1]!Bookings[Booking ID])</f>
        <v>a03J6000003iewX</v>
      </c>
      <c r="X154" t="str">
        <f>XLOOKUP(E154,[1]!Bookings[Booking Name],[1]!Bookings[Oracle Id])</f>
        <v>14633</v>
      </c>
      <c r="Y154" t="str">
        <v>Not Available on Finance Tracker</v>
      </c>
      <c r="Z154">
        <v>680000</v>
      </c>
      <c r="AA154">
        <v>0.12837455163299982</v>
      </c>
      <c r="AB154" t="str">
        <v>No</v>
      </c>
      <c r="AC154" t="str">
        <v>Customer requested to cancel. Paid amount for A4001 has been transferred to B3001</v>
      </c>
      <c r="AD154" t="str">
        <v>https://onedevelopmentuae-my.sharepoint.com/personal/n_araujo_oneuae_com/Documents/Desktop/Norton-Local/Requests/Rejected%20Bookings/Booking-208%20-%20Booking%20Rejection%20Request.msg</v>
      </c>
      <c r="AE154" t="str">
        <v>Unit Swap - Approved by Management</v>
      </c>
      <c r="AF154" t="str">
        <v>Swapped from A4001 to B3001</v>
      </c>
    </row>
  </sheetData>
  <mergeCells count="2">
    <mergeCell ref="AA146:AA147"/>
    <mergeCell ref="AB146:AB147"/>
  </mergeCells>
  <hyperlinks>
    <hyperlink ref="AD2" r:id="rId1"/>
    <hyperlink ref="AD3" r:id="rId2"/>
    <hyperlink ref="AD4" r:id="rId3"/>
    <hyperlink ref="AD5" r:id="rId4"/>
    <hyperlink ref="AD6" r:id="rId5"/>
    <hyperlink ref="AD7" r:id="rId6"/>
    <hyperlink ref="AD8" r:id="rId7"/>
    <hyperlink ref="AD9" r:id="rId8"/>
    <hyperlink ref="AD10" r:id="rId9"/>
    <hyperlink ref="AD11" r:id="rId10"/>
    <hyperlink ref="AD12" r:id="rId11"/>
    <hyperlink ref="AD13" r:id="rId12"/>
    <hyperlink ref="AD14" r:id="rId13"/>
    <hyperlink ref="AD15" r:id="rId14"/>
    <hyperlink ref="AD16" r:id="rId15"/>
    <hyperlink ref="AD17" r:id="rId16"/>
    <hyperlink ref="AD18" r:id="rId17"/>
    <hyperlink ref="AD19" r:id="rId18"/>
    <hyperlink ref="AD20" r:id="rId19"/>
    <hyperlink ref="AD21" r:id="rId20"/>
    <hyperlink ref="AD22" r:id="rId21"/>
    <hyperlink ref="AD23" r:id="rId22"/>
    <hyperlink ref="AD24" r:id="rId23"/>
    <hyperlink ref="AD25" r:id="rId24"/>
    <hyperlink ref="AD26" r:id="rId25"/>
    <hyperlink ref="AD27" r:id="rId26"/>
    <hyperlink ref="AD28" r:id="rId27"/>
    <hyperlink ref="AD29" r:id="rId28"/>
    <hyperlink ref="AD30" r:id="rId29"/>
    <hyperlink ref="AD31" r:id="rId30"/>
    <hyperlink ref="AD32" r:id="rId31"/>
    <hyperlink ref="AD33" r:id="rId32"/>
    <hyperlink ref="AD34" r:id="rId33"/>
    <hyperlink ref="AD35" r:id="rId34"/>
    <hyperlink ref="AD36" r:id="rId35"/>
    <hyperlink ref="AD37" r:id="rId36"/>
    <hyperlink ref="AD38" r:id="rId37"/>
    <hyperlink ref="AD39" r:id="rId38"/>
    <hyperlink ref="AD40" r:id="rId39"/>
    <hyperlink ref="AD41" r:id="rId40"/>
    <hyperlink ref="AD42" r:id="rId41"/>
    <hyperlink ref="AD43" r:id="rId42"/>
    <hyperlink ref="AD44" r:id="rId43"/>
    <hyperlink ref="AD45" r:id="rId44"/>
    <hyperlink ref="AD46" r:id="rId45"/>
    <hyperlink ref="AD47" r:id="rId46"/>
    <hyperlink ref="AD48" r:id="rId47"/>
    <hyperlink ref="AD49" r:id="rId48"/>
    <hyperlink ref="AD50" r:id="rId49"/>
    <hyperlink ref="AD51" r:id="rId50"/>
    <hyperlink ref="AD52" r:id="rId51"/>
    <hyperlink ref="AD53" r:id="rId52"/>
    <hyperlink ref="AD54" r:id="rId53"/>
    <hyperlink ref="AD55" r:id="rId54"/>
    <hyperlink ref="AD56" r:id="rId55"/>
    <hyperlink ref="AD57" r:id="rId56"/>
    <hyperlink ref="AD58" r:id="rId57"/>
    <hyperlink ref="AD59" r:id="rId58"/>
    <hyperlink ref="AD60" r:id="rId59"/>
    <hyperlink ref="AD61" r:id="rId60"/>
    <hyperlink ref="AD62" r:id="rId61"/>
    <hyperlink ref="AD63" r:id="rId62"/>
    <hyperlink ref="AD64" r:id="rId63"/>
    <hyperlink ref="AD65" r:id="rId64"/>
    <hyperlink ref="AD66" r:id="rId65"/>
    <hyperlink ref="AD67" r:id="rId66"/>
    <hyperlink ref="AD68" r:id="rId67"/>
    <hyperlink ref="AD69" r:id="rId68"/>
    <hyperlink ref="AD70" r:id="rId69"/>
    <hyperlink ref="AD71" r:id="rId70"/>
    <hyperlink ref="AD72" r:id="rId71"/>
    <hyperlink ref="AD73" r:id="rId72"/>
    <hyperlink ref="AD74" r:id="rId73"/>
    <hyperlink ref="AD75" r:id="rId74"/>
    <hyperlink ref="AD76" r:id="rId75"/>
    <hyperlink ref="AD77" r:id="rId76"/>
    <hyperlink ref="AD78" r:id="rId77"/>
    <hyperlink ref="AD79" r:id="rId78"/>
    <hyperlink ref="AD80" r:id="rId79"/>
    <hyperlink ref="AD81" r:id="rId80"/>
    <hyperlink ref="AD82" r:id="rId81"/>
    <hyperlink ref="AD83" r:id="rId82"/>
    <hyperlink ref="AD84" r:id="rId83"/>
    <hyperlink ref="AD85" r:id="rId84"/>
    <hyperlink ref="AD86" r:id="rId85"/>
    <hyperlink ref="AD87" r:id="rId86"/>
    <hyperlink ref="AD88" r:id="rId87"/>
    <hyperlink ref="AD89" r:id="rId88"/>
    <hyperlink ref="AD90" r:id="rId89"/>
    <hyperlink ref="AD91" r:id="rId90"/>
    <hyperlink ref="AD92" r:id="rId91"/>
    <hyperlink ref="AD93" r:id="rId92"/>
    <hyperlink ref="AD94" r:id="rId93"/>
    <hyperlink ref="AD95" r:id="rId94"/>
    <hyperlink ref="AD96" r:id="rId95"/>
    <hyperlink ref="AD97" r:id="rId96"/>
    <hyperlink ref="AD98" r:id="rId97"/>
    <hyperlink ref="AD99" r:id="rId98"/>
    <hyperlink ref="AD100" r:id="rId99"/>
    <hyperlink ref="AD101" r:id="rId100"/>
    <hyperlink ref="AD102" r:id="rId101"/>
    <hyperlink ref="AD103" r:id="rId102"/>
    <hyperlink ref="AD104" r:id="rId103"/>
    <hyperlink ref="AD105" r:id="rId104"/>
    <hyperlink ref="AD106" r:id="rId105"/>
    <hyperlink ref="AD107" r:id="rId106"/>
    <hyperlink ref="AD108" r:id="rId107"/>
    <hyperlink ref="AD109" r:id="rId108"/>
    <hyperlink ref="AD110" r:id="rId109"/>
    <hyperlink ref="AD111" r:id="rId110"/>
    <hyperlink ref="AD112" r:id="rId111"/>
    <hyperlink ref="AD113" r:id="rId112"/>
    <hyperlink ref="AD114" r:id="rId113"/>
    <hyperlink ref="AD115" r:id="rId114"/>
    <hyperlink ref="AD116" r:id="rId115"/>
    <hyperlink ref="AD117" r:id="rId116"/>
    <hyperlink ref="AD118" r:id="rId117"/>
    <hyperlink ref="AD119" r:id="rId118"/>
    <hyperlink ref="AD120" r:id="rId119"/>
    <hyperlink ref="AD121" r:id="rId120"/>
    <hyperlink ref="AD122" r:id="rId121"/>
    <hyperlink ref="AD123" r:id="rId122"/>
    <hyperlink ref="AD124" r:id="rId123"/>
    <hyperlink ref="AD125" r:id="rId124"/>
    <hyperlink ref="AD126" r:id="rId125"/>
    <hyperlink ref="AD127" r:id="rId126"/>
    <hyperlink ref="AD128" r:id="rId127"/>
    <hyperlink ref="AD129" r:id="rId128"/>
    <hyperlink ref="AD131" r:id="rId129"/>
    <hyperlink ref="AD132" r:id="rId130"/>
    <hyperlink ref="AD133" r:id="rId131"/>
    <hyperlink ref="AD134" r:id="rId132"/>
    <hyperlink ref="AD135" r:id="rId133"/>
    <hyperlink ref="AD137" r:id="rId134"/>
    <hyperlink ref="AD140" r:id="rId135"/>
    <hyperlink ref="AD141" r:id="rId136"/>
    <hyperlink ref="AD142" r:id="rId137"/>
    <hyperlink ref="AD143" r:id="rId138"/>
    <hyperlink ref="AD144" r:id="rId139"/>
    <hyperlink ref="E145" r:id="rId140"/>
    <hyperlink ref="AD145" r:id="rId141"/>
    <hyperlink ref="E146" r:id="rId142" tooltip="Booking-806"/>
    <hyperlink ref="AD146" r:id="rId143"/>
    <hyperlink ref="E147" r:id="rId144" tooltip="Booking-804"/>
    <hyperlink ref="AD147" r:id="rId145"/>
    <hyperlink ref="E148" r:id="rId146" tooltip="Booking-795"/>
    <hyperlink ref="AD148" r:id="rId147"/>
    <hyperlink ref="E149" r:id="rId148" tooltip="Booking-786"/>
    <hyperlink ref="AD149" r:id="rId149"/>
    <hyperlink ref="E150" r:id="rId150" tooltip="Booking-735"/>
    <hyperlink ref="AD150" r:id="rId151"/>
    <hyperlink ref="E151" r:id="rId152" tooltip="Booking-734"/>
    <hyperlink ref="AD151" r:id="rId153"/>
    <hyperlink ref="E152" r:id="rId154" tooltip="Booking-722"/>
    <hyperlink ref="AD152" r:id="rId155"/>
    <hyperlink ref="E153" r:id="rId156" tooltip="Booking-541"/>
    <hyperlink ref="AD153" r:id="rId157"/>
    <hyperlink ref="E154" r:id="rId158" tooltip="Booking-208"/>
    <hyperlink ref="AD154" r:id="rId159"/>
  </hyperlinks>
  <pageMargins left="0.7" right="0.7" top="0.75" bottom="0.75" header="0.3" footer="0.3"/>
  <ignoredErrors>
    <ignoredError numberStoredAsText="1" sqref="B1:AF154"/>
  </ignoredErrors>
  <legacyDrawing r:id="rId160"/>
</worksheet>
</file>

<file path=xl/worksheets/sheet2.xml><?xml version="1.0" encoding="utf-8"?>
<worksheet xmlns="http://schemas.openxmlformats.org/spreadsheetml/2006/main" xmlns:r="http://schemas.openxmlformats.org/officeDocument/2006/relationships">
  <dimension ref="B2:F70"/>
  <sheetViews>
    <sheetView workbookViewId="0" rightToLeft="0"/>
  </sheetViews>
  <sheetData>
    <row r="2">
      <c r="E2" t="str">
        <v>Cancellation Summary</v>
      </c>
    </row>
    <row r="3">
      <c r="E3" t="str">
        <v>Summary</v>
      </c>
      <c r="F3" t="str">
        <v>Count</v>
      </c>
    </row>
    <row r="4">
      <c r="E4" t="str">
        <v>Cancelled due to Non Payment</v>
      </c>
      <c r="F4">
        <v>51</v>
      </c>
    </row>
    <row r="5">
      <c r="E5" t="str">
        <v>Cancellation Request raised by Collections Team</v>
      </c>
      <c r="F5">
        <v>35</v>
      </c>
    </row>
    <row r="6">
      <c r="E6" t="str">
        <v>Cancellation Request raised by Sales Operations Team</v>
      </c>
      <c r="F6">
        <v>11</v>
      </c>
    </row>
    <row r="7">
      <c r="E7" t="str">
        <v>Cancellation Request raised by Sales Operations Team - No Refund</v>
      </c>
      <c r="F7">
        <v>4</v>
      </c>
    </row>
    <row r="8">
      <c r="E8" t="str">
        <v>Cancellation Request raised by VP-Sales</v>
      </c>
      <c r="F8">
        <v>1</v>
      </c>
    </row>
    <row r="9">
      <c r="E9" t="str">
        <v>Customer requested to cancel</v>
      </c>
      <c r="F9">
        <v>23</v>
      </c>
    </row>
    <row r="10">
      <c r="E10" t="str">
        <v>Customer is unable to continue with the Purchase</v>
      </c>
      <c r="F10">
        <v>12</v>
      </c>
    </row>
    <row r="11">
      <c r="E11" t="str">
        <v>Customer is unable to continue with the Purchase - Refund Requested</v>
      </c>
      <c r="F11">
        <v>5</v>
      </c>
    </row>
    <row r="12">
      <c r="E12" t="str">
        <v>Customer only wants to proceed with unit B205 only</v>
      </c>
      <c r="F12">
        <v>2</v>
      </c>
    </row>
    <row r="13">
      <c r="E13" t="str">
        <v>Customer purchased 2 units and will now proceed with only Unit B1010. No Refund</v>
      </c>
      <c r="F13">
        <v>1</v>
      </c>
    </row>
    <row r="14">
      <c r="B14" t="str">
        <v>Cancellation Requests Received</v>
      </c>
      <c r="E14" t="str">
        <v>Paid Amount allocated to unit B2612</v>
      </c>
      <c r="F14">
        <v>1</v>
      </c>
    </row>
    <row r="15">
      <c r="B15" t="str">
        <v>Booking Status</v>
      </c>
      <c r="C15" t="str">
        <v>Count</v>
      </c>
      <c r="E15" t="str">
        <v>Customer is unable to continue with the Purchase - No Refund</v>
      </c>
      <c r="F15">
        <v>1</v>
      </c>
    </row>
    <row r="16">
      <c r="B16" t="str">
        <v>Rejected</v>
      </c>
      <c r="C16">
        <v>134</v>
      </c>
      <c r="E16" t="str">
        <v>Customer is unable to continue with the Purchase - Refund Request Approved</v>
      </c>
      <c r="F16">
        <v>1</v>
      </c>
    </row>
    <row r="17">
      <c r="B17" t="str">
        <v>Draft</v>
      </c>
      <c r="C17">
        <v>1</v>
      </c>
      <c r="E17" t="str">
        <v>Cancelled due to Price Revision</v>
      </c>
      <c r="F17">
        <v>16</v>
      </c>
    </row>
    <row r="18">
      <c r="B18" t="str">
        <v>Grand Total</v>
      </c>
      <c r="C18">
        <v>135</v>
      </c>
      <c r="E18" t="str">
        <v>Cancelled due to Price Revision</v>
      </c>
      <c r="F18">
        <v>16</v>
      </c>
    </row>
    <row r="19">
      <c r="E19" t="str">
        <v>Unit Swap - Approved by Management</v>
      </c>
      <c r="F19">
        <v>15</v>
      </c>
    </row>
    <row r="20">
      <c r="E20" t="str">
        <v>Swapped from 403 to 420 (Upgrade)</v>
      </c>
      <c r="F20">
        <v>1</v>
      </c>
    </row>
    <row r="21">
      <c r="E21" t="str">
        <v>Swapped from DO 516 to DO 409</v>
      </c>
      <c r="F21">
        <v>1</v>
      </c>
    </row>
    <row r="22">
      <c r="E22" t="str">
        <v>Swapped from B1912 to B1312</v>
      </c>
      <c r="F22">
        <v>1</v>
      </c>
    </row>
    <row r="23">
      <c r="E23" t="str">
        <v>Swapped from A322 to A2514</v>
      </c>
      <c r="F23">
        <v>1</v>
      </c>
    </row>
    <row r="24">
      <c r="E24" t="str">
        <v>Swapped from B205 to A604</v>
      </c>
      <c r="F24">
        <v>1</v>
      </c>
    </row>
    <row r="25">
      <c r="E25" t="str">
        <v>Swapped from A4001 to B3001</v>
      </c>
      <c r="F25">
        <v>1</v>
      </c>
    </row>
    <row r="26">
      <c r="E26" t="str">
        <v>Swapped from B1311 to B1513</v>
      </c>
      <c r="F26">
        <v>1</v>
      </c>
    </row>
    <row r="27">
      <c r="E27" t="str">
        <v>Swapped from B3103 to B3012</v>
      </c>
      <c r="F27">
        <v>1</v>
      </c>
    </row>
    <row r="28">
      <c r="E28" t="str">
        <v>Swapped from A2108 to B518</v>
      </c>
      <c r="F28">
        <v>1</v>
      </c>
    </row>
    <row r="29">
      <c r="E29" t="str">
        <v>Swapped from B917 to B817</v>
      </c>
      <c r="F29">
        <v>1</v>
      </c>
    </row>
    <row r="30">
      <c r="E30" t="str">
        <v>Swapped from OR-2106 to OR-707</v>
      </c>
      <c r="F30">
        <v>1</v>
      </c>
    </row>
    <row r="31">
      <c r="E31" t="str">
        <v>Swapped from A4005 to A2101</v>
      </c>
      <c r="F31">
        <v>1</v>
      </c>
    </row>
    <row r="32">
      <c r="E32" t="str">
        <v>Swapped from B512 to OR-1407</v>
      </c>
      <c r="F32">
        <v>1</v>
      </c>
    </row>
    <row r="33">
      <c r="E33" t="str">
        <v>Swapped from A4105 to A2001</v>
      </c>
      <c r="F33">
        <v>1</v>
      </c>
    </row>
    <row r="34">
      <c r="E34" t="str">
        <v>Swapped from A1812 to B914</v>
      </c>
      <c r="F34">
        <v>1</v>
      </c>
    </row>
    <row r="35">
      <c r="E35" t="str">
        <v>Customer requested for Change of Ownership</v>
      </c>
      <c r="F35">
        <v>8</v>
      </c>
    </row>
    <row r="36">
      <c r="E36" t="str">
        <v>From Nageswara Rao to Srinivasa Ganta</v>
      </c>
      <c r="F36">
        <v>1</v>
      </c>
    </row>
    <row r="37">
      <c r="E37" t="str">
        <v>From Onur Tukel to Burhan Tukel</v>
      </c>
      <c r="F37">
        <v>1</v>
      </c>
    </row>
    <row r="38">
      <c r="E38" t="str">
        <v>From Omar Rezgani to Hossam ibraheem</v>
      </c>
      <c r="F38">
        <v>1</v>
      </c>
    </row>
    <row r="39">
      <c r="E39" t="str">
        <v>From Hawbir Hassan to Riad El Kaddouri</v>
      </c>
      <c r="F39">
        <v>1</v>
      </c>
    </row>
    <row r="40">
      <c r="E40" t="str">
        <v>From Katharina Junimann Appelhans to Helena Erbis</v>
      </c>
      <c r="F40">
        <v>1</v>
      </c>
    </row>
    <row r="41">
      <c r="E41" t="str">
        <v>From Hawbir Hassan to Rojbin Saeed</v>
      </c>
      <c r="F41">
        <v>1</v>
      </c>
    </row>
    <row r="42">
      <c r="E42" t="str">
        <v>From GUSTAV SJUNNESSON to Mohammed Adam Metto</v>
      </c>
      <c r="F42">
        <v>1</v>
      </c>
    </row>
    <row r="43">
      <c r="E43" t="str">
        <v>From Joint Ownership to Single Ownership</v>
      </c>
      <c r="F43">
        <v>1</v>
      </c>
    </row>
    <row r="44">
      <c r="E44" t="str">
        <v>Cancellation Request raised by Egypt Sales Operations Team</v>
      </c>
      <c r="F44">
        <v>4</v>
      </c>
    </row>
    <row r="45">
      <c r="E45" t="str">
        <v>Cancellation Request raised by Egypt Sales Operations Team</v>
      </c>
      <c r="F45">
        <v>4</v>
      </c>
    </row>
    <row r="46">
      <c r="E46" t="str">
        <v>Cancellation raised by Sales Director</v>
      </c>
      <c r="F46">
        <v>3</v>
      </c>
    </row>
    <row r="47">
      <c r="E47" t="str">
        <v>Amal El Gendy</v>
      </c>
      <c r="F47">
        <v>2</v>
      </c>
    </row>
    <row r="48">
      <c r="E48" t="str">
        <v>Mohammed El Shimmy - Part of the Bulk Deal</v>
      </c>
      <c r="F48">
        <v>1</v>
      </c>
    </row>
    <row r="49">
      <c r="E49" t="str">
        <v>Cancelled due to Repricing (Increase In Price)</v>
      </c>
      <c r="F49">
        <v>2</v>
      </c>
    </row>
    <row r="50">
      <c r="E50" t="str">
        <v xml:space="preserve">Increase in Price requested by Hussien </v>
      </c>
      <c r="F50">
        <v>2</v>
      </c>
    </row>
    <row r="51">
      <c r="E51" t="str">
        <v>Error In Cancellation</v>
      </c>
      <c r="F51">
        <v>2</v>
      </c>
    </row>
    <row r="52">
      <c r="E52" t="str">
        <v>Customer initially requested to swap and then changed his mind</v>
      </c>
      <c r="F52">
        <v>1</v>
      </c>
    </row>
    <row r="53">
      <c r="E53" t="str">
        <v>Unit has been rebooked as SD confirmed payment was cleared</v>
      </c>
      <c r="F53">
        <v>1</v>
      </c>
    </row>
    <row r="54">
      <c r="E54" t="str">
        <v>Error in Booking</v>
      </c>
      <c r="F54">
        <v>2</v>
      </c>
    </row>
    <row r="55">
      <c r="E55" t="str">
        <v>Unit has been rebooked as SD confirmed payment was cleared</v>
      </c>
      <c r="F55">
        <v>2</v>
      </c>
    </row>
    <row r="56">
      <c r="E56" t="str">
        <v>Cancelled due to Duplicate Booking</v>
      </c>
      <c r="F56">
        <v>2</v>
      </c>
    </row>
    <row r="57">
      <c r="E57" t="str">
        <v>Duplicate Booking</v>
      </c>
      <c r="F57">
        <v>2</v>
      </c>
    </row>
    <row r="58">
      <c r="E58" t="str">
        <v>Cancelled by Sales Operations as Wrong Payment Plan was selected</v>
      </c>
      <c r="F58">
        <v>2</v>
      </c>
    </row>
    <row r="59">
      <c r="E59" t="str">
        <v>Cancelled by Sales Operations as Wrong Payment Plan was selected. Cancelled by IT without any Cancellation Approval Flow. Booking-947 created.</v>
      </c>
      <c r="F59">
        <v>2</v>
      </c>
    </row>
    <row r="60">
      <c r="E60" t="str">
        <v>Error in Booking - Wrong Customer Selected</v>
      </c>
      <c r="F60">
        <v>1</v>
      </c>
    </row>
    <row r="61">
      <c r="E61" t="str">
        <v>Error in Booking - Wrong Customer Selected</v>
      </c>
      <c r="F61">
        <v>1</v>
      </c>
    </row>
    <row r="62">
      <c r="E62" t="str">
        <v>Unit Not Part of Promotional List</v>
      </c>
      <c r="F62">
        <v>1</v>
      </c>
    </row>
    <row r="63">
      <c r="E63" t="str">
        <v>Unit Not Part of Promotional List</v>
      </c>
      <c r="F63">
        <v>1</v>
      </c>
    </row>
    <row r="64">
      <c r="E64" t="str">
        <v>Incorrect Customer Details entered while Booking</v>
      </c>
      <c r="F64">
        <v>1</v>
      </c>
    </row>
    <row r="65">
      <c r="E65" t="str">
        <v xml:space="preserve">Unit was to be booked under "Dilier Sanchez Mora" </v>
      </c>
      <c r="F65">
        <v>1</v>
      </c>
    </row>
    <row r="66">
      <c r="E66" t="str">
        <v>Booking created on unit OR-1403 instead of OR-1402</v>
      </c>
      <c r="F66">
        <v>1</v>
      </c>
    </row>
    <row r="67">
      <c r="E67" t="str">
        <v>Booking created on unit OR-1403 instead of OR-1402</v>
      </c>
      <c r="F67">
        <v>1</v>
      </c>
    </row>
    <row r="68">
      <c r="E68" t="str">
        <v>Unit Not Part of Promotional List - Refund Approved by Management</v>
      </c>
      <c r="F68">
        <v>1</v>
      </c>
    </row>
    <row r="69">
      <c r="E69" t="str">
        <v>Refund approved by Management</v>
      </c>
      <c r="F69">
        <v>1</v>
      </c>
    </row>
    <row r="70">
      <c r="E70" t="str">
        <v>Grand Total</v>
      </c>
      <c r="F70">
        <v>135</v>
      </c>
    </row>
  </sheetData>
  <mergeCells count="2">
    <mergeCell ref="E2:F2"/>
    <mergeCell ref="B14:C14"/>
  </mergeCells>
  <pageMargins left="0.7" right="0.7" top="0.75" bottom="0.75" header="0.3" footer="0.3"/>
  <ignoredErrors>
    <ignoredError numberStoredAsText="1" sqref="B2:F70"/>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45A699CB07A064196BBEBF5EFDF8D2B" ma:contentTypeVersion="12" ma:contentTypeDescription="Create a new document." ma:contentTypeScope="" ma:versionID="fa8c2141ed10354e8e6f10fb0ee33d29">
  <xsd:schema xmlns:xsd="http://www.w3.org/2001/XMLSchema" xmlns:xs="http://www.w3.org/2001/XMLSchema" xmlns:p="http://schemas.microsoft.com/office/2006/metadata/properties" xmlns:ns2="c7f59a0b-1b42-46b6-8657-dd6335d9912e" xmlns:ns3="9664fe52-1f57-4564-8c31-42882f7d6b14" targetNamespace="http://schemas.microsoft.com/office/2006/metadata/properties" ma:root="true" ma:fieldsID="3786aa672823bf3698a4eda5e7fa9ce7" ns2:_="" ns3:_="">
    <xsd:import namespace="c7f59a0b-1b42-46b6-8657-dd6335d9912e"/>
    <xsd:import namespace="9664fe52-1f57-4564-8c31-42882f7d6b1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f59a0b-1b42-46b6-8657-dd6335d991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6a5c31-0e00-4f4c-8e7b-7a1927c7b14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64fe52-1f57-4564-8c31-42882f7d6b1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0b7ea71-8f9d-4571-883a-a59026d93b34}" ma:internalName="TaxCatchAll" ma:showField="CatchAllData" ma:web="9664fe52-1f57-4564-8c31-42882f7d6b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7f59a0b-1b42-46b6-8657-dd6335d9912e">
      <Terms xmlns="http://schemas.microsoft.com/office/infopath/2007/PartnerControls"/>
    </lcf76f155ced4ddcb4097134ff3c332f>
    <TaxCatchAll xmlns="9664fe52-1f57-4564-8c31-42882f7d6b14" xsi:nil="true"/>
  </documentManagement>
</p:properties>
</file>

<file path=customXml/itemProps1.xml><?xml version="1.0" encoding="utf-8"?>
<ds:datastoreItem xmlns:ds="http://schemas.openxmlformats.org/officeDocument/2006/customXml" ds:itemID="{52CDDCEA-5BCF-4612-B325-DB27FD624F36}"/>
</file>

<file path=customXml/itemProps2.xml><?xml version="1.0" encoding="utf-8"?>
<ds:datastoreItem xmlns:ds="http://schemas.openxmlformats.org/officeDocument/2006/customXml" ds:itemID="{B1C47233-8A78-43E4-A71B-41AFF6C92B97}"/>
</file>

<file path=customXml/itemProps3.xml><?xml version="1.0" encoding="utf-8"?>
<ds:datastoreItem xmlns:ds="http://schemas.openxmlformats.org/officeDocument/2006/customXml" ds:itemID="{543A383F-07FF-4C1A-AD0B-490B5706DBE3}"/>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Rejected Bookings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Norton Araujo</dc:creator>
  <cp:lastModifiedBy>Norton Araujo</cp:lastModifiedBy>
  <dcterms:created xsi:type="dcterms:W3CDTF">2025-08-07T07:09:21Z</dcterms:created>
  <dcterms:modified xsi:type="dcterms:W3CDTF">2026-02-06T13:23:57Z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0x010100745A699CB07A064196BBEBF5EFDF8D2B</vt:lpwstr>
  </property>
  <property fmtid="{D5CDD505-2E9C-101B-9397-08002B2CF9AE}" pid="3" name="MediaServiceImageTags">
    <vt:lpwstr/>
  </property>
</Properties>
</file>